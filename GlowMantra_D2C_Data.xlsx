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asoo\Downloads\"/>
    </mc:Choice>
  </mc:AlternateContent>
  <xr:revisionPtr revIDLastSave="0" documentId="13_ncr:1_{5EED6209-8220-4495-B027-A78DF2D4107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ustomers" sheetId="1" r:id="rId1"/>
    <sheet name="Products" sheetId="2" r:id="rId2"/>
    <sheet name="Orders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3" l="1"/>
  <c r="O2" i="3" s="1"/>
  <c r="F3" i="3"/>
  <c r="O3" i="3" s="1"/>
  <c r="F4" i="3"/>
  <c r="O4" i="3" s="1"/>
  <c r="F5" i="3"/>
  <c r="O5" i="3" s="1"/>
  <c r="F6" i="3"/>
  <c r="O6" i="3" s="1"/>
  <c r="F7" i="3"/>
  <c r="O7" i="3" s="1"/>
  <c r="F8" i="3"/>
  <c r="O8" i="3" s="1"/>
  <c r="F9" i="3"/>
  <c r="O9" i="3" s="1"/>
  <c r="F10" i="3"/>
  <c r="O10" i="3" s="1"/>
  <c r="F11" i="3"/>
  <c r="O11" i="3" s="1"/>
  <c r="F12" i="3"/>
  <c r="O12" i="3" s="1"/>
  <c r="F13" i="3"/>
  <c r="O13" i="3" s="1"/>
  <c r="F14" i="3"/>
  <c r="O14" i="3" s="1"/>
  <c r="F15" i="3"/>
  <c r="O15" i="3" s="1"/>
  <c r="F16" i="3"/>
  <c r="O16" i="3" s="1"/>
  <c r="F17" i="3"/>
  <c r="O17" i="3" s="1"/>
  <c r="F18" i="3"/>
  <c r="O18" i="3" s="1"/>
  <c r="F19" i="3"/>
  <c r="O19" i="3" s="1"/>
  <c r="F20" i="3"/>
  <c r="O20" i="3" s="1"/>
  <c r="F21" i="3"/>
  <c r="O21" i="3" s="1"/>
  <c r="F22" i="3"/>
  <c r="O22" i="3" s="1"/>
  <c r="F23" i="3"/>
  <c r="O23" i="3" s="1"/>
  <c r="F24" i="3"/>
  <c r="O24" i="3" s="1"/>
  <c r="F25" i="3"/>
  <c r="O25" i="3" s="1"/>
  <c r="F26" i="3"/>
  <c r="O26" i="3" s="1"/>
  <c r="F27" i="3"/>
  <c r="O27" i="3" s="1"/>
  <c r="F28" i="3"/>
  <c r="O28" i="3" s="1"/>
  <c r="F29" i="3"/>
  <c r="O29" i="3" s="1"/>
  <c r="F30" i="3"/>
  <c r="O30" i="3" s="1"/>
  <c r="F31" i="3"/>
  <c r="O31" i="3" s="1"/>
  <c r="F32" i="3"/>
  <c r="O32" i="3" s="1"/>
  <c r="F33" i="3"/>
  <c r="O33" i="3" s="1"/>
  <c r="F34" i="3"/>
  <c r="O34" i="3" s="1"/>
  <c r="F35" i="3"/>
  <c r="O35" i="3" s="1"/>
  <c r="F36" i="3"/>
  <c r="O36" i="3" s="1"/>
  <c r="F37" i="3"/>
  <c r="O37" i="3" s="1"/>
  <c r="F38" i="3"/>
  <c r="O38" i="3" s="1"/>
  <c r="F39" i="3"/>
  <c r="O39" i="3" s="1"/>
  <c r="F40" i="3"/>
  <c r="O40" i="3" s="1"/>
  <c r="F41" i="3"/>
  <c r="O41" i="3" s="1"/>
  <c r="F42" i="3"/>
  <c r="O42" i="3" s="1"/>
  <c r="F43" i="3"/>
  <c r="O43" i="3" s="1"/>
  <c r="F44" i="3"/>
  <c r="O44" i="3" s="1"/>
  <c r="F45" i="3"/>
  <c r="O45" i="3" s="1"/>
  <c r="F46" i="3"/>
  <c r="O46" i="3" s="1"/>
  <c r="F47" i="3"/>
  <c r="O47" i="3" s="1"/>
  <c r="F48" i="3"/>
  <c r="O48" i="3" s="1"/>
  <c r="F49" i="3"/>
  <c r="O49" i="3" s="1"/>
  <c r="F50" i="3"/>
  <c r="O50" i="3" s="1"/>
  <c r="F51" i="3"/>
  <c r="O51" i="3" s="1"/>
  <c r="F52" i="3"/>
  <c r="O52" i="3" s="1"/>
  <c r="F53" i="3"/>
  <c r="O53" i="3" s="1"/>
  <c r="F54" i="3"/>
  <c r="O54" i="3" s="1"/>
  <c r="F55" i="3"/>
  <c r="O55" i="3" s="1"/>
  <c r="F56" i="3"/>
  <c r="O56" i="3" s="1"/>
  <c r="F57" i="3"/>
  <c r="O57" i="3" s="1"/>
  <c r="F58" i="3"/>
  <c r="O58" i="3" s="1"/>
  <c r="F59" i="3"/>
  <c r="O59" i="3" s="1"/>
  <c r="F60" i="3"/>
  <c r="O60" i="3" s="1"/>
  <c r="F61" i="3"/>
  <c r="O61" i="3" s="1"/>
  <c r="F62" i="3"/>
  <c r="O62" i="3" s="1"/>
  <c r="F63" i="3"/>
  <c r="O63" i="3" s="1"/>
  <c r="F64" i="3"/>
  <c r="O64" i="3" s="1"/>
  <c r="F65" i="3"/>
  <c r="O65" i="3" s="1"/>
  <c r="F66" i="3"/>
  <c r="O66" i="3" s="1"/>
  <c r="F67" i="3"/>
  <c r="O67" i="3" s="1"/>
  <c r="F68" i="3"/>
  <c r="O68" i="3" s="1"/>
  <c r="F69" i="3"/>
  <c r="O69" i="3" s="1"/>
  <c r="F70" i="3"/>
  <c r="O70" i="3" s="1"/>
  <c r="F71" i="3"/>
  <c r="O71" i="3" s="1"/>
  <c r="F72" i="3"/>
  <c r="O72" i="3" s="1"/>
  <c r="F73" i="3"/>
  <c r="O73" i="3" s="1"/>
  <c r="F74" i="3"/>
  <c r="O74" i="3" s="1"/>
  <c r="F75" i="3"/>
  <c r="O75" i="3" s="1"/>
  <c r="F76" i="3"/>
  <c r="O76" i="3" s="1"/>
  <c r="F77" i="3"/>
  <c r="O77" i="3" s="1"/>
  <c r="F78" i="3"/>
  <c r="O78" i="3" s="1"/>
  <c r="F79" i="3"/>
  <c r="O79" i="3" s="1"/>
  <c r="F80" i="3"/>
  <c r="O80" i="3" s="1"/>
  <c r="F81" i="3"/>
  <c r="O81" i="3" s="1"/>
  <c r="F82" i="3"/>
  <c r="O82" i="3" s="1"/>
  <c r="F83" i="3"/>
  <c r="O83" i="3" s="1"/>
  <c r="F84" i="3"/>
  <c r="O84" i="3" s="1"/>
  <c r="F85" i="3"/>
  <c r="O85" i="3" s="1"/>
  <c r="F86" i="3"/>
  <c r="O86" i="3" s="1"/>
  <c r="F87" i="3"/>
  <c r="O87" i="3" s="1"/>
  <c r="F88" i="3"/>
  <c r="O88" i="3" s="1"/>
  <c r="F89" i="3"/>
  <c r="O89" i="3" s="1"/>
  <c r="F90" i="3"/>
  <c r="O90" i="3" s="1"/>
  <c r="F91" i="3"/>
  <c r="O91" i="3" s="1"/>
  <c r="F92" i="3"/>
  <c r="O92" i="3" s="1"/>
  <c r="F93" i="3"/>
  <c r="O93" i="3" s="1"/>
  <c r="F94" i="3"/>
  <c r="O94" i="3" s="1"/>
  <c r="F95" i="3"/>
  <c r="O95" i="3" s="1"/>
  <c r="F96" i="3"/>
  <c r="O96" i="3" s="1"/>
  <c r="F97" i="3"/>
  <c r="O97" i="3" s="1"/>
  <c r="F98" i="3"/>
  <c r="O98" i="3" s="1"/>
  <c r="F99" i="3"/>
  <c r="O99" i="3" s="1"/>
  <c r="F100" i="3"/>
  <c r="O100" i="3" s="1"/>
  <c r="F101" i="3"/>
  <c r="O101" i="3" s="1"/>
  <c r="F102" i="3"/>
  <c r="O102" i="3" s="1"/>
  <c r="F103" i="3"/>
  <c r="O103" i="3" s="1"/>
  <c r="F104" i="3"/>
  <c r="O104" i="3" s="1"/>
  <c r="F105" i="3"/>
  <c r="O105" i="3" s="1"/>
  <c r="F106" i="3"/>
  <c r="O106" i="3" s="1"/>
  <c r="F107" i="3"/>
  <c r="O107" i="3" s="1"/>
  <c r="F108" i="3"/>
  <c r="O108" i="3" s="1"/>
  <c r="F109" i="3"/>
  <c r="O109" i="3" s="1"/>
  <c r="F110" i="3"/>
  <c r="O110" i="3" s="1"/>
  <c r="F111" i="3"/>
  <c r="O111" i="3" s="1"/>
  <c r="F112" i="3"/>
  <c r="O112" i="3" s="1"/>
  <c r="F113" i="3"/>
  <c r="O113" i="3" s="1"/>
  <c r="F114" i="3"/>
  <c r="O114" i="3" s="1"/>
  <c r="F115" i="3"/>
  <c r="O115" i="3" s="1"/>
  <c r="F116" i="3"/>
  <c r="O116" i="3" s="1"/>
  <c r="F117" i="3"/>
  <c r="O117" i="3" s="1"/>
  <c r="F118" i="3"/>
  <c r="O118" i="3" s="1"/>
  <c r="F119" i="3"/>
  <c r="O119" i="3" s="1"/>
  <c r="F120" i="3"/>
  <c r="O120" i="3" s="1"/>
  <c r="F121" i="3"/>
  <c r="O121" i="3" s="1"/>
  <c r="F122" i="3"/>
  <c r="O122" i="3" s="1"/>
  <c r="F123" i="3"/>
  <c r="O123" i="3" s="1"/>
  <c r="F124" i="3"/>
  <c r="O124" i="3" s="1"/>
  <c r="F125" i="3"/>
  <c r="O125" i="3" s="1"/>
  <c r="F126" i="3"/>
  <c r="O126" i="3" s="1"/>
  <c r="F127" i="3"/>
  <c r="O127" i="3" s="1"/>
  <c r="F128" i="3"/>
  <c r="O128" i="3" s="1"/>
  <c r="F129" i="3"/>
  <c r="O129" i="3" s="1"/>
  <c r="F130" i="3"/>
  <c r="O130" i="3" s="1"/>
  <c r="F131" i="3"/>
  <c r="O131" i="3" s="1"/>
  <c r="F132" i="3"/>
  <c r="O132" i="3" s="1"/>
  <c r="F133" i="3"/>
  <c r="O133" i="3" s="1"/>
  <c r="F134" i="3"/>
  <c r="O134" i="3" s="1"/>
  <c r="F135" i="3"/>
  <c r="O135" i="3" s="1"/>
  <c r="F136" i="3"/>
  <c r="O136" i="3" s="1"/>
  <c r="F137" i="3"/>
  <c r="O137" i="3" s="1"/>
  <c r="F138" i="3"/>
  <c r="O138" i="3" s="1"/>
  <c r="F139" i="3"/>
  <c r="O139" i="3" s="1"/>
  <c r="F140" i="3"/>
  <c r="O140" i="3" s="1"/>
  <c r="F141" i="3"/>
  <c r="O141" i="3" s="1"/>
  <c r="F142" i="3"/>
  <c r="O142" i="3" s="1"/>
  <c r="F143" i="3"/>
  <c r="O143" i="3" s="1"/>
  <c r="F144" i="3"/>
  <c r="O144" i="3" s="1"/>
  <c r="F145" i="3"/>
  <c r="O145" i="3" s="1"/>
  <c r="F146" i="3"/>
  <c r="O146" i="3" s="1"/>
  <c r="F147" i="3"/>
  <c r="O147" i="3" s="1"/>
  <c r="F148" i="3"/>
  <c r="O148" i="3" s="1"/>
  <c r="F149" i="3"/>
  <c r="O149" i="3" s="1"/>
  <c r="F150" i="3"/>
  <c r="O150" i="3" s="1"/>
  <c r="F151" i="3"/>
  <c r="O151" i="3" s="1"/>
  <c r="F152" i="3"/>
  <c r="O152" i="3" s="1"/>
  <c r="F153" i="3"/>
  <c r="O153" i="3" s="1"/>
  <c r="F154" i="3"/>
  <c r="O154" i="3" s="1"/>
  <c r="F155" i="3"/>
  <c r="O155" i="3" s="1"/>
  <c r="F156" i="3"/>
  <c r="O156" i="3" s="1"/>
  <c r="F157" i="3"/>
  <c r="O157" i="3" s="1"/>
  <c r="F158" i="3"/>
  <c r="O158" i="3" s="1"/>
  <c r="F159" i="3"/>
  <c r="O159" i="3" s="1"/>
  <c r="F160" i="3"/>
  <c r="O160" i="3" s="1"/>
  <c r="F161" i="3"/>
  <c r="O161" i="3" s="1"/>
  <c r="F162" i="3"/>
  <c r="O162" i="3" s="1"/>
  <c r="F163" i="3"/>
  <c r="O163" i="3" s="1"/>
  <c r="F164" i="3"/>
  <c r="O164" i="3" s="1"/>
  <c r="F165" i="3"/>
  <c r="O165" i="3" s="1"/>
  <c r="F166" i="3"/>
  <c r="O166" i="3" s="1"/>
  <c r="F167" i="3"/>
  <c r="O167" i="3" s="1"/>
  <c r="F168" i="3"/>
  <c r="O168" i="3" s="1"/>
  <c r="F169" i="3"/>
  <c r="O169" i="3" s="1"/>
  <c r="F170" i="3"/>
  <c r="O170" i="3" s="1"/>
  <c r="F171" i="3"/>
  <c r="O171" i="3" s="1"/>
  <c r="F172" i="3"/>
  <c r="O172" i="3" s="1"/>
  <c r="F173" i="3"/>
  <c r="O173" i="3" s="1"/>
  <c r="F174" i="3"/>
  <c r="O174" i="3" s="1"/>
  <c r="F175" i="3"/>
  <c r="O175" i="3" s="1"/>
  <c r="F176" i="3"/>
  <c r="O176" i="3" s="1"/>
  <c r="F177" i="3"/>
  <c r="O177" i="3" s="1"/>
  <c r="F178" i="3"/>
  <c r="O178" i="3" s="1"/>
  <c r="F179" i="3"/>
  <c r="O179" i="3" s="1"/>
  <c r="F180" i="3"/>
  <c r="O180" i="3" s="1"/>
  <c r="F181" i="3"/>
  <c r="O181" i="3" s="1"/>
  <c r="F182" i="3"/>
  <c r="O182" i="3" s="1"/>
  <c r="F183" i="3"/>
  <c r="O183" i="3" s="1"/>
  <c r="F184" i="3"/>
  <c r="O184" i="3" s="1"/>
  <c r="F185" i="3"/>
  <c r="O185" i="3" s="1"/>
  <c r="F186" i="3"/>
  <c r="O186" i="3" s="1"/>
  <c r="F187" i="3"/>
  <c r="O187" i="3" s="1"/>
  <c r="F188" i="3"/>
  <c r="O188" i="3" s="1"/>
  <c r="F189" i="3"/>
  <c r="O189" i="3" s="1"/>
  <c r="F190" i="3"/>
  <c r="O190" i="3" s="1"/>
  <c r="F191" i="3"/>
  <c r="O191" i="3" s="1"/>
  <c r="F192" i="3"/>
  <c r="O192" i="3" s="1"/>
  <c r="F193" i="3"/>
  <c r="O193" i="3" s="1"/>
  <c r="F194" i="3"/>
  <c r="O194" i="3" s="1"/>
  <c r="F195" i="3"/>
  <c r="O195" i="3" s="1"/>
  <c r="F196" i="3"/>
  <c r="O196" i="3" s="1"/>
  <c r="F197" i="3"/>
  <c r="O197" i="3" s="1"/>
  <c r="F198" i="3"/>
  <c r="O198" i="3" s="1"/>
  <c r="F199" i="3"/>
  <c r="O199" i="3" s="1"/>
  <c r="F200" i="3"/>
  <c r="O200" i="3" s="1"/>
  <c r="F201" i="3"/>
  <c r="O201" i="3" s="1"/>
  <c r="F202" i="3"/>
  <c r="O202" i="3" s="1"/>
  <c r="F203" i="3"/>
  <c r="O203" i="3" s="1"/>
  <c r="F204" i="3"/>
  <c r="O204" i="3" s="1"/>
  <c r="F205" i="3"/>
  <c r="O205" i="3" s="1"/>
  <c r="F206" i="3"/>
  <c r="O206" i="3" s="1"/>
  <c r="F207" i="3"/>
  <c r="O207" i="3" s="1"/>
  <c r="F208" i="3"/>
  <c r="O208" i="3" s="1"/>
  <c r="F209" i="3"/>
  <c r="O209" i="3" s="1"/>
  <c r="F210" i="3"/>
  <c r="O210" i="3" s="1"/>
  <c r="F211" i="3"/>
  <c r="O211" i="3" s="1"/>
  <c r="F212" i="3"/>
  <c r="O212" i="3" s="1"/>
  <c r="F213" i="3"/>
  <c r="O213" i="3" s="1"/>
  <c r="F214" i="3"/>
  <c r="O214" i="3" s="1"/>
  <c r="F215" i="3"/>
  <c r="O215" i="3" s="1"/>
  <c r="F216" i="3"/>
  <c r="O216" i="3" s="1"/>
  <c r="F217" i="3"/>
  <c r="O217" i="3" s="1"/>
  <c r="F218" i="3"/>
  <c r="O218" i="3" s="1"/>
  <c r="F219" i="3"/>
  <c r="O219" i="3" s="1"/>
  <c r="F220" i="3"/>
  <c r="O220" i="3" s="1"/>
  <c r="F221" i="3"/>
  <c r="O221" i="3" s="1"/>
  <c r="F222" i="3"/>
  <c r="O222" i="3" s="1"/>
  <c r="F223" i="3"/>
  <c r="O223" i="3" s="1"/>
  <c r="F224" i="3"/>
  <c r="O224" i="3" s="1"/>
  <c r="F225" i="3"/>
  <c r="O225" i="3" s="1"/>
  <c r="F226" i="3"/>
  <c r="O226" i="3" s="1"/>
  <c r="F227" i="3"/>
  <c r="O227" i="3" s="1"/>
  <c r="F228" i="3"/>
  <c r="O228" i="3" s="1"/>
  <c r="F229" i="3"/>
  <c r="O229" i="3" s="1"/>
  <c r="F230" i="3"/>
  <c r="O230" i="3" s="1"/>
  <c r="F231" i="3"/>
  <c r="O231" i="3" s="1"/>
  <c r="F232" i="3"/>
  <c r="O232" i="3" s="1"/>
  <c r="F233" i="3"/>
  <c r="O233" i="3" s="1"/>
  <c r="F234" i="3"/>
  <c r="O234" i="3" s="1"/>
  <c r="F235" i="3"/>
  <c r="O235" i="3" s="1"/>
  <c r="F236" i="3"/>
  <c r="O236" i="3" s="1"/>
  <c r="F237" i="3"/>
  <c r="O237" i="3" s="1"/>
  <c r="F238" i="3"/>
  <c r="O238" i="3" s="1"/>
  <c r="F239" i="3"/>
  <c r="O239" i="3" s="1"/>
  <c r="F240" i="3"/>
  <c r="O240" i="3" s="1"/>
  <c r="F241" i="3"/>
  <c r="O241" i="3" s="1"/>
  <c r="F242" i="3"/>
  <c r="O242" i="3" s="1"/>
  <c r="F243" i="3"/>
  <c r="O243" i="3" s="1"/>
  <c r="F244" i="3"/>
  <c r="O244" i="3" s="1"/>
  <c r="F245" i="3"/>
  <c r="O245" i="3" s="1"/>
  <c r="F246" i="3"/>
  <c r="O246" i="3" s="1"/>
  <c r="F247" i="3"/>
  <c r="O247" i="3" s="1"/>
  <c r="F248" i="3"/>
  <c r="O248" i="3" s="1"/>
  <c r="F249" i="3"/>
  <c r="O249" i="3" s="1"/>
  <c r="F250" i="3"/>
  <c r="O250" i="3" s="1"/>
  <c r="F251" i="3"/>
  <c r="O251" i="3" s="1"/>
  <c r="F252" i="3"/>
  <c r="O252" i="3" s="1"/>
  <c r="F253" i="3"/>
  <c r="O253" i="3" s="1"/>
  <c r="F254" i="3"/>
  <c r="O254" i="3" s="1"/>
  <c r="F255" i="3"/>
  <c r="O255" i="3" s="1"/>
  <c r="F256" i="3"/>
  <c r="O256" i="3" s="1"/>
  <c r="F257" i="3"/>
  <c r="O257" i="3" s="1"/>
  <c r="F258" i="3"/>
  <c r="O258" i="3" s="1"/>
  <c r="F259" i="3"/>
  <c r="O259" i="3" s="1"/>
  <c r="F260" i="3"/>
  <c r="O260" i="3" s="1"/>
  <c r="F261" i="3"/>
  <c r="O261" i="3" s="1"/>
  <c r="F262" i="3"/>
  <c r="O262" i="3" s="1"/>
  <c r="F263" i="3"/>
  <c r="O263" i="3" s="1"/>
  <c r="F264" i="3"/>
  <c r="O264" i="3" s="1"/>
  <c r="F265" i="3"/>
  <c r="O265" i="3" s="1"/>
  <c r="F266" i="3"/>
  <c r="O266" i="3" s="1"/>
  <c r="F267" i="3"/>
  <c r="O267" i="3" s="1"/>
  <c r="F268" i="3"/>
  <c r="O268" i="3" s="1"/>
  <c r="F269" i="3"/>
  <c r="O269" i="3" s="1"/>
  <c r="F270" i="3"/>
  <c r="O270" i="3" s="1"/>
  <c r="F271" i="3"/>
  <c r="O271" i="3" s="1"/>
  <c r="F272" i="3"/>
  <c r="O272" i="3" s="1"/>
  <c r="F273" i="3"/>
  <c r="O273" i="3" s="1"/>
  <c r="F274" i="3"/>
  <c r="O274" i="3" s="1"/>
  <c r="F275" i="3"/>
  <c r="O275" i="3" s="1"/>
  <c r="F276" i="3"/>
  <c r="O276" i="3" s="1"/>
  <c r="F277" i="3"/>
  <c r="O277" i="3" s="1"/>
  <c r="F278" i="3"/>
  <c r="O278" i="3" s="1"/>
  <c r="F279" i="3"/>
  <c r="O279" i="3" s="1"/>
  <c r="F280" i="3"/>
  <c r="O280" i="3" s="1"/>
  <c r="F281" i="3"/>
  <c r="O281" i="3" s="1"/>
  <c r="F282" i="3"/>
  <c r="O282" i="3" s="1"/>
  <c r="F283" i="3"/>
  <c r="O283" i="3" s="1"/>
  <c r="F284" i="3"/>
  <c r="O284" i="3" s="1"/>
  <c r="F285" i="3"/>
  <c r="O285" i="3" s="1"/>
  <c r="F286" i="3"/>
  <c r="O286" i="3" s="1"/>
  <c r="F287" i="3"/>
  <c r="O287" i="3" s="1"/>
  <c r="F288" i="3"/>
  <c r="O288" i="3" s="1"/>
  <c r="F289" i="3"/>
  <c r="O289" i="3" s="1"/>
  <c r="F290" i="3"/>
  <c r="O290" i="3" s="1"/>
  <c r="F291" i="3"/>
  <c r="O291" i="3" s="1"/>
  <c r="F292" i="3"/>
  <c r="O292" i="3" s="1"/>
  <c r="F293" i="3"/>
  <c r="O293" i="3" s="1"/>
  <c r="F294" i="3"/>
  <c r="O294" i="3" s="1"/>
  <c r="F295" i="3"/>
  <c r="O295" i="3" s="1"/>
  <c r="F296" i="3"/>
  <c r="O296" i="3" s="1"/>
  <c r="F297" i="3"/>
  <c r="O297" i="3" s="1"/>
  <c r="F298" i="3"/>
  <c r="O298" i="3" s="1"/>
  <c r="F299" i="3"/>
  <c r="O299" i="3" s="1"/>
  <c r="F300" i="3"/>
  <c r="O300" i="3" s="1"/>
  <c r="F301" i="3"/>
  <c r="O301" i="3" s="1"/>
  <c r="F302" i="3"/>
  <c r="O302" i="3" s="1"/>
  <c r="F303" i="3"/>
  <c r="O303" i="3" s="1"/>
  <c r="F304" i="3"/>
  <c r="O304" i="3" s="1"/>
  <c r="F305" i="3"/>
  <c r="O305" i="3" s="1"/>
  <c r="F306" i="3"/>
  <c r="O306" i="3" s="1"/>
  <c r="F307" i="3"/>
  <c r="O307" i="3" s="1"/>
  <c r="F308" i="3"/>
  <c r="O308" i="3" s="1"/>
  <c r="F309" i="3"/>
  <c r="O309" i="3" s="1"/>
  <c r="F310" i="3"/>
  <c r="O310" i="3" s="1"/>
  <c r="F311" i="3"/>
  <c r="O311" i="3" s="1"/>
  <c r="F312" i="3"/>
  <c r="O312" i="3" s="1"/>
  <c r="F313" i="3"/>
  <c r="O313" i="3" s="1"/>
  <c r="F314" i="3"/>
  <c r="O314" i="3" s="1"/>
  <c r="F315" i="3"/>
  <c r="O315" i="3" s="1"/>
  <c r="F316" i="3"/>
  <c r="O316" i="3" s="1"/>
  <c r="F317" i="3"/>
  <c r="O317" i="3" s="1"/>
  <c r="F318" i="3"/>
  <c r="O318" i="3" s="1"/>
  <c r="F319" i="3"/>
  <c r="O319" i="3" s="1"/>
  <c r="F320" i="3"/>
  <c r="O320" i="3" s="1"/>
  <c r="F321" i="3"/>
  <c r="O321" i="3" s="1"/>
  <c r="F322" i="3"/>
  <c r="O322" i="3" s="1"/>
  <c r="F323" i="3"/>
  <c r="O323" i="3" s="1"/>
  <c r="F324" i="3"/>
  <c r="O324" i="3" s="1"/>
  <c r="F325" i="3"/>
  <c r="O325" i="3" s="1"/>
  <c r="F326" i="3"/>
  <c r="O326" i="3" s="1"/>
  <c r="F327" i="3"/>
  <c r="O327" i="3" s="1"/>
  <c r="F328" i="3"/>
  <c r="O328" i="3" s="1"/>
  <c r="F329" i="3"/>
  <c r="O329" i="3" s="1"/>
  <c r="F330" i="3"/>
  <c r="O330" i="3" s="1"/>
  <c r="F331" i="3"/>
  <c r="O331" i="3" s="1"/>
  <c r="F332" i="3"/>
  <c r="O332" i="3" s="1"/>
  <c r="F333" i="3"/>
  <c r="O333" i="3" s="1"/>
  <c r="F334" i="3"/>
  <c r="O334" i="3" s="1"/>
  <c r="F335" i="3"/>
  <c r="O335" i="3" s="1"/>
  <c r="F336" i="3"/>
  <c r="O336" i="3" s="1"/>
  <c r="F337" i="3"/>
  <c r="O337" i="3" s="1"/>
  <c r="F338" i="3"/>
  <c r="O338" i="3" s="1"/>
  <c r="F339" i="3"/>
  <c r="O339" i="3" s="1"/>
  <c r="F340" i="3"/>
  <c r="O340" i="3" s="1"/>
  <c r="F341" i="3"/>
  <c r="O341" i="3" s="1"/>
  <c r="F342" i="3"/>
  <c r="O342" i="3" s="1"/>
  <c r="F343" i="3"/>
  <c r="O343" i="3" s="1"/>
  <c r="F344" i="3"/>
  <c r="O344" i="3" s="1"/>
  <c r="F345" i="3"/>
  <c r="O345" i="3" s="1"/>
  <c r="F346" i="3"/>
  <c r="O346" i="3" s="1"/>
  <c r="F347" i="3"/>
  <c r="O347" i="3" s="1"/>
  <c r="F348" i="3"/>
  <c r="O348" i="3" s="1"/>
  <c r="F349" i="3"/>
  <c r="O349" i="3" s="1"/>
  <c r="F350" i="3"/>
  <c r="O350" i="3" s="1"/>
  <c r="F351" i="3"/>
  <c r="O351" i="3" s="1"/>
  <c r="F352" i="3"/>
  <c r="O352" i="3" s="1"/>
  <c r="F353" i="3"/>
  <c r="O353" i="3" s="1"/>
  <c r="F354" i="3"/>
  <c r="O354" i="3" s="1"/>
  <c r="F355" i="3"/>
  <c r="O355" i="3" s="1"/>
  <c r="F356" i="3"/>
  <c r="O356" i="3" s="1"/>
  <c r="F357" i="3"/>
  <c r="O357" i="3" s="1"/>
  <c r="F358" i="3"/>
  <c r="O358" i="3" s="1"/>
  <c r="F359" i="3"/>
  <c r="O359" i="3" s="1"/>
  <c r="F360" i="3"/>
  <c r="O360" i="3" s="1"/>
  <c r="F361" i="3"/>
  <c r="O361" i="3" s="1"/>
  <c r="F362" i="3"/>
  <c r="O362" i="3" s="1"/>
  <c r="F363" i="3"/>
  <c r="O363" i="3" s="1"/>
  <c r="F364" i="3"/>
  <c r="O364" i="3" s="1"/>
  <c r="F365" i="3"/>
  <c r="O365" i="3" s="1"/>
  <c r="F366" i="3"/>
  <c r="O366" i="3" s="1"/>
  <c r="F367" i="3"/>
  <c r="O367" i="3" s="1"/>
  <c r="F368" i="3"/>
  <c r="O368" i="3" s="1"/>
  <c r="F369" i="3"/>
  <c r="O369" i="3" s="1"/>
  <c r="F370" i="3"/>
  <c r="O370" i="3" s="1"/>
  <c r="F371" i="3"/>
  <c r="O371" i="3" s="1"/>
  <c r="F372" i="3"/>
  <c r="O372" i="3" s="1"/>
  <c r="F373" i="3"/>
  <c r="O373" i="3" s="1"/>
  <c r="F374" i="3"/>
  <c r="O374" i="3" s="1"/>
  <c r="F375" i="3"/>
  <c r="O375" i="3" s="1"/>
  <c r="F376" i="3"/>
  <c r="O376" i="3" s="1"/>
  <c r="F377" i="3"/>
  <c r="O377" i="3" s="1"/>
  <c r="F378" i="3"/>
  <c r="O378" i="3" s="1"/>
  <c r="F379" i="3"/>
  <c r="O379" i="3" s="1"/>
  <c r="F380" i="3"/>
  <c r="O380" i="3" s="1"/>
  <c r="F381" i="3"/>
  <c r="O381" i="3" s="1"/>
  <c r="F382" i="3"/>
  <c r="O382" i="3" s="1"/>
  <c r="F383" i="3"/>
  <c r="O383" i="3" s="1"/>
  <c r="F384" i="3"/>
  <c r="O384" i="3" s="1"/>
  <c r="F385" i="3"/>
  <c r="O385" i="3" s="1"/>
  <c r="F386" i="3"/>
  <c r="O386" i="3" s="1"/>
  <c r="F387" i="3"/>
  <c r="O387" i="3" s="1"/>
  <c r="F388" i="3"/>
  <c r="O388" i="3" s="1"/>
  <c r="F389" i="3"/>
  <c r="O389" i="3" s="1"/>
  <c r="F390" i="3"/>
  <c r="O390" i="3" s="1"/>
  <c r="F391" i="3"/>
  <c r="O391" i="3" s="1"/>
  <c r="F392" i="3"/>
  <c r="O392" i="3" s="1"/>
  <c r="F393" i="3"/>
  <c r="O393" i="3" s="1"/>
  <c r="F394" i="3"/>
  <c r="O394" i="3" s="1"/>
  <c r="F395" i="3"/>
  <c r="O395" i="3" s="1"/>
  <c r="F396" i="3"/>
  <c r="O396" i="3" s="1"/>
  <c r="F397" i="3"/>
  <c r="O397" i="3" s="1"/>
  <c r="F398" i="3"/>
  <c r="O398" i="3" s="1"/>
  <c r="F399" i="3"/>
  <c r="O399" i="3" s="1"/>
  <c r="F400" i="3"/>
  <c r="O400" i="3" s="1"/>
  <c r="F401" i="3"/>
  <c r="O401" i="3" s="1"/>
  <c r="F402" i="3"/>
  <c r="O402" i="3" s="1"/>
  <c r="F403" i="3"/>
  <c r="O403" i="3" s="1"/>
  <c r="F404" i="3"/>
  <c r="O404" i="3" s="1"/>
  <c r="F405" i="3"/>
  <c r="O405" i="3" s="1"/>
  <c r="F406" i="3"/>
  <c r="O406" i="3" s="1"/>
  <c r="F407" i="3"/>
  <c r="O407" i="3" s="1"/>
  <c r="F408" i="3"/>
  <c r="O408" i="3" s="1"/>
  <c r="F409" i="3"/>
  <c r="O409" i="3" s="1"/>
  <c r="F410" i="3"/>
  <c r="O410" i="3" s="1"/>
  <c r="F411" i="3"/>
  <c r="O411" i="3" s="1"/>
  <c r="F412" i="3"/>
  <c r="O412" i="3" s="1"/>
  <c r="F413" i="3"/>
  <c r="O413" i="3" s="1"/>
  <c r="F414" i="3"/>
  <c r="O414" i="3" s="1"/>
  <c r="F415" i="3"/>
  <c r="O415" i="3" s="1"/>
  <c r="F416" i="3"/>
  <c r="O416" i="3" s="1"/>
  <c r="F417" i="3"/>
  <c r="O417" i="3" s="1"/>
  <c r="F418" i="3"/>
  <c r="O418" i="3" s="1"/>
  <c r="F419" i="3"/>
  <c r="O419" i="3" s="1"/>
  <c r="F420" i="3"/>
  <c r="O420" i="3" s="1"/>
  <c r="F421" i="3"/>
  <c r="O421" i="3" s="1"/>
  <c r="F422" i="3"/>
  <c r="O422" i="3" s="1"/>
  <c r="F423" i="3"/>
  <c r="O423" i="3" s="1"/>
  <c r="F424" i="3"/>
  <c r="O424" i="3" s="1"/>
  <c r="F425" i="3"/>
  <c r="O425" i="3" s="1"/>
  <c r="F426" i="3"/>
  <c r="O426" i="3" s="1"/>
  <c r="F427" i="3"/>
  <c r="O427" i="3" s="1"/>
  <c r="F428" i="3"/>
  <c r="O428" i="3" s="1"/>
  <c r="F429" i="3"/>
  <c r="O429" i="3" s="1"/>
  <c r="F430" i="3"/>
  <c r="O430" i="3" s="1"/>
  <c r="F431" i="3"/>
  <c r="O431" i="3" s="1"/>
  <c r="F432" i="3"/>
  <c r="O432" i="3" s="1"/>
  <c r="F433" i="3"/>
  <c r="O433" i="3" s="1"/>
  <c r="F434" i="3"/>
  <c r="O434" i="3" s="1"/>
  <c r="F435" i="3"/>
  <c r="O435" i="3" s="1"/>
  <c r="F436" i="3"/>
  <c r="O436" i="3" s="1"/>
  <c r="F437" i="3"/>
  <c r="O437" i="3" s="1"/>
  <c r="F438" i="3"/>
  <c r="O438" i="3" s="1"/>
  <c r="F439" i="3"/>
  <c r="O439" i="3" s="1"/>
  <c r="F440" i="3"/>
  <c r="O440" i="3" s="1"/>
  <c r="F441" i="3"/>
  <c r="O441" i="3" s="1"/>
  <c r="F442" i="3"/>
  <c r="O442" i="3" s="1"/>
  <c r="F443" i="3"/>
  <c r="O443" i="3" s="1"/>
  <c r="F444" i="3"/>
  <c r="O444" i="3" s="1"/>
  <c r="F445" i="3"/>
  <c r="O445" i="3" s="1"/>
  <c r="F446" i="3"/>
  <c r="O446" i="3" s="1"/>
  <c r="F447" i="3"/>
  <c r="O447" i="3" s="1"/>
  <c r="F448" i="3"/>
  <c r="O448" i="3" s="1"/>
  <c r="F449" i="3"/>
  <c r="O449" i="3" s="1"/>
  <c r="F450" i="3"/>
  <c r="O450" i="3" s="1"/>
  <c r="F451" i="3"/>
  <c r="O451" i="3" s="1"/>
  <c r="F452" i="3"/>
  <c r="O452" i="3" s="1"/>
  <c r="F453" i="3"/>
  <c r="O453" i="3" s="1"/>
  <c r="F454" i="3"/>
  <c r="O454" i="3" s="1"/>
  <c r="F455" i="3"/>
  <c r="O455" i="3" s="1"/>
  <c r="F456" i="3"/>
  <c r="O456" i="3" s="1"/>
  <c r="F457" i="3"/>
  <c r="O457" i="3" s="1"/>
  <c r="F458" i="3"/>
  <c r="O458" i="3" s="1"/>
  <c r="F459" i="3"/>
  <c r="O459" i="3" s="1"/>
  <c r="F460" i="3"/>
  <c r="O460" i="3" s="1"/>
  <c r="F461" i="3"/>
  <c r="O461" i="3" s="1"/>
  <c r="F462" i="3"/>
  <c r="O462" i="3" s="1"/>
  <c r="F463" i="3"/>
  <c r="O463" i="3" s="1"/>
  <c r="F464" i="3"/>
  <c r="O464" i="3" s="1"/>
  <c r="F465" i="3"/>
  <c r="O465" i="3" s="1"/>
  <c r="F466" i="3"/>
  <c r="O466" i="3" s="1"/>
  <c r="F467" i="3"/>
  <c r="O467" i="3" s="1"/>
  <c r="F468" i="3"/>
  <c r="O468" i="3" s="1"/>
  <c r="F469" i="3"/>
  <c r="O469" i="3" s="1"/>
  <c r="F470" i="3"/>
  <c r="O470" i="3" s="1"/>
  <c r="F471" i="3"/>
  <c r="O471" i="3" s="1"/>
  <c r="F472" i="3"/>
  <c r="O472" i="3" s="1"/>
  <c r="F473" i="3"/>
  <c r="O473" i="3" s="1"/>
  <c r="F474" i="3"/>
  <c r="O474" i="3" s="1"/>
  <c r="F475" i="3"/>
  <c r="O475" i="3" s="1"/>
  <c r="F476" i="3"/>
  <c r="O476" i="3" s="1"/>
  <c r="F477" i="3"/>
  <c r="O477" i="3" s="1"/>
  <c r="F478" i="3"/>
  <c r="O478" i="3" s="1"/>
  <c r="F479" i="3"/>
  <c r="O479" i="3" s="1"/>
  <c r="F480" i="3"/>
  <c r="O480" i="3" s="1"/>
  <c r="F481" i="3"/>
  <c r="O481" i="3" s="1"/>
  <c r="F482" i="3"/>
  <c r="O482" i="3" s="1"/>
  <c r="F483" i="3"/>
  <c r="O483" i="3" s="1"/>
  <c r="F484" i="3"/>
  <c r="O484" i="3" s="1"/>
  <c r="F485" i="3"/>
  <c r="O485" i="3" s="1"/>
  <c r="F486" i="3"/>
  <c r="O486" i="3" s="1"/>
  <c r="F487" i="3"/>
  <c r="O487" i="3" s="1"/>
  <c r="F488" i="3"/>
  <c r="O488" i="3" s="1"/>
  <c r="F489" i="3"/>
  <c r="O489" i="3" s="1"/>
  <c r="F490" i="3"/>
  <c r="O490" i="3" s="1"/>
  <c r="F491" i="3"/>
  <c r="O491" i="3" s="1"/>
  <c r="F492" i="3"/>
  <c r="O492" i="3" s="1"/>
  <c r="F493" i="3"/>
  <c r="O493" i="3" s="1"/>
  <c r="F494" i="3"/>
  <c r="O494" i="3" s="1"/>
  <c r="F495" i="3"/>
  <c r="O495" i="3" s="1"/>
  <c r="F496" i="3"/>
  <c r="O496" i="3" s="1"/>
  <c r="F497" i="3"/>
  <c r="O497" i="3" s="1"/>
  <c r="F498" i="3"/>
  <c r="O498" i="3" s="1"/>
  <c r="F499" i="3"/>
  <c r="O499" i="3" s="1"/>
  <c r="F500" i="3"/>
  <c r="O500" i="3" s="1"/>
  <c r="F501" i="3"/>
  <c r="O501" i="3" s="1"/>
  <c r="F502" i="3"/>
  <c r="O502" i="3" s="1"/>
  <c r="F503" i="3"/>
  <c r="O503" i="3" s="1"/>
  <c r="F504" i="3"/>
  <c r="O504" i="3" s="1"/>
  <c r="F505" i="3"/>
  <c r="O505" i="3" s="1"/>
  <c r="F506" i="3"/>
  <c r="O506" i="3" s="1"/>
  <c r="F507" i="3"/>
  <c r="O507" i="3" s="1"/>
  <c r="F508" i="3"/>
  <c r="O508" i="3" s="1"/>
  <c r="F509" i="3"/>
  <c r="O509" i="3" s="1"/>
  <c r="F510" i="3"/>
  <c r="O510" i="3" s="1"/>
  <c r="F511" i="3"/>
  <c r="O511" i="3" s="1"/>
  <c r="F512" i="3"/>
  <c r="O512" i="3" s="1"/>
  <c r="F513" i="3"/>
  <c r="O513" i="3" s="1"/>
  <c r="F514" i="3"/>
  <c r="O514" i="3" s="1"/>
  <c r="F515" i="3"/>
  <c r="O515" i="3" s="1"/>
  <c r="F516" i="3"/>
  <c r="O516" i="3" s="1"/>
  <c r="F517" i="3"/>
  <c r="O517" i="3" s="1"/>
  <c r="F518" i="3"/>
  <c r="O518" i="3" s="1"/>
  <c r="F519" i="3"/>
  <c r="O519" i="3" s="1"/>
  <c r="F520" i="3"/>
  <c r="O520" i="3" s="1"/>
  <c r="F521" i="3"/>
  <c r="O521" i="3" s="1"/>
  <c r="F522" i="3"/>
  <c r="O522" i="3" s="1"/>
  <c r="F523" i="3"/>
  <c r="O523" i="3" s="1"/>
  <c r="F524" i="3"/>
  <c r="O524" i="3" s="1"/>
  <c r="F525" i="3"/>
  <c r="O525" i="3" s="1"/>
  <c r="F526" i="3"/>
  <c r="O526" i="3" s="1"/>
  <c r="F527" i="3"/>
  <c r="O527" i="3" s="1"/>
  <c r="F528" i="3"/>
  <c r="O528" i="3" s="1"/>
  <c r="F529" i="3"/>
  <c r="O529" i="3" s="1"/>
  <c r="F530" i="3"/>
  <c r="O530" i="3" s="1"/>
  <c r="F531" i="3"/>
  <c r="O531" i="3" s="1"/>
  <c r="F532" i="3"/>
  <c r="O532" i="3" s="1"/>
  <c r="F533" i="3"/>
  <c r="O533" i="3" s="1"/>
  <c r="F534" i="3"/>
  <c r="O534" i="3" s="1"/>
  <c r="F535" i="3"/>
  <c r="O535" i="3" s="1"/>
  <c r="F536" i="3"/>
  <c r="O536" i="3" s="1"/>
  <c r="F537" i="3"/>
  <c r="O537" i="3" s="1"/>
  <c r="F538" i="3"/>
  <c r="O538" i="3" s="1"/>
  <c r="F539" i="3"/>
  <c r="O539" i="3" s="1"/>
  <c r="F540" i="3"/>
  <c r="O540" i="3" s="1"/>
  <c r="F541" i="3"/>
  <c r="O541" i="3" s="1"/>
  <c r="F542" i="3"/>
  <c r="O542" i="3" s="1"/>
  <c r="F543" i="3"/>
  <c r="O543" i="3" s="1"/>
  <c r="F544" i="3"/>
  <c r="O544" i="3" s="1"/>
  <c r="F545" i="3"/>
  <c r="O545" i="3" s="1"/>
  <c r="F546" i="3"/>
  <c r="O546" i="3" s="1"/>
  <c r="F547" i="3"/>
  <c r="O547" i="3" s="1"/>
  <c r="F548" i="3"/>
  <c r="O548" i="3" s="1"/>
  <c r="F549" i="3"/>
  <c r="O549" i="3" s="1"/>
  <c r="F550" i="3"/>
  <c r="O550" i="3" s="1"/>
  <c r="F551" i="3"/>
  <c r="O551" i="3" s="1"/>
  <c r="F552" i="3"/>
  <c r="O552" i="3" s="1"/>
  <c r="F553" i="3"/>
  <c r="O553" i="3" s="1"/>
  <c r="F554" i="3"/>
  <c r="O554" i="3" s="1"/>
  <c r="F555" i="3"/>
  <c r="O555" i="3" s="1"/>
  <c r="F556" i="3"/>
  <c r="O556" i="3" s="1"/>
  <c r="F557" i="3"/>
  <c r="O557" i="3" s="1"/>
  <c r="F558" i="3"/>
  <c r="O558" i="3" s="1"/>
  <c r="F559" i="3"/>
  <c r="O559" i="3" s="1"/>
  <c r="F560" i="3"/>
  <c r="O560" i="3" s="1"/>
  <c r="F561" i="3"/>
  <c r="O561" i="3" s="1"/>
  <c r="F562" i="3"/>
  <c r="O562" i="3" s="1"/>
  <c r="F563" i="3"/>
  <c r="O563" i="3" s="1"/>
  <c r="F564" i="3"/>
  <c r="O564" i="3" s="1"/>
  <c r="F565" i="3"/>
  <c r="O565" i="3" s="1"/>
  <c r="F566" i="3"/>
  <c r="O566" i="3" s="1"/>
  <c r="F567" i="3"/>
  <c r="O567" i="3" s="1"/>
  <c r="F568" i="3"/>
  <c r="O568" i="3" s="1"/>
  <c r="F569" i="3"/>
  <c r="O569" i="3" s="1"/>
  <c r="F570" i="3"/>
  <c r="O570" i="3" s="1"/>
  <c r="F571" i="3"/>
  <c r="O571" i="3" s="1"/>
  <c r="F572" i="3"/>
  <c r="O572" i="3" s="1"/>
  <c r="F573" i="3"/>
  <c r="O573" i="3" s="1"/>
  <c r="F574" i="3"/>
  <c r="O574" i="3" s="1"/>
  <c r="F575" i="3"/>
  <c r="O575" i="3" s="1"/>
  <c r="F576" i="3"/>
  <c r="O576" i="3" s="1"/>
  <c r="F577" i="3"/>
  <c r="O577" i="3" s="1"/>
  <c r="F578" i="3"/>
  <c r="O578" i="3" s="1"/>
  <c r="F579" i="3"/>
  <c r="O579" i="3" s="1"/>
  <c r="F580" i="3"/>
  <c r="O580" i="3" s="1"/>
  <c r="F581" i="3"/>
  <c r="O581" i="3" s="1"/>
  <c r="F582" i="3"/>
  <c r="O582" i="3" s="1"/>
  <c r="F583" i="3"/>
  <c r="O583" i="3" s="1"/>
  <c r="F584" i="3"/>
  <c r="O584" i="3" s="1"/>
  <c r="F585" i="3"/>
  <c r="O585" i="3" s="1"/>
  <c r="F586" i="3"/>
  <c r="O586" i="3" s="1"/>
  <c r="F587" i="3"/>
  <c r="O587" i="3" s="1"/>
  <c r="F588" i="3"/>
  <c r="O588" i="3" s="1"/>
  <c r="F589" i="3"/>
  <c r="O589" i="3" s="1"/>
  <c r="F590" i="3"/>
  <c r="O590" i="3" s="1"/>
  <c r="F591" i="3"/>
  <c r="O591" i="3" s="1"/>
  <c r="F592" i="3"/>
  <c r="O592" i="3" s="1"/>
  <c r="F593" i="3"/>
  <c r="O593" i="3" s="1"/>
  <c r="F594" i="3"/>
  <c r="O594" i="3" s="1"/>
  <c r="F595" i="3"/>
  <c r="O595" i="3" s="1"/>
  <c r="F596" i="3"/>
  <c r="O596" i="3" s="1"/>
  <c r="F597" i="3"/>
  <c r="O597" i="3" s="1"/>
  <c r="F598" i="3"/>
  <c r="O598" i="3" s="1"/>
  <c r="F599" i="3"/>
  <c r="O599" i="3" s="1"/>
  <c r="F600" i="3"/>
  <c r="O600" i="3" s="1"/>
  <c r="F601" i="3"/>
  <c r="O601" i="3" s="1"/>
  <c r="F602" i="3"/>
  <c r="O602" i="3" s="1"/>
  <c r="F603" i="3"/>
  <c r="O603" i="3" s="1"/>
  <c r="F604" i="3"/>
  <c r="O604" i="3" s="1"/>
  <c r="F605" i="3"/>
  <c r="O605" i="3" s="1"/>
  <c r="F606" i="3"/>
  <c r="O606" i="3" s="1"/>
  <c r="F607" i="3"/>
  <c r="O607" i="3" s="1"/>
  <c r="F608" i="3"/>
  <c r="O608" i="3" s="1"/>
  <c r="F609" i="3"/>
  <c r="O609" i="3" s="1"/>
  <c r="F610" i="3"/>
  <c r="O610" i="3" s="1"/>
  <c r="F611" i="3"/>
  <c r="O611" i="3" s="1"/>
  <c r="F612" i="3"/>
  <c r="O612" i="3" s="1"/>
  <c r="F613" i="3"/>
  <c r="O613" i="3" s="1"/>
  <c r="F614" i="3"/>
  <c r="O614" i="3" s="1"/>
  <c r="F615" i="3"/>
  <c r="O615" i="3" s="1"/>
  <c r="F616" i="3"/>
  <c r="O616" i="3" s="1"/>
  <c r="F617" i="3"/>
  <c r="O617" i="3" s="1"/>
  <c r="F618" i="3"/>
  <c r="O618" i="3" s="1"/>
  <c r="F619" i="3"/>
  <c r="O619" i="3" s="1"/>
  <c r="F620" i="3"/>
  <c r="O620" i="3" s="1"/>
  <c r="F621" i="3"/>
  <c r="O621" i="3" s="1"/>
  <c r="F622" i="3"/>
  <c r="O622" i="3" s="1"/>
  <c r="F623" i="3"/>
  <c r="O623" i="3" s="1"/>
  <c r="F624" i="3"/>
  <c r="O624" i="3" s="1"/>
  <c r="F625" i="3"/>
  <c r="O625" i="3" s="1"/>
  <c r="F626" i="3"/>
  <c r="O626" i="3" s="1"/>
  <c r="F627" i="3"/>
  <c r="O627" i="3" s="1"/>
  <c r="F628" i="3"/>
  <c r="O628" i="3" s="1"/>
  <c r="F629" i="3"/>
  <c r="O629" i="3" s="1"/>
  <c r="F630" i="3"/>
  <c r="O630" i="3" s="1"/>
  <c r="F631" i="3"/>
  <c r="O631" i="3" s="1"/>
  <c r="F632" i="3"/>
  <c r="O632" i="3" s="1"/>
  <c r="F633" i="3"/>
  <c r="O633" i="3" s="1"/>
  <c r="F634" i="3"/>
  <c r="O634" i="3" s="1"/>
  <c r="F635" i="3"/>
  <c r="O635" i="3" s="1"/>
  <c r="F636" i="3"/>
  <c r="O636" i="3" s="1"/>
  <c r="F637" i="3"/>
  <c r="O637" i="3" s="1"/>
  <c r="F638" i="3"/>
  <c r="O638" i="3" s="1"/>
  <c r="F639" i="3"/>
  <c r="O639" i="3" s="1"/>
  <c r="F640" i="3"/>
  <c r="O640" i="3" s="1"/>
  <c r="F641" i="3"/>
  <c r="O641" i="3" s="1"/>
  <c r="F642" i="3"/>
  <c r="O642" i="3" s="1"/>
  <c r="F643" i="3"/>
  <c r="O643" i="3" s="1"/>
  <c r="F644" i="3"/>
  <c r="O644" i="3" s="1"/>
  <c r="F645" i="3"/>
  <c r="O645" i="3" s="1"/>
  <c r="F646" i="3"/>
  <c r="O646" i="3" s="1"/>
  <c r="F647" i="3"/>
  <c r="O647" i="3" s="1"/>
  <c r="F648" i="3"/>
  <c r="O648" i="3" s="1"/>
  <c r="F649" i="3"/>
  <c r="O649" i="3" s="1"/>
  <c r="F650" i="3"/>
  <c r="O650" i="3" s="1"/>
  <c r="F651" i="3"/>
  <c r="O651" i="3" s="1"/>
  <c r="F652" i="3"/>
  <c r="O652" i="3" s="1"/>
  <c r="F653" i="3"/>
  <c r="O653" i="3" s="1"/>
  <c r="F654" i="3"/>
  <c r="O654" i="3" s="1"/>
  <c r="F655" i="3"/>
  <c r="O655" i="3" s="1"/>
  <c r="F656" i="3"/>
  <c r="O656" i="3" s="1"/>
  <c r="F657" i="3"/>
  <c r="O657" i="3" s="1"/>
  <c r="F658" i="3"/>
  <c r="O658" i="3" s="1"/>
  <c r="F659" i="3"/>
  <c r="O659" i="3" s="1"/>
  <c r="F660" i="3"/>
  <c r="O660" i="3" s="1"/>
  <c r="F661" i="3"/>
  <c r="O661" i="3" s="1"/>
  <c r="F662" i="3"/>
  <c r="O662" i="3" s="1"/>
  <c r="F663" i="3"/>
  <c r="O663" i="3" s="1"/>
  <c r="F664" i="3"/>
  <c r="O664" i="3" s="1"/>
  <c r="F665" i="3"/>
  <c r="O665" i="3" s="1"/>
  <c r="F666" i="3"/>
  <c r="O666" i="3" s="1"/>
  <c r="F667" i="3"/>
  <c r="O667" i="3" s="1"/>
  <c r="F668" i="3"/>
  <c r="O668" i="3" s="1"/>
  <c r="F669" i="3"/>
  <c r="O669" i="3" s="1"/>
  <c r="F670" i="3"/>
  <c r="O670" i="3" s="1"/>
  <c r="F671" i="3"/>
  <c r="O671" i="3" s="1"/>
  <c r="F672" i="3"/>
  <c r="O672" i="3" s="1"/>
  <c r="F673" i="3"/>
  <c r="O673" i="3" s="1"/>
  <c r="F674" i="3"/>
  <c r="O674" i="3" s="1"/>
  <c r="F675" i="3"/>
  <c r="O675" i="3" s="1"/>
  <c r="F676" i="3"/>
  <c r="O676" i="3" s="1"/>
  <c r="F677" i="3"/>
  <c r="O677" i="3" s="1"/>
  <c r="F678" i="3"/>
  <c r="O678" i="3" s="1"/>
  <c r="F679" i="3"/>
  <c r="O679" i="3" s="1"/>
  <c r="F680" i="3"/>
  <c r="O680" i="3" s="1"/>
  <c r="F681" i="3"/>
  <c r="O681" i="3" s="1"/>
  <c r="F682" i="3"/>
  <c r="O682" i="3" s="1"/>
  <c r="F683" i="3"/>
  <c r="O683" i="3" s="1"/>
  <c r="F684" i="3"/>
  <c r="O684" i="3" s="1"/>
  <c r="F685" i="3"/>
  <c r="O685" i="3" s="1"/>
  <c r="F686" i="3"/>
  <c r="O686" i="3" s="1"/>
  <c r="F687" i="3"/>
  <c r="O687" i="3" s="1"/>
  <c r="F688" i="3"/>
  <c r="O688" i="3" s="1"/>
  <c r="F689" i="3"/>
  <c r="O689" i="3" s="1"/>
  <c r="F690" i="3"/>
  <c r="O690" i="3" s="1"/>
  <c r="F691" i="3"/>
  <c r="O691" i="3" s="1"/>
  <c r="F692" i="3"/>
  <c r="O692" i="3" s="1"/>
  <c r="F693" i="3"/>
  <c r="O693" i="3" s="1"/>
  <c r="F694" i="3"/>
  <c r="O694" i="3" s="1"/>
  <c r="F695" i="3"/>
  <c r="O695" i="3" s="1"/>
  <c r="F696" i="3"/>
  <c r="O696" i="3" s="1"/>
  <c r="F697" i="3"/>
  <c r="O697" i="3" s="1"/>
  <c r="F698" i="3"/>
  <c r="O698" i="3" s="1"/>
  <c r="F699" i="3"/>
  <c r="O699" i="3" s="1"/>
  <c r="F700" i="3"/>
  <c r="O700" i="3" s="1"/>
  <c r="F701" i="3"/>
  <c r="O701" i="3" s="1"/>
  <c r="F702" i="3"/>
  <c r="O702" i="3" s="1"/>
  <c r="F703" i="3"/>
  <c r="O703" i="3" s="1"/>
  <c r="F704" i="3"/>
  <c r="O704" i="3" s="1"/>
  <c r="F705" i="3"/>
  <c r="O705" i="3" s="1"/>
  <c r="F706" i="3"/>
  <c r="O706" i="3" s="1"/>
  <c r="F707" i="3"/>
  <c r="O707" i="3" s="1"/>
  <c r="F708" i="3"/>
  <c r="O708" i="3" s="1"/>
  <c r="F709" i="3"/>
  <c r="O709" i="3" s="1"/>
  <c r="F710" i="3"/>
  <c r="O710" i="3" s="1"/>
  <c r="F711" i="3"/>
  <c r="O711" i="3" s="1"/>
  <c r="F712" i="3"/>
  <c r="O712" i="3" s="1"/>
  <c r="F713" i="3"/>
  <c r="O713" i="3" s="1"/>
  <c r="F714" i="3"/>
  <c r="O714" i="3" s="1"/>
  <c r="F715" i="3"/>
  <c r="O715" i="3" s="1"/>
  <c r="F716" i="3"/>
  <c r="O716" i="3" s="1"/>
  <c r="F717" i="3"/>
  <c r="O717" i="3" s="1"/>
  <c r="F718" i="3"/>
  <c r="O718" i="3" s="1"/>
  <c r="F719" i="3"/>
  <c r="O719" i="3" s="1"/>
  <c r="F720" i="3"/>
  <c r="O720" i="3" s="1"/>
  <c r="F721" i="3"/>
  <c r="O721" i="3" s="1"/>
  <c r="F722" i="3"/>
  <c r="O722" i="3" s="1"/>
  <c r="F723" i="3"/>
  <c r="O723" i="3" s="1"/>
  <c r="F724" i="3"/>
  <c r="O724" i="3" s="1"/>
  <c r="F725" i="3"/>
  <c r="O725" i="3" s="1"/>
  <c r="F726" i="3"/>
  <c r="O726" i="3" s="1"/>
  <c r="F727" i="3"/>
  <c r="O727" i="3" s="1"/>
  <c r="F728" i="3"/>
  <c r="O728" i="3" s="1"/>
  <c r="F729" i="3"/>
  <c r="O729" i="3" s="1"/>
  <c r="F730" i="3"/>
  <c r="O730" i="3" s="1"/>
  <c r="F731" i="3"/>
  <c r="O731" i="3" s="1"/>
  <c r="F732" i="3"/>
  <c r="O732" i="3" s="1"/>
  <c r="F733" i="3"/>
  <c r="O733" i="3" s="1"/>
  <c r="F734" i="3"/>
  <c r="O734" i="3" s="1"/>
  <c r="F735" i="3"/>
  <c r="O735" i="3" s="1"/>
  <c r="F736" i="3"/>
  <c r="O736" i="3" s="1"/>
  <c r="F737" i="3"/>
  <c r="O737" i="3" s="1"/>
  <c r="F738" i="3"/>
  <c r="O738" i="3" s="1"/>
  <c r="F739" i="3"/>
  <c r="O739" i="3" s="1"/>
  <c r="F740" i="3"/>
  <c r="O740" i="3" s="1"/>
  <c r="F741" i="3"/>
  <c r="O741" i="3" s="1"/>
  <c r="F742" i="3"/>
  <c r="O742" i="3" s="1"/>
  <c r="F743" i="3"/>
  <c r="O743" i="3" s="1"/>
  <c r="F744" i="3"/>
  <c r="O744" i="3" s="1"/>
  <c r="F745" i="3"/>
  <c r="O745" i="3" s="1"/>
  <c r="F746" i="3"/>
  <c r="O746" i="3" s="1"/>
  <c r="F747" i="3"/>
  <c r="O747" i="3" s="1"/>
  <c r="F748" i="3"/>
  <c r="O748" i="3" s="1"/>
  <c r="F749" i="3"/>
  <c r="O749" i="3" s="1"/>
  <c r="F750" i="3"/>
  <c r="O750" i="3" s="1"/>
  <c r="F751" i="3"/>
  <c r="O751" i="3" s="1"/>
  <c r="F752" i="3"/>
  <c r="O752" i="3" s="1"/>
  <c r="F753" i="3"/>
  <c r="O753" i="3" s="1"/>
  <c r="F754" i="3"/>
  <c r="O754" i="3" s="1"/>
  <c r="F755" i="3"/>
  <c r="O755" i="3" s="1"/>
  <c r="F756" i="3"/>
  <c r="O756" i="3" s="1"/>
  <c r="F757" i="3"/>
  <c r="O757" i="3" s="1"/>
  <c r="F758" i="3"/>
  <c r="O758" i="3" s="1"/>
  <c r="F759" i="3"/>
  <c r="O759" i="3" s="1"/>
  <c r="F760" i="3"/>
  <c r="O760" i="3" s="1"/>
  <c r="F761" i="3"/>
  <c r="O761" i="3" s="1"/>
  <c r="F762" i="3"/>
  <c r="O762" i="3" s="1"/>
  <c r="F763" i="3"/>
  <c r="O763" i="3" s="1"/>
  <c r="F764" i="3"/>
  <c r="O764" i="3" s="1"/>
  <c r="F765" i="3"/>
  <c r="O765" i="3" s="1"/>
  <c r="F766" i="3"/>
  <c r="O766" i="3" s="1"/>
  <c r="F767" i="3"/>
  <c r="O767" i="3" s="1"/>
  <c r="F768" i="3"/>
  <c r="O768" i="3" s="1"/>
  <c r="F769" i="3"/>
  <c r="O769" i="3" s="1"/>
  <c r="F770" i="3"/>
  <c r="O770" i="3" s="1"/>
  <c r="F771" i="3"/>
  <c r="O771" i="3" s="1"/>
  <c r="F772" i="3"/>
  <c r="O772" i="3" s="1"/>
  <c r="F773" i="3"/>
  <c r="O773" i="3" s="1"/>
  <c r="F774" i="3"/>
  <c r="O774" i="3" s="1"/>
  <c r="F775" i="3"/>
  <c r="O775" i="3" s="1"/>
  <c r="F776" i="3"/>
  <c r="O776" i="3" s="1"/>
  <c r="F777" i="3"/>
  <c r="O777" i="3" s="1"/>
  <c r="F778" i="3"/>
  <c r="O778" i="3" s="1"/>
  <c r="F779" i="3"/>
  <c r="O779" i="3" s="1"/>
  <c r="F780" i="3"/>
  <c r="O780" i="3" s="1"/>
  <c r="F781" i="3"/>
  <c r="O781" i="3" s="1"/>
  <c r="F782" i="3"/>
  <c r="O782" i="3" s="1"/>
  <c r="F783" i="3"/>
  <c r="O783" i="3" s="1"/>
  <c r="F784" i="3"/>
  <c r="O784" i="3" s="1"/>
  <c r="F785" i="3"/>
  <c r="O785" i="3" s="1"/>
  <c r="F786" i="3"/>
  <c r="O786" i="3" s="1"/>
  <c r="F787" i="3"/>
  <c r="O787" i="3" s="1"/>
  <c r="F788" i="3"/>
  <c r="O788" i="3" s="1"/>
  <c r="F789" i="3"/>
  <c r="O789" i="3" s="1"/>
  <c r="F790" i="3"/>
  <c r="O790" i="3" s="1"/>
  <c r="F791" i="3"/>
  <c r="O791" i="3" s="1"/>
  <c r="F792" i="3"/>
  <c r="O792" i="3" s="1"/>
  <c r="F793" i="3"/>
  <c r="O793" i="3" s="1"/>
  <c r="F794" i="3"/>
  <c r="O794" i="3" s="1"/>
  <c r="F795" i="3"/>
  <c r="O795" i="3" s="1"/>
  <c r="F796" i="3"/>
  <c r="O796" i="3" s="1"/>
  <c r="F797" i="3"/>
  <c r="O797" i="3" s="1"/>
  <c r="F798" i="3"/>
  <c r="O798" i="3" s="1"/>
  <c r="F799" i="3"/>
  <c r="O799" i="3" s="1"/>
  <c r="F800" i="3"/>
  <c r="O800" i="3" s="1"/>
  <c r="F801" i="3"/>
  <c r="O801" i="3" s="1"/>
  <c r="F802" i="3"/>
  <c r="O802" i="3" s="1"/>
  <c r="F803" i="3"/>
  <c r="O803" i="3" s="1"/>
  <c r="F804" i="3"/>
  <c r="O804" i="3" s="1"/>
  <c r="F805" i="3"/>
  <c r="O805" i="3" s="1"/>
  <c r="F806" i="3"/>
  <c r="O806" i="3" s="1"/>
  <c r="F807" i="3"/>
  <c r="O807" i="3" s="1"/>
  <c r="F808" i="3"/>
  <c r="O808" i="3" s="1"/>
  <c r="F809" i="3"/>
  <c r="O809" i="3" s="1"/>
  <c r="F810" i="3"/>
  <c r="O810" i="3" s="1"/>
  <c r="F811" i="3"/>
  <c r="O811" i="3" s="1"/>
  <c r="F812" i="3"/>
  <c r="O812" i="3" s="1"/>
  <c r="F813" i="3"/>
  <c r="O813" i="3" s="1"/>
  <c r="F814" i="3"/>
  <c r="O814" i="3" s="1"/>
  <c r="F815" i="3"/>
  <c r="O815" i="3" s="1"/>
  <c r="F816" i="3"/>
  <c r="O816" i="3" s="1"/>
  <c r="F817" i="3"/>
  <c r="O817" i="3" s="1"/>
  <c r="F818" i="3"/>
  <c r="O818" i="3" s="1"/>
  <c r="F819" i="3"/>
  <c r="O819" i="3" s="1"/>
  <c r="F820" i="3"/>
  <c r="O820" i="3" s="1"/>
  <c r="F821" i="3"/>
  <c r="O821" i="3" s="1"/>
  <c r="F822" i="3"/>
  <c r="O822" i="3" s="1"/>
  <c r="F823" i="3"/>
  <c r="O823" i="3" s="1"/>
  <c r="F824" i="3"/>
  <c r="O824" i="3" s="1"/>
  <c r="F825" i="3"/>
  <c r="O825" i="3" s="1"/>
  <c r="F826" i="3"/>
  <c r="O826" i="3" s="1"/>
  <c r="F827" i="3"/>
  <c r="O827" i="3" s="1"/>
  <c r="F828" i="3"/>
  <c r="O828" i="3" s="1"/>
  <c r="F829" i="3"/>
  <c r="O829" i="3" s="1"/>
  <c r="F830" i="3"/>
  <c r="O830" i="3" s="1"/>
  <c r="F831" i="3"/>
  <c r="O831" i="3" s="1"/>
  <c r="F832" i="3"/>
  <c r="O832" i="3" s="1"/>
  <c r="F833" i="3"/>
  <c r="O833" i="3" s="1"/>
  <c r="F834" i="3"/>
  <c r="O834" i="3" s="1"/>
  <c r="F835" i="3"/>
  <c r="O835" i="3" s="1"/>
  <c r="F836" i="3"/>
  <c r="O836" i="3" s="1"/>
  <c r="F837" i="3"/>
  <c r="O837" i="3" s="1"/>
  <c r="F838" i="3"/>
  <c r="O838" i="3" s="1"/>
  <c r="F839" i="3"/>
  <c r="O839" i="3" s="1"/>
  <c r="F840" i="3"/>
  <c r="O840" i="3" s="1"/>
  <c r="F841" i="3"/>
  <c r="O841" i="3" s="1"/>
  <c r="F842" i="3"/>
  <c r="O842" i="3" s="1"/>
  <c r="F843" i="3"/>
  <c r="O843" i="3" s="1"/>
  <c r="F844" i="3"/>
  <c r="O844" i="3" s="1"/>
  <c r="F845" i="3"/>
  <c r="O845" i="3" s="1"/>
  <c r="F846" i="3"/>
  <c r="O846" i="3" s="1"/>
  <c r="F847" i="3"/>
  <c r="O847" i="3" s="1"/>
  <c r="F848" i="3"/>
  <c r="O848" i="3" s="1"/>
  <c r="F849" i="3"/>
  <c r="O849" i="3" s="1"/>
  <c r="F850" i="3"/>
  <c r="O850" i="3" s="1"/>
  <c r="F851" i="3"/>
  <c r="O851" i="3" s="1"/>
  <c r="F852" i="3"/>
  <c r="O852" i="3" s="1"/>
  <c r="F853" i="3"/>
  <c r="O853" i="3" s="1"/>
  <c r="F854" i="3"/>
  <c r="O854" i="3" s="1"/>
  <c r="F855" i="3"/>
  <c r="O855" i="3" s="1"/>
  <c r="F856" i="3"/>
  <c r="O856" i="3" s="1"/>
  <c r="F857" i="3"/>
  <c r="O857" i="3" s="1"/>
  <c r="F858" i="3"/>
  <c r="O858" i="3" s="1"/>
  <c r="F859" i="3"/>
  <c r="O859" i="3" s="1"/>
  <c r="F860" i="3"/>
  <c r="O860" i="3" s="1"/>
  <c r="F861" i="3"/>
  <c r="O861" i="3" s="1"/>
  <c r="F862" i="3"/>
  <c r="O862" i="3" s="1"/>
  <c r="F863" i="3"/>
  <c r="O863" i="3" s="1"/>
  <c r="F864" i="3"/>
  <c r="O864" i="3" s="1"/>
  <c r="F865" i="3"/>
  <c r="O865" i="3" s="1"/>
  <c r="F866" i="3"/>
  <c r="O866" i="3" s="1"/>
  <c r="F867" i="3"/>
  <c r="O867" i="3" s="1"/>
  <c r="F868" i="3"/>
  <c r="O868" i="3" s="1"/>
  <c r="F869" i="3"/>
  <c r="O869" i="3" s="1"/>
  <c r="F870" i="3"/>
  <c r="O870" i="3" s="1"/>
  <c r="F871" i="3"/>
  <c r="O871" i="3" s="1"/>
  <c r="F872" i="3"/>
  <c r="O872" i="3" s="1"/>
  <c r="F873" i="3"/>
  <c r="O873" i="3" s="1"/>
  <c r="F874" i="3"/>
  <c r="O874" i="3" s="1"/>
  <c r="F875" i="3"/>
  <c r="O875" i="3" s="1"/>
  <c r="F876" i="3"/>
  <c r="O876" i="3" s="1"/>
  <c r="F877" i="3"/>
  <c r="O877" i="3" s="1"/>
  <c r="F878" i="3"/>
  <c r="O878" i="3" s="1"/>
  <c r="F879" i="3"/>
  <c r="O879" i="3" s="1"/>
  <c r="F880" i="3"/>
  <c r="O880" i="3" s="1"/>
  <c r="F881" i="3"/>
  <c r="O881" i="3" s="1"/>
  <c r="F882" i="3"/>
  <c r="O882" i="3" s="1"/>
  <c r="F883" i="3"/>
  <c r="O883" i="3" s="1"/>
  <c r="F884" i="3"/>
  <c r="O884" i="3" s="1"/>
  <c r="F885" i="3"/>
  <c r="O885" i="3" s="1"/>
  <c r="F886" i="3"/>
  <c r="O886" i="3" s="1"/>
  <c r="F887" i="3"/>
  <c r="O887" i="3" s="1"/>
  <c r="F888" i="3"/>
  <c r="O888" i="3" s="1"/>
  <c r="F889" i="3"/>
  <c r="O889" i="3" s="1"/>
  <c r="F890" i="3"/>
  <c r="O890" i="3" s="1"/>
  <c r="F891" i="3"/>
  <c r="O891" i="3" s="1"/>
  <c r="F892" i="3"/>
  <c r="O892" i="3" s="1"/>
  <c r="F893" i="3"/>
  <c r="O893" i="3" s="1"/>
  <c r="F894" i="3"/>
  <c r="O894" i="3" s="1"/>
  <c r="F895" i="3"/>
  <c r="O895" i="3" s="1"/>
  <c r="F896" i="3"/>
  <c r="O896" i="3" s="1"/>
  <c r="F897" i="3"/>
  <c r="O897" i="3" s="1"/>
  <c r="F898" i="3"/>
  <c r="O898" i="3" s="1"/>
  <c r="F899" i="3"/>
  <c r="O899" i="3" s="1"/>
  <c r="F900" i="3"/>
  <c r="O900" i="3" s="1"/>
  <c r="F901" i="3"/>
  <c r="O901" i="3" s="1"/>
  <c r="F902" i="3"/>
  <c r="O902" i="3" s="1"/>
  <c r="F903" i="3"/>
  <c r="O903" i="3" s="1"/>
  <c r="F904" i="3"/>
  <c r="O904" i="3" s="1"/>
  <c r="F905" i="3"/>
  <c r="O905" i="3" s="1"/>
  <c r="F906" i="3"/>
  <c r="O906" i="3" s="1"/>
  <c r="F907" i="3"/>
  <c r="O907" i="3" s="1"/>
  <c r="F908" i="3"/>
  <c r="O908" i="3" s="1"/>
  <c r="F909" i="3"/>
  <c r="O909" i="3" s="1"/>
  <c r="F910" i="3"/>
  <c r="O910" i="3" s="1"/>
  <c r="F911" i="3"/>
  <c r="O911" i="3" s="1"/>
  <c r="F912" i="3"/>
  <c r="O912" i="3" s="1"/>
  <c r="F913" i="3"/>
  <c r="O913" i="3" s="1"/>
  <c r="F914" i="3"/>
  <c r="O914" i="3" s="1"/>
  <c r="F915" i="3"/>
  <c r="O915" i="3" s="1"/>
  <c r="F916" i="3"/>
  <c r="O916" i="3" s="1"/>
  <c r="F917" i="3"/>
  <c r="O917" i="3" s="1"/>
  <c r="F918" i="3"/>
  <c r="O918" i="3" s="1"/>
  <c r="F919" i="3"/>
  <c r="O919" i="3" s="1"/>
  <c r="F920" i="3"/>
  <c r="O920" i="3" s="1"/>
  <c r="F921" i="3"/>
  <c r="O921" i="3" s="1"/>
  <c r="F922" i="3"/>
  <c r="O922" i="3" s="1"/>
  <c r="F923" i="3"/>
  <c r="O923" i="3" s="1"/>
  <c r="F924" i="3"/>
  <c r="O924" i="3" s="1"/>
  <c r="F925" i="3"/>
  <c r="O925" i="3" s="1"/>
  <c r="F926" i="3"/>
  <c r="O926" i="3" s="1"/>
  <c r="F927" i="3"/>
  <c r="O927" i="3" s="1"/>
  <c r="F928" i="3"/>
  <c r="O928" i="3" s="1"/>
  <c r="F929" i="3"/>
  <c r="O929" i="3" s="1"/>
  <c r="F930" i="3"/>
  <c r="O930" i="3" s="1"/>
  <c r="F931" i="3"/>
  <c r="O931" i="3" s="1"/>
  <c r="F932" i="3"/>
  <c r="O932" i="3" s="1"/>
  <c r="F933" i="3"/>
  <c r="O933" i="3" s="1"/>
  <c r="F934" i="3"/>
  <c r="O934" i="3" s="1"/>
  <c r="F935" i="3"/>
  <c r="O935" i="3" s="1"/>
  <c r="F936" i="3"/>
  <c r="O936" i="3" s="1"/>
  <c r="F937" i="3"/>
  <c r="O937" i="3" s="1"/>
  <c r="F938" i="3"/>
  <c r="O938" i="3" s="1"/>
  <c r="F939" i="3"/>
  <c r="O939" i="3" s="1"/>
  <c r="F940" i="3"/>
  <c r="O940" i="3" s="1"/>
  <c r="F941" i="3"/>
  <c r="O941" i="3" s="1"/>
  <c r="F942" i="3"/>
  <c r="O942" i="3" s="1"/>
  <c r="F943" i="3"/>
  <c r="O943" i="3" s="1"/>
  <c r="F944" i="3"/>
  <c r="O944" i="3" s="1"/>
  <c r="F945" i="3"/>
  <c r="O945" i="3" s="1"/>
  <c r="F946" i="3"/>
  <c r="O946" i="3" s="1"/>
  <c r="F947" i="3"/>
  <c r="O947" i="3" s="1"/>
  <c r="F948" i="3"/>
  <c r="O948" i="3" s="1"/>
  <c r="F949" i="3"/>
  <c r="O949" i="3" s="1"/>
  <c r="F950" i="3"/>
  <c r="O950" i="3" s="1"/>
  <c r="F951" i="3"/>
  <c r="O951" i="3" s="1"/>
  <c r="F952" i="3"/>
  <c r="O952" i="3" s="1"/>
  <c r="F953" i="3"/>
  <c r="O953" i="3" s="1"/>
  <c r="F954" i="3"/>
  <c r="O954" i="3" s="1"/>
  <c r="F955" i="3"/>
  <c r="O955" i="3" s="1"/>
  <c r="F956" i="3"/>
  <c r="O956" i="3" s="1"/>
  <c r="F957" i="3"/>
  <c r="O957" i="3" s="1"/>
  <c r="F958" i="3"/>
  <c r="O958" i="3" s="1"/>
  <c r="F959" i="3"/>
  <c r="O959" i="3" s="1"/>
  <c r="F960" i="3"/>
  <c r="O960" i="3" s="1"/>
  <c r="F961" i="3"/>
  <c r="O961" i="3" s="1"/>
  <c r="F962" i="3"/>
  <c r="O962" i="3" s="1"/>
  <c r="F963" i="3"/>
  <c r="O963" i="3" s="1"/>
  <c r="F964" i="3"/>
  <c r="O964" i="3" s="1"/>
  <c r="F965" i="3"/>
  <c r="O965" i="3" s="1"/>
  <c r="F966" i="3"/>
  <c r="O966" i="3" s="1"/>
  <c r="F967" i="3"/>
  <c r="O967" i="3" s="1"/>
  <c r="F968" i="3"/>
  <c r="O968" i="3" s="1"/>
  <c r="F969" i="3"/>
  <c r="O969" i="3" s="1"/>
  <c r="F970" i="3"/>
  <c r="O970" i="3" s="1"/>
  <c r="F971" i="3"/>
  <c r="O971" i="3" s="1"/>
  <c r="F972" i="3"/>
  <c r="O972" i="3" s="1"/>
  <c r="F973" i="3"/>
  <c r="O973" i="3" s="1"/>
  <c r="F974" i="3"/>
  <c r="O974" i="3" s="1"/>
  <c r="F975" i="3"/>
  <c r="O975" i="3" s="1"/>
  <c r="F976" i="3"/>
  <c r="O976" i="3" s="1"/>
  <c r="F977" i="3"/>
  <c r="O977" i="3" s="1"/>
  <c r="F978" i="3"/>
  <c r="O978" i="3" s="1"/>
  <c r="F979" i="3"/>
  <c r="O979" i="3" s="1"/>
  <c r="F980" i="3"/>
  <c r="O980" i="3" s="1"/>
  <c r="F981" i="3"/>
  <c r="O981" i="3" s="1"/>
  <c r="F982" i="3"/>
  <c r="O982" i="3" s="1"/>
  <c r="F983" i="3"/>
  <c r="O983" i="3" s="1"/>
  <c r="F984" i="3"/>
  <c r="O984" i="3" s="1"/>
  <c r="F985" i="3"/>
  <c r="O985" i="3" s="1"/>
  <c r="F986" i="3"/>
  <c r="O986" i="3" s="1"/>
  <c r="F987" i="3"/>
  <c r="O987" i="3" s="1"/>
  <c r="F988" i="3"/>
  <c r="O988" i="3" s="1"/>
  <c r="F989" i="3"/>
  <c r="O989" i="3" s="1"/>
  <c r="F990" i="3"/>
  <c r="O990" i="3" s="1"/>
  <c r="F991" i="3"/>
  <c r="O991" i="3" s="1"/>
  <c r="F992" i="3"/>
  <c r="O992" i="3" s="1"/>
  <c r="F993" i="3"/>
  <c r="O993" i="3" s="1"/>
  <c r="F994" i="3"/>
  <c r="O994" i="3" s="1"/>
  <c r="F995" i="3"/>
  <c r="O995" i="3" s="1"/>
  <c r="F996" i="3"/>
  <c r="O996" i="3" s="1"/>
  <c r="F997" i="3"/>
  <c r="O997" i="3" s="1"/>
  <c r="F998" i="3"/>
  <c r="O998" i="3" s="1"/>
  <c r="F999" i="3"/>
  <c r="O999" i="3" s="1"/>
  <c r="F1000" i="3"/>
  <c r="O1000" i="3" s="1"/>
  <c r="F1001" i="3"/>
  <c r="O1001" i="3" s="1"/>
  <c r="F1002" i="3"/>
  <c r="O1002" i="3" s="1"/>
  <c r="F1003" i="3"/>
  <c r="O1003" i="3" s="1"/>
  <c r="F1004" i="3"/>
  <c r="O1004" i="3" s="1"/>
  <c r="F1005" i="3"/>
  <c r="O1005" i="3" s="1"/>
  <c r="F1006" i="3"/>
  <c r="O1006" i="3" s="1"/>
  <c r="F1007" i="3"/>
  <c r="O1007" i="3" s="1"/>
  <c r="F1008" i="3"/>
  <c r="O1008" i="3" s="1"/>
  <c r="F1009" i="3"/>
  <c r="O1009" i="3" s="1"/>
  <c r="F1010" i="3"/>
  <c r="O1010" i="3" s="1"/>
  <c r="F1011" i="3"/>
  <c r="O1011" i="3" s="1"/>
  <c r="F1012" i="3"/>
  <c r="O1012" i="3" s="1"/>
  <c r="F1013" i="3"/>
  <c r="O1013" i="3" s="1"/>
  <c r="F1014" i="3"/>
  <c r="O1014" i="3" s="1"/>
  <c r="F1015" i="3"/>
  <c r="O1015" i="3" s="1"/>
  <c r="F1016" i="3"/>
  <c r="O1016" i="3" s="1"/>
  <c r="F1017" i="3"/>
  <c r="O1017" i="3" s="1"/>
  <c r="F1018" i="3"/>
  <c r="O1018" i="3" s="1"/>
  <c r="F1019" i="3"/>
  <c r="O1019" i="3" s="1"/>
  <c r="F1020" i="3"/>
  <c r="O1020" i="3" s="1"/>
  <c r="F1021" i="3"/>
  <c r="O1021" i="3" s="1"/>
  <c r="F1022" i="3"/>
  <c r="O1022" i="3" s="1"/>
  <c r="F1023" i="3"/>
  <c r="O1023" i="3" s="1"/>
  <c r="F1024" i="3"/>
  <c r="O1024" i="3" s="1"/>
  <c r="F1025" i="3"/>
  <c r="O1025" i="3" s="1"/>
  <c r="F1026" i="3"/>
  <c r="O1026" i="3" s="1"/>
  <c r="F1027" i="3"/>
  <c r="O1027" i="3" s="1"/>
  <c r="F1028" i="3"/>
  <c r="O1028" i="3" s="1"/>
  <c r="F1029" i="3"/>
  <c r="O1029" i="3" s="1"/>
  <c r="F1030" i="3"/>
  <c r="O1030" i="3" s="1"/>
  <c r="F1031" i="3"/>
  <c r="O1031" i="3" s="1"/>
  <c r="F1032" i="3"/>
  <c r="O1032" i="3" s="1"/>
  <c r="F1033" i="3"/>
  <c r="O1033" i="3" s="1"/>
  <c r="F1034" i="3"/>
  <c r="O1034" i="3" s="1"/>
  <c r="F1035" i="3"/>
  <c r="O1035" i="3" s="1"/>
  <c r="F1036" i="3"/>
  <c r="O1036" i="3" s="1"/>
  <c r="F1037" i="3"/>
  <c r="O1037" i="3" s="1"/>
  <c r="F1038" i="3"/>
  <c r="O1038" i="3" s="1"/>
  <c r="F1039" i="3"/>
  <c r="O1039" i="3" s="1"/>
  <c r="F1040" i="3"/>
  <c r="O1040" i="3" s="1"/>
  <c r="F1041" i="3"/>
  <c r="O1041" i="3" s="1"/>
  <c r="F1042" i="3"/>
  <c r="O1042" i="3" s="1"/>
  <c r="F1043" i="3"/>
  <c r="O1043" i="3" s="1"/>
  <c r="F1044" i="3"/>
  <c r="O1044" i="3" s="1"/>
  <c r="F1045" i="3"/>
  <c r="O1045" i="3" s="1"/>
  <c r="F1046" i="3"/>
  <c r="O1046" i="3" s="1"/>
  <c r="F1047" i="3"/>
  <c r="O1047" i="3" s="1"/>
  <c r="F1048" i="3"/>
  <c r="O1048" i="3" s="1"/>
  <c r="F1049" i="3"/>
  <c r="O1049" i="3" s="1"/>
  <c r="F1050" i="3"/>
  <c r="O1050" i="3" s="1"/>
  <c r="F1051" i="3"/>
  <c r="O1051" i="3" s="1"/>
  <c r="F1052" i="3"/>
  <c r="O1052" i="3" s="1"/>
  <c r="F1053" i="3"/>
  <c r="O1053" i="3" s="1"/>
  <c r="F1054" i="3"/>
  <c r="O1054" i="3" s="1"/>
  <c r="F1055" i="3"/>
  <c r="O1055" i="3" s="1"/>
  <c r="F1056" i="3"/>
  <c r="O1056" i="3" s="1"/>
  <c r="F1057" i="3"/>
  <c r="O1057" i="3" s="1"/>
  <c r="F1058" i="3"/>
  <c r="O1058" i="3" s="1"/>
  <c r="F1059" i="3"/>
  <c r="O1059" i="3" s="1"/>
  <c r="F1060" i="3"/>
  <c r="O1060" i="3" s="1"/>
  <c r="F1061" i="3"/>
  <c r="O1061" i="3" s="1"/>
  <c r="F1062" i="3"/>
  <c r="O1062" i="3" s="1"/>
  <c r="F1063" i="3"/>
  <c r="O1063" i="3" s="1"/>
  <c r="F1064" i="3"/>
  <c r="O1064" i="3" s="1"/>
  <c r="F1065" i="3"/>
  <c r="O1065" i="3" s="1"/>
  <c r="F1066" i="3"/>
  <c r="O1066" i="3" s="1"/>
  <c r="F1067" i="3"/>
  <c r="O1067" i="3" s="1"/>
  <c r="F1068" i="3"/>
  <c r="O1068" i="3" s="1"/>
  <c r="F1069" i="3"/>
  <c r="O1069" i="3" s="1"/>
  <c r="F1070" i="3"/>
  <c r="O1070" i="3" s="1"/>
  <c r="F1071" i="3"/>
  <c r="O1071" i="3" s="1"/>
  <c r="F1072" i="3"/>
  <c r="O1072" i="3" s="1"/>
  <c r="F1073" i="3"/>
  <c r="O1073" i="3" s="1"/>
  <c r="F1074" i="3"/>
  <c r="O1074" i="3" s="1"/>
  <c r="F1075" i="3"/>
  <c r="O1075" i="3" s="1"/>
  <c r="F1076" i="3"/>
  <c r="O1076" i="3" s="1"/>
  <c r="F1077" i="3"/>
  <c r="O1077" i="3" s="1"/>
  <c r="F1078" i="3"/>
  <c r="O1078" i="3" s="1"/>
  <c r="F1079" i="3"/>
  <c r="O1079" i="3" s="1"/>
  <c r="F1080" i="3"/>
  <c r="O1080" i="3" s="1"/>
  <c r="F1081" i="3"/>
  <c r="O1081" i="3" s="1"/>
  <c r="F1082" i="3"/>
  <c r="O1082" i="3" s="1"/>
  <c r="F1083" i="3"/>
  <c r="O1083" i="3" s="1"/>
  <c r="F1084" i="3"/>
  <c r="O1084" i="3" s="1"/>
  <c r="F1085" i="3"/>
  <c r="O1085" i="3" s="1"/>
  <c r="F1086" i="3"/>
  <c r="O1086" i="3" s="1"/>
  <c r="F1087" i="3"/>
  <c r="O1087" i="3" s="1"/>
  <c r="F1088" i="3"/>
  <c r="O1088" i="3" s="1"/>
  <c r="F1089" i="3"/>
  <c r="O1089" i="3" s="1"/>
  <c r="F1090" i="3"/>
  <c r="O1090" i="3" s="1"/>
  <c r="F1091" i="3"/>
  <c r="O1091" i="3" s="1"/>
  <c r="F1092" i="3"/>
  <c r="O1092" i="3" s="1"/>
  <c r="F1093" i="3"/>
  <c r="O1093" i="3" s="1"/>
  <c r="F1094" i="3"/>
  <c r="O1094" i="3" s="1"/>
  <c r="F1095" i="3"/>
  <c r="O1095" i="3" s="1"/>
  <c r="F1096" i="3"/>
  <c r="O1096" i="3" s="1"/>
  <c r="F1097" i="3"/>
  <c r="O1097" i="3" s="1"/>
  <c r="F1098" i="3"/>
  <c r="O1098" i="3" s="1"/>
  <c r="F1099" i="3"/>
  <c r="O1099" i="3" s="1"/>
  <c r="F1100" i="3"/>
  <c r="O1100" i="3" s="1"/>
  <c r="F1101" i="3"/>
  <c r="O1101" i="3" s="1"/>
  <c r="F1102" i="3"/>
  <c r="O1102" i="3" s="1"/>
  <c r="F1103" i="3"/>
  <c r="O1103" i="3" s="1"/>
  <c r="F1104" i="3"/>
  <c r="O1104" i="3" s="1"/>
  <c r="F1105" i="3"/>
  <c r="O1105" i="3" s="1"/>
  <c r="F1106" i="3"/>
  <c r="O1106" i="3" s="1"/>
  <c r="F1107" i="3"/>
  <c r="O1107" i="3" s="1"/>
  <c r="F1108" i="3"/>
  <c r="O1108" i="3" s="1"/>
  <c r="F1109" i="3"/>
  <c r="O1109" i="3" s="1"/>
  <c r="F1110" i="3"/>
  <c r="O1110" i="3" s="1"/>
  <c r="F1111" i="3"/>
  <c r="O1111" i="3" s="1"/>
  <c r="F1112" i="3"/>
  <c r="O1112" i="3" s="1"/>
  <c r="F1113" i="3"/>
  <c r="O1113" i="3" s="1"/>
  <c r="F1114" i="3"/>
  <c r="O1114" i="3" s="1"/>
  <c r="F1115" i="3"/>
  <c r="O1115" i="3" s="1"/>
  <c r="F1116" i="3"/>
  <c r="O1116" i="3" s="1"/>
  <c r="F1117" i="3"/>
  <c r="O1117" i="3" s="1"/>
  <c r="F1118" i="3"/>
  <c r="O1118" i="3" s="1"/>
  <c r="F1119" i="3"/>
  <c r="O1119" i="3" s="1"/>
  <c r="F1120" i="3"/>
  <c r="O1120" i="3" s="1"/>
  <c r="F1121" i="3"/>
  <c r="O1121" i="3" s="1"/>
  <c r="F1122" i="3"/>
  <c r="O1122" i="3" s="1"/>
  <c r="F1123" i="3"/>
  <c r="O1123" i="3" s="1"/>
  <c r="F1124" i="3"/>
  <c r="O1124" i="3" s="1"/>
  <c r="F1125" i="3"/>
  <c r="O1125" i="3" s="1"/>
  <c r="F1126" i="3"/>
  <c r="O1126" i="3" s="1"/>
  <c r="F1127" i="3"/>
  <c r="O1127" i="3" s="1"/>
  <c r="F1128" i="3"/>
  <c r="O1128" i="3" s="1"/>
  <c r="F1129" i="3"/>
  <c r="O1129" i="3" s="1"/>
  <c r="F1130" i="3"/>
  <c r="O1130" i="3" s="1"/>
  <c r="F1131" i="3"/>
  <c r="O1131" i="3" s="1"/>
  <c r="F1132" i="3"/>
  <c r="O1132" i="3" s="1"/>
  <c r="F1133" i="3"/>
  <c r="O1133" i="3" s="1"/>
  <c r="F1134" i="3"/>
  <c r="O1134" i="3" s="1"/>
  <c r="F1135" i="3"/>
  <c r="O1135" i="3" s="1"/>
  <c r="F1136" i="3"/>
  <c r="O1136" i="3" s="1"/>
  <c r="F1137" i="3"/>
  <c r="O1137" i="3" s="1"/>
  <c r="F1138" i="3"/>
  <c r="O1138" i="3" s="1"/>
  <c r="F1139" i="3"/>
  <c r="O1139" i="3" s="1"/>
  <c r="F1140" i="3"/>
  <c r="O1140" i="3" s="1"/>
  <c r="F1141" i="3"/>
  <c r="O1141" i="3" s="1"/>
  <c r="F1142" i="3"/>
  <c r="O1142" i="3" s="1"/>
  <c r="F1143" i="3"/>
  <c r="O1143" i="3" s="1"/>
  <c r="F1144" i="3"/>
  <c r="O1144" i="3" s="1"/>
  <c r="F1145" i="3"/>
  <c r="O1145" i="3" s="1"/>
  <c r="F1146" i="3"/>
  <c r="O1146" i="3" s="1"/>
  <c r="F1147" i="3"/>
  <c r="O1147" i="3" s="1"/>
  <c r="F1148" i="3"/>
  <c r="O1148" i="3" s="1"/>
  <c r="F1149" i="3"/>
  <c r="O1149" i="3" s="1"/>
  <c r="F1150" i="3"/>
  <c r="O1150" i="3" s="1"/>
  <c r="F1151" i="3"/>
  <c r="O1151" i="3" s="1"/>
  <c r="F1152" i="3"/>
  <c r="O1152" i="3" s="1"/>
  <c r="F1153" i="3"/>
  <c r="O1153" i="3" s="1"/>
  <c r="F1154" i="3"/>
  <c r="O1154" i="3" s="1"/>
  <c r="F1155" i="3"/>
  <c r="O1155" i="3" s="1"/>
  <c r="F1156" i="3"/>
  <c r="O1156" i="3" s="1"/>
  <c r="F1157" i="3"/>
  <c r="O1157" i="3" s="1"/>
  <c r="F1158" i="3"/>
  <c r="O1158" i="3" s="1"/>
  <c r="F1159" i="3"/>
  <c r="O1159" i="3" s="1"/>
  <c r="F1160" i="3"/>
  <c r="O1160" i="3" s="1"/>
  <c r="F1161" i="3"/>
  <c r="O1161" i="3" s="1"/>
  <c r="F1162" i="3"/>
  <c r="O1162" i="3" s="1"/>
  <c r="F1163" i="3"/>
  <c r="O1163" i="3" s="1"/>
  <c r="F1164" i="3"/>
  <c r="O1164" i="3" s="1"/>
  <c r="F1165" i="3"/>
  <c r="O1165" i="3" s="1"/>
  <c r="F1166" i="3"/>
  <c r="O1166" i="3" s="1"/>
  <c r="F1167" i="3"/>
  <c r="O1167" i="3" s="1"/>
  <c r="F1168" i="3"/>
  <c r="O1168" i="3" s="1"/>
  <c r="F1169" i="3"/>
  <c r="O1169" i="3" s="1"/>
  <c r="F1170" i="3"/>
  <c r="O1170" i="3" s="1"/>
  <c r="F1171" i="3"/>
  <c r="O1171" i="3" s="1"/>
  <c r="F1172" i="3"/>
  <c r="O1172" i="3" s="1"/>
  <c r="F1173" i="3"/>
  <c r="O1173" i="3" s="1"/>
  <c r="F1174" i="3"/>
  <c r="O1174" i="3" s="1"/>
  <c r="F1175" i="3"/>
  <c r="O1175" i="3" s="1"/>
  <c r="F1176" i="3"/>
  <c r="O1176" i="3" s="1"/>
  <c r="F1177" i="3"/>
  <c r="O1177" i="3" s="1"/>
  <c r="F1178" i="3"/>
  <c r="O1178" i="3" s="1"/>
  <c r="F1179" i="3"/>
  <c r="O1179" i="3" s="1"/>
  <c r="F1180" i="3"/>
  <c r="O1180" i="3" s="1"/>
  <c r="F1181" i="3"/>
  <c r="O1181" i="3" s="1"/>
  <c r="F1182" i="3"/>
  <c r="O1182" i="3" s="1"/>
  <c r="F1183" i="3"/>
  <c r="O1183" i="3" s="1"/>
  <c r="F1184" i="3"/>
  <c r="O1184" i="3" s="1"/>
  <c r="F1185" i="3"/>
  <c r="O1185" i="3" s="1"/>
  <c r="F1186" i="3"/>
  <c r="O1186" i="3" s="1"/>
  <c r="F1187" i="3"/>
  <c r="O1187" i="3" s="1"/>
  <c r="F1188" i="3"/>
  <c r="O1188" i="3" s="1"/>
  <c r="F1189" i="3"/>
  <c r="O1189" i="3" s="1"/>
  <c r="F1190" i="3"/>
  <c r="O1190" i="3" s="1"/>
  <c r="F1191" i="3"/>
  <c r="O1191" i="3" s="1"/>
  <c r="F1192" i="3"/>
  <c r="O1192" i="3" s="1"/>
  <c r="F1193" i="3"/>
  <c r="O1193" i="3" s="1"/>
  <c r="F1194" i="3"/>
  <c r="O1194" i="3" s="1"/>
  <c r="F1195" i="3"/>
  <c r="O1195" i="3" s="1"/>
  <c r="F1196" i="3"/>
  <c r="O1196" i="3" s="1"/>
  <c r="F1197" i="3"/>
  <c r="O1197" i="3" s="1"/>
  <c r="F1198" i="3"/>
  <c r="O1198" i="3" s="1"/>
  <c r="F1199" i="3"/>
  <c r="O1199" i="3" s="1"/>
  <c r="F1200" i="3"/>
  <c r="O1200" i="3" s="1"/>
  <c r="F1201" i="3"/>
  <c r="O1201" i="3" s="1"/>
  <c r="F1202" i="3"/>
  <c r="O1202" i="3" s="1"/>
  <c r="F1203" i="3"/>
  <c r="O1203" i="3" s="1"/>
  <c r="F1204" i="3"/>
  <c r="O1204" i="3" s="1"/>
  <c r="F1205" i="3"/>
  <c r="O1205" i="3" s="1"/>
  <c r="F1206" i="3"/>
  <c r="O1206" i="3" s="1"/>
  <c r="F1207" i="3"/>
  <c r="O1207" i="3" s="1"/>
  <c r="F1208" i="3"/>
  <c r="O1208" i="3" s="1"/>
  <c r="F1209" i="3"/>
  <c r="O1209" i="3" s="1"/>
  <c r="F1210" i="3"/>
  <c r="O1210" i="3" s="1"/>
  <c r="F1211" i="3"/>
  <c r="O1211" i="3" s="1"/>
  <c r="F1212" i="3"/>
  <c r="O1212" i="3" s="1"/>
  <c r="F1213" i="3"/>
  <c r="O1213" i="3" s="1"/>
  <c r="F1214" i="3"/>
  <c r="O1214" i="3" s="1"/>
  <c r="F1215" i="3"/>
  <c r="O1215" i="3" s="1"/>
  <c r="F1216" i="3"/>
  <c r="O1216" i="3" s="1"/>
  <c r="F1217" i="3"/>
  <c r="O1217" i="3" s="1"/>
  <c r="F1218" i="3"/>
  <c r="O1218" i="3" s="1"/>
  <c r="F1219" i="3"/>
  <c r="O1219" i="3" s="1"/>
  <c r="F1220" i="3"/>
  <c r="O1220" i="3" s="1"/>
  <c r="F1221" i="3"/>
  <c r="O1221" i="3" s="1"/>
  <c r="F1222" i="3"/>
  <c r="O1222" i="3" s="1"/>
  <c r="F1223" i="3"/>
  <c r="O1223" i="3" s="1"/>
  <c r="F1224" i="3"/>
  <c r="O1224" i="3" s="1"/>
  <c r="F1225" i="3"/>
  <c r="O1225" i="3" s="1"/>
  <c r="F1226" i="3"/>
  <c r="O1226" i="3" s="1"/>
  <c r="F1227" i="3"/>
  <c r="O1227" i="3" s="1"/>
  <c r="F1228" i="3"/>
  <c r="O1228" i="3" s="1"/>
  <c r="F1229" i="3"/>
  <c r="O1229" i="3" s="1"/>
  <c r="F1230" i="3"/>
  <c r="O1230" i="3" s="1"/>
  <c r="F1231" i="3"/>
  <c r="O1231" i="3" s="1"/>
  <c r="F1232" i="3"/>
  <c r="O1232" i="3" s="1"/>
  <c r="F1233" i="3"/>
  <c r="O1233" i="3" s="1"/>
  <c r="F1234" i="3"/>
  <c r="O1234" i="3" s="1"/>
  <c r="F1235" i="3"/>
  <c r="O1235" i="3" s="1"/>
  <c r="F1236" i="3"/>
  <c r="O1236" i="3" s="1"/>
  <c r="F1237" i="3"/>
  <c r="O1237" i="3" s="1"/>
  <c r="F1238" i="3"/>
  <c r="O1238" i="3" s="1"/>
  <c r="F1239" i="3"/>
  <c r="O1239" i="3" s="1"/>
  <c r="F1240" i="3"/>
  <c r="O1240" i="3" s="1"/>
  <c r="F1241" i="3"/>
  <c r="O1241" i="3" s="1"/>
  <c r="F1242" i="3"/>
  <c r="O1242" i="3" s="1"/>
  <c r="F1243" i="3"/>
  <c r="O1243" i="3" s="1"/>
  <c r="F1244" i="3"/>
  <c r="O1244" i="3" s="1"/>
  <c r="F1245" i="3"/>
  <c r="O1245" i="3" s="1"/>
  <c r="F1246" i="3"/>
  <c r="O1246" i="3" s="1"/>
  <c r="F1247" i="3"/>
  <c r="O1247" i="3" s="1"/>
  <c r="F1248" i="3"/>
  <c r="O1248" i="3" s="1"/>
  <c r="F1249" i="3"/>
  <c r="O1249" i="3" s="1"/>
  <c r="F1250" i="3"/>
  <c r="O1250" i="3" s="1"/>
  <c r="F1251" i="3"/>
  <c r="O1251" i="3" s="1"/>
  <c r="F1252" i="3"/>
  <c r="O1252" i="3" s="1"/>
  <c r="F1253" i="3"/>
  <c r="O1253" i="3" s="1"/>
  <c r="F1254" i="3"/>
  <c r="O1254" i="3" s="1"/>
  <c r="F1255" i="3"/>
  <c r="O1255" i="3" s="1"/>
  <c r="F1256" i="3"/>
  <c r="O1256" i="3" s="1"/>
  <c r="F1257" i="3"/>
  <c r="O1257" i="3" s="1"/>
  <c r="F1258" i="3"/>
  <c r="O1258" i="3" s="1"/>
  <c r="F1259" i="3"/>
  <c r="O1259" i="3" s="1"/>
  <c r="F1260" i="3"/>
  <c r="O1260" i="3" s="1"/>
  <c r="F1261" i="3"/>
  <c r="O1261" i="3" s="1"/>
  <c r="F1262" i="3"/>
  <c r="O1262" i="3" s="1"/>
  <c r="F1263" i="3"/>
  <c r="O1263" i="3" s="1"/>
  <c r="F1264" i="3"/>
  <c r="O1264" i="3" s="1"/>
  <c r="F1265" i="3"/>
  <c r="O1265" i="3" s="1"/>
  <c r="F1266" i="3"/>
  <c r="O1266" i="3" s="1"/>
  <c r="F1267" i="3"/>
  <c r="O1267" i="3" s="1"/>
  <c r="F1268" i="3"/>
  <c r="O1268" i="3" s="1"/>
  <c r="F1269" i="3"/>
  <c r="O1269" i="3" s="1"/>
  <c r="F1270" i="3"/>
  <c r="O1270" i="3" s="1"/>
  <c r="F1271" i="3"/>
  <c r="O1271" i="3" s="1"/>
  <c r="F1272" i="3"/>
  <c r="O1272" i="3" s="1"/>
  <c r="F1273" i="3"/>
  <c r="O1273" i="3" s="1"/>
  <c r="F1274" i="3"/>
  <c r="O1274" i="3" s="1"/>
  <c r="F1275" i="3"/>
  <c r="O1275" i="3" s="1"/>
  <c r="F1276" i="3"/>
  <c r="O1276" i="3" s="1"/>
  <c r="F1277" i="3"/>
  <c r="O1277" i="3" s="1"/>
  <c r="F1278" i="3"/>
  <c r="O1278" i="3" s="1"/>
  <c r="F1279" i="3"/>
  <c r="O1279" i="3" s="1"/>
  <c r="F1280" i="3"/>
  <c r="O1280" i="3" s="1"/>
  <c r="F1281" i="3"/>
  <c r="O1281" i="3" s="1"/>
  <c r="F1282" i="3"/>
  <c r="O1282" i="3" s="1"/>
  <c r="F1283" i="3"/>
  <c r="O1283" i="3" s="1"/>
  <c r="F1284" i="3"/>
  <c r="O1284" i="3" s="1"/>
  <c r="F1285" i="3"/>
  <c r="O1285" i="3" s="1"/>
  <c r="F1286" i="3"/>
  <c r="O1286" i="3" s="1"/>
  <c r="F1287" i="3"/>
  <c r="O1287" i="3" s="1"/>
  <c r="F1288" i="3"/>
  <c r="O1288" i="3" s="1"/>
  <c r="F1289" i="3"/>
  <c r="O1289" i="3" s="1"/>
  <c r="F1290" i="3"/>
  <c r="O1290" i="3" s="1"/>
  <c r="F1291" i="3"/>
  <c r="O1291" i="3" s="1"/>
  <c r="F1292" i="3"/>
  <c r="O1292" i="3" s="1"/>
  <c r="F1293" i="3"/>
  <c r="O1293" i="3" s="1"/>
  <c r="F1294" i="3"/>
  <c r="O1294" i="3" s="1"/>
  <c r="F1295" i="3"/>
  <c r="O1295" i="3" s="1"/>
  <c r="F1296" i="3"/>
  <c r="O1296" i="3" s="1"/>
  <c r="F1297" i="3"/>
  <c r="O1297" i="3" s="1"/>
  <c r="F1298" i="3"/>
  <c r="O1298" i="3" s="1"/>
  <c r="F1299" i="3"/>
  <c r="O1299" i="3" s="1"/>
  <c r="F1300" i="3"/>
  <c r="O1300" i="3" s="1"/>
  <c r="F1301" i="3"/>
  <c r="O1301" i="3" s="1"/>
  <c r="F1302" i="3"/>
  <c r="O1302" i="3" s="1"/>
  <c r="F1303" i="3"/>
  <c r="O1303" i="3" s="1"/>
  <c r="F1304" i="3"/>
  <c r="O1304" i="3" s="1"/>
  <c r="F1305" i="3"/>
  <c r="O1305" i="3" s="1"/>
  <c r="F1306" i="3"/>
  <c r="O1306" i="3" s="1"/>
  <c r="F1307" i="3"/>
  <c r="O1307" i="3" s="1"/>
  <c r="F1308" i="3"/>
  <c r="O1308" i="3" s="1"/>
  <c r="F1309" i="3"/>
  <c r="O1309" i="3" s="1"/>
  <c r="F1310" i="3"/>
  <c r="O1310" i="3" s="1"/>
  <c r="F1311" i="3"/>
  <c r="O1311" i="3" s="1"/>
  <c r="F1312" i="3"/>
  <c r="O1312" i="3" s="1"/>
  <c r="F1313" i="3"/>
  <c r="O1313" i="3" s="1"/>
  <c r="F1314" i="3"/>
  <c r="O1314" i="3" s="1"/>
  <c r="F1315" i="3"/>
  <c r="O1315" i="3" s="1"/>
  <c r="F1316" i="3"/>
  <c r="O1316" i="3" s="1"/>
  <c r="F1317" i="3"/>
  <c r="O1317" i="3" s="1"/>
  <c r="F1318" i="3"/>
  <c r="O1318" i="3" s="1"/>
  <c r="F1319" i="3"/>
  <c r="O1319" i="3" s="1"/>
  <c r="F1320" i="3"/>
  <c r="O1320" i="3" s="1"/>
  <c r="F1321" i="3"/>
  <c r="O1321" i="3" s="1"/>
  <c r="F1322" i="3"/>
  <c r="O1322" i="3" s="1"/>
  <c r="F1323" i="3"/>
  <c r="O1323" i="3" s="1"/>
  <c r="F1324" i="3"/>
  <c r="O1324" i="3" s="1"/>
  <c r="F1325" i="3"/>
  <c r="O1325" i="3" s="1"/>
  <c r="F1326" i="3"/>
  <c r="O1326" i="3" s="1"/>
  <c r="F1327" i="3"/>
  <c r="O1327" i="3" s="1"/>
  <c r="F1328" i="3"/>
  <c r="O1328" i="3" s="1"/>
  <c r="F1329" i="3"/>
  <c r="O1329" i="3" s="1"/>
  <c r="F1330" i="3"/>
  <c r="O1330" i="3" s="1"/>
  <c r="F1331" i="3"/>
  <c r="O1331" i="3" s="1"/>
  <c r="F1332" i="3"/>
  <c r="O1332" i="3" s="1"/>
  <c r="F1333" i="3"/>
  <c r="O1333" i="3" s="1"/>
  <c r="F1334" i="3"/>
  <c r="O1334" i="3" s="1"/>
  <c r="F1335" i="3"/>
  <c r="O1335" i="3" s="1"/>
  <c r="F1336" i="3"/>
  <c r="O1336" i="3" s="1"/>
  <c r="F1337" i="3"/>
  <c r="O1337" i="3" s="1"/>
  <c r="F1338" i="3"/>
  <c r="O1338" i="3" s="1"/>
  <c r="F1339" i="3"/>
  <c r="O1339" i="3" s="1"/>
  <c r="F1340" i="3"/>
  <c r="O1340" i="3" s="1"/>
  <c r="F1341" i="3"/>
  <c r="O1341" i="3" s="1"/>
  <c r="F1342" i="3"/>
  <c r="O1342" i="3" s="1"/>
  <c r="F1343" i="3"/>
  <c r="O1343" i="3" s="1"/>
  <c r="F1344" i="3"/>
  <c r="O1344" i="3" s="1"/>
  <c r="F1345" i="3"/>
  <c r="O1345" i="3" s="1"/>
  <c r="F1346" i="3"/>
  <c r="O1346" i="3" s="1"/>
  <c r="F1347" i="3"/>
  <c r="O1347" i="3" s="1"/>
  <c r="F1348" i="3"/>
  <c r="O1348" i="3" s="1"/>
  <c r="F1349" i="3"/>
  <c r="O1349" i="3" s="1"/>
  <c r="F1350" i="3"/>
  <c r="O1350" i="3" s="1"/>
  <c r="F1351" i="3"/>
  <c r="O1351" i="3" s="1"/>
  <c r="F1352" i="3"/>
  <c r="O1352" i="3" s="1"/>
  <c r="F1353" i="3"/>
  <c r="O1353" i="3" s="1"/>
  <c r="F1354" i="3"/>
  <c r="O1354" i="3" s="1"/>
  <c r="F1355" i="3"/>
  <c r="O1355" i="3" s="1"/>
  <c r="F1356" i="3"/>
  <c r="O1356" i="3" s="1"/>
  <c r="F1357" i="3"/>
  <c r="O1357" i="3" s="1"/>
  <c r="F1358" i="3"/>
  <c r="O1358" i="3" s="1"/>
  <c r="F1359" i="3"/>
  <c r="O1359" i="3" s="1"/>
  <c r="F1360" i="3"/>
  <c r="O1360" i="3" s="1"/>
  <c r="F1361" i="3"/>
  <c r="O1361" i="3" s="1"/>
  <c r="F1362" i="3"/>
  <c r="O1362" i="3" s="1"/>
  <c r="F1363" i="3"/>
  <c r="O1363" i="3" s="1"/>
  <c r="F1364" i="3"/>
  <c r="O1364" i="3" s="1"/>
  <c r="F1365" i="3"/>
  <c r="O1365" i="3" s="1"/>
  <c r="F1366" i="3"/>
  <c r="O1366" i="3" s="1"/>
  <c r="F1367" i="3"/>
  <c r="O1367" i="3" s="1"/>
  <c r="F1368" i="3"/>
  <c r="O1368" i="3" s="1"/>
  <c r="F1369" i="3"/>
  <c r="O1369" i="3" s="1"/>
  <c r="F1370" i="3"/>
  <c r="O1370" i="3" s="1"/>
  <c r="F1371" i="3"/>
  <c r="O1371" i="3" s="1"/>
  <c r="F1372" i="3"/>
  <c r="O1372" i="3" s="1"/>
  <c r="F1373" i="3"/>
  <c r="O1373" i="3" s="1"/>
  <c r="F1374" i="3"/>
  <c r="O1374" i="3" s="1"/>
  <c r="F1375" i="3"/>
  <c r="O1375" i="3" s="1"/>
  <c r="F1376" i="3"/>
  <c r="O1376" i="3" s="1"/>
  <c r="F1377" i="3"/>
  <c r="O1377" i="3" s="1"/>
  <c r="F1378" i="3"/>
  <c r="O1378" i="3" s="1"/>
  <c r="F1379" i="3"/>
  <c r="O1379" i="3" s="1"/>
  <c r="F1380" i="3"/>
  <c r="O1380" i="3" s="1"/>
  <c r="F1381" i="3"/>
  <c r="O1381" i="3" s="1"/>
  <c r="F1382" i="3"/>
  <c r="O1382" i="3" s="1"/>
  <c r="F1383" i="3"/>
  <c r="O1383" i="3" s="1"/>
  <c r="F1384" i="3"/>
  <c r="O1384" i="3" s="1"/>
  <c r="F1385" i="3"/>
  <c r="O1385" i="3" s="1"/>
  <c r="F1386" i="3"/>
  <c r="O1386" i="3" s="1"/>
  <c r="F1387" i="3"/>
  <c r="O1387" i="3" s="1"/>
  <c r="F1388" i="3"/>
  <c r="O1388" i="3" s="1"/>
  <c r="F1389" i="3"/>
  <c r="O1389" i="3" s="1"/>
  <c r="F1390" i="3"/>
  <c r="O1390" i="3" s="1"/>
  <c r="F1391" i="3"/>
  <c r="O1391" i="3" s="1"/>
  <c r="F1392" i="3"/>
  <c r="O1392" i="3" s="1"/>
  <c r="F1393" i="3"/>
  <c r="O1393" i="3" s="1"/>
  <c r="F1394" i="3"/>
  <c r="O1394" i="3" s="1"/>
  <c r="F1395" i="3"/>
  <c r="O1395" i="3" s="1"/>
  <c r="F1396" i="3"/>
  <c r="O1396" i="3" s="1"/>
  <c r="F1397" i="3"/>
  <c r="O1397" i="3" s="1"/>
  <c r="F1398" i="3"/>
  <c r="O1398" i="3" s="1"/>
  <c r="F1399" i="3"/>
  <c r="O1399" i="3" s="1"/>
  <c r="F1400" i="3"/>
  <c r="O1400" i="3" s="1"/>
  <c r="F1401" i="3"/>
  <c r="O1401" i="3" s="1"/>
  <c r="F1402" i="3"/>
  <c r="O1402" i="3" s="1"/>
  <c r="F1403" i="3"/>
  <c r="O1403" i="3" s="1"/>
  <c r="F1404" i="3"/>
  <c r="O1404" i="3" s="1"/>
  <c r="F1405" i="3"/>
  <c r="O1405" i="3" s="1"/>
  <c r="F1406" i="3"/>
  <c r="O1406" i="3" s="1"/>
  <c r="F1407" i="3"/>
  <c r="O1407" i="3" s="1"/>
  <c r="F1408" i="3"/>
  <c r="O1408" i="3" s="1"/>
  <c r="F1409" i="3"/>
  <c r="O1409" i="3" s="1"/>
  <c r="F1410" i="3"/>
  <c r="O1410" i="3" s="1"/>
  <c r="F1411" i="3"/>
  <c r="O1411" i="3" s="1"/>
  <c r="F1412" i="3"/>
  <c r="O1412" i="3" s="1"/>
  <c r="F1413" i="3"/>
  <c r="O1413" i="3" s="1"/>
  <c r="F1414" i="3"/>
  <c r="O1414" i="3" s="1"/>
  <c r="F1415" i="3"/>
  <c r="O1415" i="3" s="1"/>
  <c r="F1416" i="3"/>
  <c r="O1416" i="3" s="1"/>
  <c r="F1417" i="3"/>
  <c r="O1417" i="3" s="1"/>
  <c r="F1418" i="3"/>
  <c r="O1418" i="3" s="1"/>
  <c r="F1419" i="3"/>
  <c r="O1419" i="3" s="1"/>
  <c r="F1420" i="3"/>
  <c r="O1420" i="3" s="1"/>
  <c r="F1421" i="3"/>
  <c r="O1421" i="3" s="1"/>
  <c r="F1422" i="3"/>
  <c r="O1422" i="3" s="1"/>
  <c r="F1423" i="3"/>
  <c r="O1423" i="3" s="1"/>
  <c r="F1424" i="3"/>
  <c r="O1424" i="3" s="1"/>
  <c r="F1425" i="3"/>
  <c r="O1425" i="3" s="1"/>
  <c r="F1426" i="3"/>
  <c r="O1426" i="3" s="1"/>
  <c r="F1427" i="3"/>
  <c r="O1427" i="3" s="1"/>
  <c r="F1428" i="3"/>
  <c r="O1428" i="3" s="1"/>
  <c r="F1429" i="3"/>
  <c r="O1429" i="3" s="1"/>
  <c r="F1430" i="3"/>
  <c r="O1430" i="3" s="1"/>
  <c r="F1431" i="3"/>
  <c r="O1431" i="3" s="1"/>
  <c r="F1432" i="3"/>
  <c r="O1432" i="3" s="1"/>
  <c r="F1433" i="3"/>
  <c r="O1433" i="3" s="1"/>
  <c r="F1434" i="3"/>
  <c r="O1434" i="3" s="1"/>
  <c r="F1435" i="3"/>
  <c r="O1435" i="3" s="1"/>
  <c r="F1436" i="3"/>
  <c r="O1436" i="3" s="1"/>
  <c r="F1437" i="3"/>
  <c r="O1437" i="3" s="1"/>
  <c r="F1438" i="3"/>
  <c r="O1438" i="3" s="1"/>
  <c r="F1439" i="3"/>
  <c r="O1439" i="3" s="1"/>
  <c r="F1440" i="3"/>
  <c r="O1440" i="3" s="1"/>
  <c r="F1441" i="3"/>
  <c r="O1441" i="3" s="1"/>
  <c r="F1442" i="3"/>
  <c r="O1442" i="3" s="1"/>
  <c r="F1443" i="3"/>
  <c r="O1443" i="3" s="1"/>
  <c r="F1444" i="3"/>
  <c r="O1444" i="3" s="1"/>
  <c r="F1445" i="3"/>
  <c r="O1445" i="3" s="1"/>
  <c r="F1446" i="3"/>
  <c r="O1446" i="3" s="1"/>
  <c r="F1447" i="3"/>
  <c r="O1447" i="3" s="1"/>
  <c r="F1448" i="3"/>
  <c r="O1448" i="3" s="1"/>
  <c r="F1449" i="3"/>
  <c r="O1449" i="3" s="1"/>
  <c r="F1450" i="3"/>
  <c r="O1450" i="3" s="1"/>
  <c r="F1451" i="3"/>
  <c r="O1451" i="3" s="1"/>
  <c r="F1452" i="3"/>
  <c r="O1452" i="3" s="1"/>
  <c r="F1453" i="3"/>
  <c r="O1453" i="3" s="1"/>
  <c r="F1454" i="3"/>
  <c r="O1454" i="3" s="1"/>
  <c r="F1455" i="3"/>
  <c r="O1455" i="3" s="1"/>
  <c r="F1456" i="3"/>
  <c r="O1456" i="3" s="1"/>
  <c r="F1457" i="3"/>
  <c r="O1457" i="3" s="1"/>
  <c r="F1458" i="3"/>
  <c r="O1458" i="3" s="1"/>
  <c r="F1459" i="3"/>
  <c r="O1459" i="3" s="1"/>
  <c r="F1460" i="3"/>
  <c r="O1460" i="3" s="1"/>
  <c r="F1461" i="3"/>
  <c r="O1461" i="3" s="1"/>
  <c r="F1462" i="3"/>
  <c r="O1462" i="3" s="1"/>
  <c r="F1463" i="3"/>
  <c r="O1463" i="3" s="1"/>
  <c r="F1464" i="3"/>
  <c r="O1464" i="3" s="1"/>
  <c r="F1465" i="3"/>
  <c r="O1465" i="3" s="1"/>
  <c r="F1466" i="3"/>
  <c r="O1466" i="3" s="1"/>
  <c r="F1467" i="3"/>
  <c r="O1467" i="3" s="1"/>
  <c r="F1468" i="3"/>
  <c r="O1468" i="3" s="1"/>
  <c r="F1469" i="3"/>
  <c r="O1469" i="3" s="1"/>
  <c r="F1470" i="3"/>
  <c r="O1470" i="3" s="1"/>
  <c r="F1471" i="3"/>
  <c r="O1471" i="3" s="1"/>
  <c r="F1472" i="3"/>
  <c r="O1472" i="3" s="1"/>
  <c r="F1473" i="3"/>
  <c r="O1473" i="3" s="1"/>
  <c r="F1474" i="3"/>
  <c r="O1474" i="3" s="1"/>
  <c r="F1475" i="3"/>
  <c r="O1475" i="3" s="1"/>
  <c r="F1476" i="3"/>
  <c r="O1476" i="3" s="1"/>
  <c r="F1477" i="3"/>
  <c r="O1477" i="3" s="1"/>
  <c r="F1478" i="3"/>
  <c r="O1478" i="3" s="1"/>
  <c r="F1479" i="3"/>
  <c r="O1479" i="3" s="1"/>
  <c r="F1480" i="3"/>
  <c r="O1480" i="3" s="1"/>
  <c r="F1481" i="3"/>
  <c r="O1481" i="3" s="1"/>
  <c r="F1482" i="3"/>
  <c r="O1482" i="3" s="1"/>
  <c r="F1483" i="3"/>
  <c r="O1483" i="3" s="1"/>
  <c r="F1484" i="3"/>
  <c r="O1484" i="3" s="1"/>
  <c r="F1485" i="3"/>
  <c r="O1485" i="3" s="1"/>
  <c r="F1486" i="3"/>
  <c r="O1486" i="3" s="1"/>
  <c r="F1487" i="3"/>
  <c r="O1487" i="3" s="1"/>
  <c r="F1488" i="3"/>
  <c r="O1488" i="3" s="1"/>
  <c r="F1489" i="3"/>
  <c r="O1489" i="3" s="1"/>
  <c r="F1490" i="3"/>
  <c r="O1490" i="3" s="1"/>
  <c r="F1491" i="3"/>
  <c r="O1491" i="3" s="1"/>
  <c r="F1492" i="3"/>
  <c r="O1492" i="3" s="1"/>
  <c r="F1493" i="3"/>
  <c r="O1493" i="3" s="1"/>
  <c r="F1494" i="3"/>
  <c r="O1494" i="3" s="1"/>
  <c r="F1495" i="3"/>
  <c r="O1495" i="3" s="1"/>
  <c r="F1496" i="3"/>
  <c r="O1496" i="3" s="1"/>
  <c r="F1497" i="3"/>
  <c r="O1497" i="3" s="1"/>
  <c r="F1498" i="3"/>
  <c r="O1498" i="3" s="1"/>
  <c r="F1499" i="3"/>
  <c r="O1499" i="3" s="1"/>
  <c r="F1500" i="3"/>
  <c r="O1500" i="3" s="1"/>
  <c r="F1501" i="3"/>
  <c r="O1501" i="3" s="1"/>
  <c r="F1502" i="3"/>
  <c r="O1502" i="3" s="1"/>
  <c r="F1503" i="3"/>
  <c r="O1503" i="3" s="1"/>
  <c r="F1504" i="3"/>
  <c r="O1504" i="3" s="1"/>
  <c r="F1505" i="3"/>
  <c r="O1505" i="3" s="1"/>
  <c r="F1506" i="3"/>
  <c r="O1506" i="3" s="1"/>
  <c r="F1507" i="3"/>
  <c r="O1507" i="3" s="1"/>
  <c r="F1508" i="3"/>
  <c r="O1508" i="3" s="1"/>
  <c r="F1509" i="3"/>
  <c r="O1509" i="3" s="1"/>
  <c r="F1510" i="3"/>
  <c r="O1510" i="3" s="1"/>
  <c r="F1511" i="3"/>
  <c r="O1511" i="3" s="1"/>
  <c r="F1512" i="3"/>
  <c r="O1512" i="3" s="1"/>
  <c r="F1513" i="3"/>
  <c r="O1513" i="3" s="1"/>
  <c r="F1514" i="3"/>
  <c r="O1514" i="3" s="1"/>
  <c r="F1515" i="3"/>
  <c r="O1515" i="3" s="1"/>
  <c r="F1516" i="3"/>
  <c r="O1516" i="3" s="1"/>
  <c r="F1517" i="3"/>
  <c r="O1517" i="3" s="1"/>
  <c r="F1518" i="3"/>
  <c r="O1518" i="3" s="1"/>
  <c r="F1519" i="3"/>
  <c r="O1519" i="3" s="1"/>
  <c r="F1520" i="3"/>
  <c r="O1520" i="3" s="1"/>
  <c r="F1521" i="3"/>
  <c r="O1521" i="3" s="1"/>
  <c r="F1522" i="3"/>
  <c r="O1522" i="3" s="1"/>
  <c r="F1523" i="3"/>
  <c r="O1523" i="3" s="1"/>
  <c r="F1524" i="3"/>
  <c r="O1524" i="3" s="1"/>
  <c r="F1525" i="3"/>
  <c r="O1525" i="3" s="1"/>
  <c r="F1526" i="3"/>
  <c r="O1526" i="3" s="1"/>
  <c r="F1527" i="3"/>
  <c r="O1527" i="3" s="1"/>
  <c r="F1528" i="3"/>
  <c r="O1528" i="3" s="1"/>
  <c r="F1529" i="3"/>
  <c r="O1529" i="3" s="1"/>
  <c r="F1530" i="3"/>
  <c r="O1530" i="3" s="1"/>
  <c r="F1531" i="3"/>
  <c r="O1531" i="3" s="1"/>
  <c r="F1532" i="3"/>
  <c r="O1532" i="3" s="1"/>
  <c r="F1533" i="3"/>
  <c r="O1533" i="3" s="1"/>
  <c r="F1534" i="3"/>
  <c r="O1534" i="3" s="1"/>
  <c r="F1535" i="3"/>
  <c r="O1535" i="3" s="1"/>
  <c r="F1536" i="3"/>
  <c r="O1536" i="3" s="1"/>
  <c r="F1537" i="3"/>
  <c r="O1537" i="3" s="1"/>
  <c r="F1538" i="3"/>
  <c r="O1538" i="3" s="1"/>
  <c r="F1539" i="3"/>
  <c r="O1539" i="3" s="1"/>
  <c r="F1540" i="3"/>
  <c r="O1540" i="3" s="1"/>
  <c r="F1541" i="3"/>
  <c r="O1541" i="3" s="1"/>
  <c r="F1542" i="3"/>
  <c r="O1542" i="3" s="1"/>
  <c r="F1543" i="3"/>
  <c r="O1543" i="3" s="1"/>
  <c r="F1544" i="3"/>
  <c r="O1544" i="3" s="1"/>
  <c r="F1545" i="3"/>
  <c r="O1545" i="3" s="1"/>
  <c r="F1546" i="3"/>
  <c r="O1546" i="3" s="1"/>
  <c r="F1547" i="3"/>
  <c r="O1547" i="3" s="1"/>
  <c r="F1548" i="3"/>
  <c r="O1548" i="3" s="1"/>
  <c r="F1549" i="3"/>
  <c r="O1549" i="3" s="1"/>
  <c r="F1550" i="3"/>
  <c r="O1550" i="3" s="1"/>
  <c r="F1551" i="3"/>
  <c r="O1551" i="3" s="1"/>
  <c r="F1552" i="3"/>
  <c r="O1552" i="3" s="1"/>
  <c r="F1553" i="3"/>
  <c r="O1553" i="3" s="1"/>
  <c r="F1554" i="3"/>
  <c r="O1554" i="3" s="1"/>
  <c r="F1555" i="3"/>
  <c r="O1555" i="3" s="1"/>
  <c r="F1556" i="3"/>
  <c r="O1556" i="3" s="1"/>
  <c r="F1557" i="3"/>
  <c r="O1557" i="3" s="1"/>
  <c r="F1558" i="3"/>
  <c r="O1558" i="3" s="1"/>
  <c r="F1559" i="3"/>
  <c r="O1559" i="3" s="1"/>
  <c r="F1560" i="3"/>
  <c r="O1560" i="3" s="1"/>
  <c r="F1561" i="3"/>
  <c r="O1561" i="3" s="1"/>
  <c r="F1562" i="3"/>
  <c r="O1562" i="3" s="1"/>
  <c r="F1563" i="3"/>
  <c r="O1563" i="3" s="1"/>
  <c r="F1564" i="3"/>
  <c r="O1564" i="3" s="1"/>
  <c r="F1565" i="3"/>
  <c r="O1565" i="3" s="1"/>
  <c r="F1566" i="3"/>
  <c r="O1566" i="3" s="1"/>
  <c r="F1567" i="3"/>
  <c r="O1567" i="3" s="1"/>
  <c r="F1568" i="3"/>
  <c r="O1568" i="3" s="1"/>
  <c r="F1569" i="3"/>
  <c r="O1569" i="3" s="1"/>
  <c r="F1570" i="3"/>
  <c r="O1570" i="3" s="1"/>
  <c r="F1571" i="3"/>
  <c r="O1571" i="3" s="1"/>
  <c r="F1572" i="3"/>
  <c r="O1572" i="3" s="1"/>
  <c r="F1573" i="3"/>
  <c r="O1573" i="3" s="1"/>
  <c r="F1574" i="3"/>
  <c r="O1574" i="3" s="1"/>
  <c r="F1575" i="3"/>
  <c r="O1575" i="3" s="1"/>
  <c r="F1576" i="3"/>
  <c r="O1576" i="3" s="1"/>
  <c r="F1577" i="3"/>
  <c r="O1577" i="3" s="1"/>
  <c r="F1578" i="3"/>
  <c r="O1578" i="3" s="1"/>
  <c r="F1579" i="3"/>
  <c r="O1579" i="3" s="1"/>
  <c r="F1580" i="3"/>
  <c r="O1580" i="3" s="1"/>
  <c r="F1581" i="3"/>
  <c r="O1581" i="3" s="1"/>
  <c r="F1582" i="3"/>
  <c r="O1582" i="3" s="1"/>
  <c r="F1583" i="3"/>
  <c r="O1583" i="3" s="1"/>
  <c r="F1584" i="3"/>
  <c r="O1584" i="3" s="1"/>
  <c r="F1585" i="3"/>
  <c r="O1585" i="3" s="1"/>
  <c r="F1586" i="3"/>
  <c r="O1586" i="3" s="1"/>
  <c r="F1587" i="3"/>
  <c r="O1587" i="3" s="1"/>
  <c r="F1588" i="3"/>
  <c r="O1588" i="3" s="1"/>
  <c r="F1589" i="3"/>
  <c r="O1589" i="3" s="1"/>
  <c r="F1590" i="3"/>
  <c r="O1590" i="3" s="1"/>
  <c r="F1591" i="3"/>
  <c r="O1591" i="3" s="1"/>
  <c r="F1592" i="3"/>
  <c r="O1592" i="3" s="1"/>
  <c r="F1593" i="3"/>
  <c r="O1593" i="3" s="1"/>
  <c r="F1594" i="3"/>
  <c r="O1594" i="3" s="1"/>
  <c r="F1595" i="3"/>
  <c r="O1595" i="3" s="1"/>
  <c r="F1596" i="3"/>
  <c r="O1596" i="3" s="1"/>
  <c r="F1597" i="3"/>
  <c r="O1597" i="3" s="1"/>
  <c r="F1598" i="3"/>
  <c r="O1598" i="3" s="1"/>
  <c r="F1599" i="3"/>
  <c r="O1599" i="3" s="1"/>
  <c r="F1600" i="3"/>
  <c r="O1600" i="3" s="1"/>
  <c r="F1601" i="3"/>
  <c r="O1601" i="3" s="1"/>
  <c r="F1602" i="3"/>
  <c r="O1602" i="3" s="1"/>
  <c r="F1603" i="3"/>
  <c r="O1603" i="3" s="1"/>
  <c r="F1604" i="3"/>
  <c r="O1604" i="3" s="1"/>
  <c r="F1605" i="3"/>
  <c r="O1605" i="3" s="1"/>
  <c r="F1606" i="3"/>
  <c r="O1606" i="3" s="1"/>
  <c r="F1607" i="3"/>
  <c r="O1607" i="3" s="1"/>
  <c r="F1608" i="3"/>
  <c r="O1608" i="3" s="1"/>
  <c r="F1609" i="3"/>
  <c r="O1609" i="3" s="1"/>
  <c r="F1610" i="3"/>
  <c r="O1610" i="3" s="1"/>
  <c r="F1611" i="3"/>
  <c r="O1611" i="3" s="1"/>
  <c r="F1612" i="3"/>
  <c r="O1612" i="3" s="1"/>
  <c r="F1613" i="3"/>
  <c r="O1613" i="3" s="1"/>
  <c r="F1614" i="3"/>
  <c r="O1614" i="3" s="1"/>
  <c r="F1615" i="3"/>
  <c r="O1615" i="3" s="1"/>
  <c r="F1616" i="3"/>
  <c r="O1616" i="3" s="1"/>
  <c r="F1617" i="3"/>
  <c r="O1617" i="3" s="1"/>
  <c r="F1618" i="3"/>
  <c r="O1618" i="3" s="1"/>
  <c r="F1619" i="3"/>
  <c r="O1619" i="3" s="1"/>
  <c r="F1620" i="3"/>
  <c r="O1620" i="3" s="1"/>
  <c r="F1621" i="3"/>
  <c r="O1621" i="3" s="1"/>
  <c r="F1622" i="3"/>
  <c r="O1622" i="3" s="1"/>
  <c r="F1623" i="3"/>
  <c r="O1623" i="3" s="1"/>
  <c r="F1624" i="3"/>
  <c r="O1624" i="3" s="1"/>
  <c r="F1625" i="3"/>
  <c r="O1625" i="3" s="1"/>
  <c r="F1626" i="3"/>
  <c r="O1626" i="3" s="1"/>
  <c r="F1627" i="3"/>
  <c r="O1627" i="3" s="1"/>
  <c r="F1628" i="3"/>
  <c r="O1628" i="3" s="1"/>
  <c r="F1629" i="3"/>
  <c r="O1629" i="3" s="1"/>
  <c r="F1630" i="3"/>
  <c r="O1630" i="3" s="1"/>
  <c r="F1631" i="3"/>
  <c r="O1631" i="3" s="1"/>
  <c r="F1632" i="3"/>
  <c r="O1632" i="3" s="1"/>
  <c r="F1633" i="3"/>
  <c r="O1633" i="3" s="1"/>
  <c r="F1634" i="3"/>
  <c r="O1634" i="3" s="1"/>
  <c r="F1635" i="3"/>
  <c r="O1635" i="3" s="1"/>
  <c r="F1636" i="3"/>
  <c r="O1636" i="3" s="1"/>
  <c r="F1637" i="3"/>
  <c r="O1637" i="3" s="1"/>
  <c r="F1638" i="3"/>
  <c r="O1638" i="3" s="1"/>
  <c r="F1639" i="3"/>
  <c r="O1639" i="3" s="1"/>
  <c r="F1640" i="3"/>
  <c r="O1640" i="3" s="1"/>
  <c r="F1641" i="3"/>
  <c r="O1641" i="3" s="1"/>
  <c r="F1642" i="3"/>
  <c r="O1642" i="3" s="1"/>
  <c r="F1643" i="3"/>
  <c r="O1643" i="3" s="1"/>
  <c r="F1644" i="3"/>
  <c r="O1644" i="3" s="1"/>
  <c r="F1645" i="3"/>
  <c r="O1645" i="3" s="1"/>
  <c r="F1646" i="3"/>
  <c r="O1646" i="3" s="1"/>
  <c r="F1647" i="3"/>
  <c r="O1647" i="3" s="1"/>
  <c r="F1648" i="3"/>
  <c r="O1648" i="3" s="1"/>
  <c r="F1649" i="3"/>
  <c r="O1649" i="3" s="1"/>
  <c r="F1650" i="3"/>
  <c r="O1650" i="3" s="1"/>
  <c r="F1651" i="3"/>
  <c r="O1651" i="3" s="1"/>
  <c r="F1652" i="3"/>
  <c r="O1652" i="3" s="1"/>
  <c r="F1653" i="3"/>
  <c r="O1653" i="3" s="1"/>
  <c r="F1654" i="3"/>
  <c r="O1654" i="3" s="1"/>
  <c r="F1655" i="3"/>
  <c r="O1655" i="3" s="1"/>
  <c r="F1656" i="3"/>
  <c r="O1656" i="3" s="1"/>
  <c r="F1657" i="3"/>
  <c r="O1657" i="3" s="1"/>
  <c r="F1658" i="3"/>
  <c r="O1658" i="3" s="1"/>
  <c r="F1659" i="3"/>
  <c r="O1659" i="3" s="1"/>
  <c r="F1660" i="3"/>
  <c r="O1660" i="3" s="1"/>
  <c r="F1661" i="3"/>
  <c r="O1661" i="3" s="1"/>
  <c r="F1662" i="3"/>
  <c r="O1662" i="3" s="1"/>
  <c r="F1663" i="3"/>
  <c r="O1663" i="3" s="1"/>
  <c r="F1664" i="3"/>
  <c r="O1664" i="3" s="1"/>
  <c r="F1665" i="3"/>
  <c r="O1665" i="3" s="1"/>
  <c r="F1666" i="3"/>
  <c r="O1666" i="3" s="1"/>
  <c r="F1667" i="3"/>
  <c r="O1667" i="3" s="1"/>
  <c r="F1668" i="3"/>
  <c r="O1668" i="3" s="1"/>
  <c r="F1669" i="3"/>
  <c r="O1669" i="3" s="1"/>
  <c r="F1670" i="3"/>
  <c r="O1670" i="3" s="1"/>
  <c r="F1671" i="3"/>
  <c r="O1671" i="3" s="1"/>
  <c r="F1672" i="3"/>
  <c r="O1672" i="3" s="1"/>
  <c r="F1673" i="3"/>
  <c r="O1673" i="3" s="1"/>
  <c r="F1674" i="3"/>
  <c r="O1674" i="3" s="1"/>
  <c r="F1675" i="3"/>
  <c r="O1675" i="3" s="1"/>
  <c r="F1676" i="3"/>
  <c r="O1676" i="3" s="1"/>
  <c r="F1677" i="3"/>
  <c r="O1677" i="3" s="1"/>
  <c r="F1678" i="3"/>
  <c r="O1678" i="3" s="1"/>
  <c r="F1679" i="3"/>
  <c r="O1679" i="3" s="1"/>
  <c r="F1680" i="3"/>
  <c r="O1680" i="3" s="1"/>
  <c r="F1681" i="3"/>
  <c r="O1681" i="3" s="1"/>
  <c r="F1682" i="3"/>
  <c r="O1682" i="3" s="1"/>
  <c r="F1683" i="3"/>
  <c r="O1683" i="3" s="1"/>
  <c r="F1684" i="3"/>
  <c r="O1684" i="3" s="1"/>
  <c r="F1685" i="3"/>
  <c r="O1685" i="3" s="1"/>
  <c r="F1686" i="3"/>
  <c r="O1686" i="3" s="1"/>
  <c r="F1687" i="3"/>
  <c r="O1687" i="3" s="1"/>
  <c r="F1688" i="3"/>
  <c r="O1688" i="3" s="1"/>
  <c r="F1689" i="3"/>
  <c r="O1689" i="3" s="1"/>
  <c r="F1690" i="3"/>
  <c r="O1690" i="3" s="1"/>
  <c r="F1691" i="3"/>
  <c r="O1691" i="3" s="1"/>
  <c r="F1692" i="3"/>
  <c r="O1692" i="3" s="1"/>
  <c r="F1693" i="3"/>
  <c r="O1693" i="3" s="1"/>
  <c r="F1694" i="3"/>
  <c r="O1694" i="3" s="1"/>
  <c r="F1695" i="3"/>
  <c r="O1695" i="3" s="1"/>
  <c r="F1696" i="3"/>
  <c r="O1696" i="3" s="1"/>
  <c r="F1697" i="3"/>
  <c r="O1697" i="3" s="1"/>
  <c r="F1698" i="3"/>
  <c r="O1698" i="3" s="1"/>
  <c r="F1699" i="3"/>
  <c r="O1699" i="3" s="1"/>
  <c r="F1700" i="3"/>
  <c r="O1700" i="3" s="1"/>
  <c r="F1701" i="3"/>
  <c r="O1701" i="3" s="1"/>
  <c r="F1702" i="3"/>
  <c r="O1702" i="3" s="1"/>
  <c r="F1703" i="3"/>
  <c r="O1703" i="3" s="1"/>
  <c r="F1704" i="3"/>
  <c r="O1704" i="3" s="1"/>
  <c r="F1705" i="3"/>
  <c r="O1705" i="3" s="1"/>
  <c r="F1706" i="3"/>
  <c r="O1706" i="3" s="1"/>
  <c r="F1707" i="3"/>
  <c r="O1707" i="3" s="1"/>
  <c r="F1708" i="3"/>
  <c r="O1708" i="3" s="1"/>
  <c r="F1709" i="3"/>
  <c r="O1709" i="3" s="1"/>
  <c r="F1710" i="3"/>
  <c r="O1710" i="3" s="1"/>
  <c r="F1711" i="3"/>
  <c r="O1711" i="3" s="1"/>
  <c r="F1712" i="3"/>
  <c r="O1712" i="3" s="1"/>
  <c r="F1713" i="3"/>
  <c r="O1713" i="3" s="1"/>
  <c r="F1714" i="3"/>
  <c r="O1714" i="3" s="1"/>
  <c r="F1715" i="3"/>
  <c r="O1715" i="3" s="1"/>
  <c r="F1716" i="3"/>
  <c r="O1716" i="3" s="1"/>
  <c r="F1717" i="3"/>
  <c r="O1717" i="3" s="1"/>
  <c r="F1718" i="3"/>
  <c r="O1718" i="3" s="1"/>
  <c r="F1719" i="3"/>
  <c r="O1719" i="3" s="1"/>
  <c r="F1720" i="3"/>
  <c r="O1720" i="3" s="1"/>
  <c r="F1721" i="3"/>
  <c r="O1721" i="3" s="1"/>
  <c r="F1722" i="3"/>
  <c r="O1722" i="3" s="1"/>
  <c r="F1723" i="3"/>
  <c r="O1723" i="3" s="1"/>
  <c r="F1724" i="3"/>
  <c r="O1724" i="3" s="1"/>
  <c r="F1725" i="3"/>
  <c r="O1725" i="3" s="1"/>
  <c r="F1726" i="3"/>
  <c r="O1726" i="3" s="1"/>
  <c r="F1727" i="3"/>
  <c r="O1727" i="3" s="1"/>
  <c r="F1728" i="3"/>
  <c r="O1728" i="3" s="1"/>
  <c r="F1729" i="3"/>
  <c r="O1729" i="3" s="1"/>
  <c r="F1730" i="3"/>
  <c r="O1730" i="3" s="1"/>
  <c r="F1731" i="3"/>
  <c r="O1731" i="3" s="1"/>
  <c r="F1732" i="3"/>
  <c r="O1732" i="3" s="1"/>
  <c r="F1733" i="3"/>
  <c r="O1733" i="3" s="1"/>
  <c r="F1734" i="3"/>
  <c r="O1734" i="3" s="1"/>
  <c r="F1735" i="3"/>
  <c r="O1735" i="3" s="1"/>
  <c r="F1736" i="3"/>
  <c r="O1736" i="3" s="1"/>
  <c r="F1737" i="3"/>
  <c r="O1737" i="3" s="1"/>
  <c r="F1738" i="3"/>
  <c r="O1738" i="3" s="1"/>
  <c r="F1739" i="3"/>
  <c r="O1739" i="3" s="1"/>
  <c r="F1740" i="3"/>
  <c r="O1740" i="3" s="1"/>
  <c r="F1741" i="3"/>
  <c r="O1741" i="3" s="1"/>
  <c r="F1742" i="3"/>
  <c r="O1742" i="3" s="1"/>
  <c r="F1743" i="3"/>
  <c r="O1743" i="3" s="1"/>
  <c r="F1744" i="3"/>
  <c r="O1744" i="3" s="1"/>
  <c r="F1745" i="3"/>
  <c r="O1745" i="3" s="1"/>
  <c r="F1746" i="3"/>
  <c r="O1746" i="3" s="1"/>
  <c r="F1747" i="3"/>
  <c r="O1747" i="3" s="1"/>
  <c r="F1748" i="3"/>
  <c r="O1748" i="3" s="1"/>
  <c r="F1749" i="3"/>
  <c r="O1749" i="3" s="1"/>
  <c r="F1750" i="3"/>
  <c r="O1750" i="3" s="1"/>
  <c r="F1751" i="3"/>
  <c r="O1751" i="3" s="1"/>
  <c r="F1752" i="3"/>
  <c r="O1752" i="3" s="1"/>
  <c r="F1753" i="3"/>
  <c r="O1753" i="3" s="1"/>
  <c r="F1754" i="3"/>
  <c r="O1754" i="3" s="1"/>
  <c r="F1755" i="3"/>
  <c r="O1755" i="3" s="1"/>
  <c r="F1756" i="3"/>
  <c r="O1756" i="3" s="1"/>
  <c r="F1757" i="3"/>
  <c r="O1757" i="3" s="1"/>
  <c r="F1758" i="3"/>
  <c r="O1758" i="3" s="1"/>
  <c r="F1759" i="3"/>
  <c r="O1759" i="3" s="1"/>
  <c r="F1760" i="3"/>
  <c r="O1760" i="3" s="1"/>
  <c r="F1761" i="3"/>
  <c r="O1761" i="3" s="1"/>
  <c r="F1762" i="3"/>
  <c r="O1762" i="3" s="1"/>
  <c r="F1763" i="3"/>
  <c r="O1763" i="3" s="1"/>
  <c r="F1764" i="3"/>
  <c r="O1764" i="3" s="1"/>
  <c r="F1765" i="3"/>
  <c r="O1765" i="3" s="1"/>
  <c r="F1766" i="3"/>
  <c r="O1766" i="3" s="1"/>
  <c r="F1767" i="3"/>
  <c r="O1767" i="3" s="1"/>
  <c r="F1768" i="3"/>
  <c r="O1768" i="3" s="1"/>
  <c r="F1769" i="3"/>
  <c r="O1769" i="3" s="1"/>
  <c r="F1770" i="3"/>
  <c r="O1770" i="3" s="1"/>
  <c r="F1771" i="3"/>
  <c r="O1771" i="3" s="1"/>
  <c r="F1772" i="3"/>
  <c r="O1772" i="3" s="1"/>
  <c r="F1773" i="3"/>
  <c r="O1773" i="3" s="1"/>
  <c r="F1774" i="3"/>
  <c r="O1774" i="3" s="1"/>
  <c r="F1775" i="3"/>
  <c r="O1775" i="3" s="1"/>
  <c r="F1776" i="3"/>
  <c r="O1776" i="3" s="1"/>
  <c r="F1777" i="3"/>
  <c r="O1777" i="3" s="1"/>
  <c r="F1778" i="3"/>
  <c r="O1778" i="3" s="1"/>
  <c r="F1779" i="3"/>
  <c r="O1779" i="3" s="1"/>
  <c r="F1780" i="3"/>
  <c r="O1780" i="3" s="1"/>
  <c r="F1781" i="3"/>
  <c r="O1781" i="3" s="1"/>
  <c r="F1782" i="3"/>
  <c r="O1782" i="3" s="1"/>
  <c r="F1783" i="3"/>
  <c r="O1783" i="3" s="1"/>
  <c r="F1784" i="3"/>
  <c r="O1784" i="3" s="1"/>
  <c r="F1785" i="3"/>
  <c r="O1785" i="3" s="1"/>
  <c r="F1786" i="3"/>
  <c r="O1786" i="3" s="1"/>
  <c r="F1787" i="3"/>
  <c r="O1787" i="3" s="1"/>
  <c r="F1788" i="3"/>
  <c r="O1788" i="3" s="1"/>
  <c r="F1789" i="3"/>
  <c r="O1789" i="3" s="1"/>
  <c r="F1790" i="3"/>
  <c r="O1790" i="3" s="1"/>
  <c r="F1791" i="3"/>
  <c r="O1791" i="3" s="1"/>
  <c r="F1792" i="3"/>
  <c r="O1792" i="3" s="1"/>
  <c r="F1793" i="3"/>
  <c r="O1793" i="3" s="1"/>
  <c r="F1794" i="3"/>
  <c r="O1794" i="3" s="1"/>
  <c r="F1795" i="3"/>
  <c r="O1795" i="3" s="1"/>
  <c r="F1796" i="3"/>
  <c r="O1796" i="3" s="1"/>
  <c r="F1797" i="3"/>
  <c r="O1797" i="3" s="1"/>
  <c r="F1798" i="3"/>
  <c r="O1798" i="3" s="1"/>
  <c r="F1799" i="3"/>
  <c r="O1799" i="3" s="1"/>
  <c r="F1800" i="3"/>
  <c r="O1800" i="3" s="1"/>
  <c r="F1801" i="3"/>
  <c r="O1801" i="3" s="1"/>
  <c r="F1802" i="3"/>
  <c r="O1802" i="3" s="1"/>
  <c r="F1803" i="3"/>
  <c r="O1803" i="3" s="1"/>
  <c r="F1804" i="3"/>
  <c r="O1804" i="3" s="1"/>
  <c r="F1805" i="3"/>
  <c r="O1805" i="3" s="1"/>
  <c r="F1806" i="3"/>
  <c r="O1806" i="3" s="1"/>
  <c r="F1807" i="3"/>
  <c r="O1807" i="3" s="1"/>
  <c r="F1808" i="3"/>
  <c r="O1808" i="3" s="1"/>
  <c r="F1809" i="3"/>
  <c r="O1809" i="3" s="1"/>
  <c r="F1810" i="3"/>
  <c r="O1810" i="3" s="1"/>
  <c r="F1811" i="3"/>
  <c r="O1811" i="3" s="1"/>
  <c r="F1812" i="3"/>
  <c r="O1812" i="3" s="1"/>
  <c r="F1813" i="3"/>
  <c r="O1813" i="3" s="1"/>
  <c r="F1814" i="3"/>
  <c r="O1814" i="3" s="1"/>
  <c r="F1815" i="3"/>
  <c r="O1815" i="3" s="1"/>
  <c r="F1816" i="3"/>
  <c r="O1816" i="3" s="1"/>
  <c r="F1817" i="3"/>
  <c r="O1817" i="3" s="1"/>
  <c r="F1818" i="3"/>
  <c r="O1818" i="3" s="1"/>
  <c r="F1819" i="3"/>
  <c r="O1819" i="3" s="1"/>
  <c r="F1820" i="3"/>
  <c r="O1820" i="3" s="1"/>
  <c r="F1821" i="3"/>
  <c r="O1821" i="3" s="1"/>
  <c r="F1822" i="3"/>
  <c r="O1822" i="3" s="1"/>
  <c r="F1823" i="3"/>
  <c r="O1823" i="3" s="1"/>
  <c r="F1824" i="3"/>
  <c r="O1824" i="3" s="1"/>
  <c r="F1825" i="3"/>
  <c r="O1825" i="3" s="1"/>
  <c r="F1826" i="3"/>
  <c r="O1826" i="3" s="1"/>
  <c r="F1827" i="3"/>
  <c r="O1827" i="3" s="1"/>
  <c r="F1828" i="3"/>
  <c r="O1828" i="3" s="1"/>
  <c r="F1829" i="3"/>
  <c r="O1829" i="3" s="1"/>
  <c r="F1830" i="3"/>
  <c r="O1830" i="3" s="1"/>
  <c r="F1831" i="3"/>
  <c r="O1831" i="3" s="1"/>
  <c r="F1832" i="3"/>
  <c r="O1832" i="3" s="1"/>
  <c r="F1833" i="3"/>
  <c r="O1833" i="3" s="1"/>
  <c r="F1834" i="3"/>
  <c r="O1834" i="3" s="1"/>
  <c r="F1835" i="3"/>
  <c r="O1835" i="3" s="1"/>
  <c r="F1836" i="3"/>
  <c r="O1836" i="3" s="1"/>
  <c r="F1837" i="3"/>
  <c r="O1837" i="3" s="1"/>
  <c r="F1838" i="3"/>
  <c r="O1838" i="3" s="1"/>
  <c r="F1839" i="3"/>
  <c r="O1839" i="3" s="1"/>
  <c r="F1840" i="3"/>
  <c r="O1840" i="3" s="1"/>
  <c r="F1841" i="3"/>
  <c r="O1841" i="3" s="1"/>
  <c r="F1842" i="3"/>
  <c r="O1842" i="3" s="1"/>
  <c r="F1843" i="3"/>
  <c r="O1843" i="3" s="1"/>
  <c r="F1844" i="3"/>
  <c r="O1844" i="3" s="1"/>
  <c r="F1845" i="3"/>
  <c r="O1845" i="3" s="1"/>
  <c r="F1846" i="3"/>
  <c r="O1846" i="3" s="1"/>
  <c r="F1847" i="3"/>
  <c r="O1847" i="3" s="1"/>
  <c r="F1848" i="3"/>
  <c r="O1848" i="3" s="1"/>
  <c r="F1849" i="3"/>
  <c r="O1849" i="3" s="1"/>
  <c r="F1850" i="3"/>
  <c r="O1850" i="3" s="1"/>
  <c r="F1851" i="3"/>
  <c r="O1851" i="3" s="1"/>
  <c r="F1852" i="3"/>
  <c r="O1852" i="3" s="1"/>
  <c r="F1853" i="3"/>
  <c r="O1853" i="3" s="1"/>
  <c r="F1854" i="3"/>
  <c r="O1854" i="3" s="1"/>
  <c r="F1855" i="3"/>
  <c r="O1855" i="3" s="1"/>
  <c r="F1856" i="3"/>
  <c r="O1856" i="3" s="1"/>
  <c r="F1857" i="3"/>
  <c r="O1857" i="3" s="1"/>
  <c r="F1858" i="3"/>
  <c r="O1858" i="3" s="1"/>
  <c r="F1859" i="3"/>
  <c r="O1859" i="3" s="1"/>
  <c r="F1860" i="3"/>
  <c r="O1860" i="3" s="1"/>
  <c r="F1861" i="3"/>
  <c r="O1861" i="3" s="1"/>
  <c r="F1862" i="3"/>
  <c r="O1862" i="3" s="1"/>
  <c r="F1863" i="3"/>
  <c r="O1863" i="3" s="1"/>
  <c r="F1864" i="3"/>
  <c r="O1864" i="3" s="1"/>
  <c r="F1865" i="3"/>
  <c r="O1865" i="3" s="1"/>
  <c r="F1866" i="3"/>
  <c r="O1866" i="3" s="1"/>
  <c r="F1867" i="3"/>
  <c r="O1867" i="3" s="1"/>
  <c r="F1868" i="3"/>
  <c r="O1868" i="3" s="1"/>
  <c r="F1869" i="3"/>
  <c r="O1869" i="3" s="1"/>
  <c r="F1870" i="3"/>
  <c r="O1870" i="3" s="1"/>
  <c r="F1871" i="3"/>
  <c r="O1871" i="3" s="1"/>
  <c r="F1872" i="3"/>
  <c r="O1872" i="3" s="1"/>
  <c r="F1873" i="3"/>
  <c r="O1873" i="3" s="1"/>
  <c r="F1874" i="3"/>
  <c r="O1874" i="3" s="1"/>
  <c r="F1875" i="3"/>
  <c r="O1875" i="3" s="1"/>
  <c r="F1876" i="3"/>
  <c r="O1876" i="3" s="1"/>
  <c r="F1877" i="3"/>
  <c r="O1877" i="3" s="1"/>
  <c r="F1878" i="3"/>
  <c r="O1878" i="3" s="1"/>
  <c r="F1879" i="3"/>
  <c r="O1879" i="3" s="1"/>
  <c r="F1880" i="3"/>
  <c r="O1880" i="3" s="1"/>
  <c r="F1881" i="3"/>
  <c r="O1881" i="3" s="1"/>
  <c r="F1882" i="3"/>
  <c r="O1882" i="3" s="1"/>
  <c r="F1883" i="3"/>
  <c r="O1883" i="3" s="1"/>
  <c r="F1884" i="3"/>
  <c r="O1884" i="3" s="1"/>
  <c r="F1885" i="3"/>
  <c r="O1885" i="3" s="1"/>
  <c r="F1886" i="3"/>
  <c r="O1886" i="3" s="1"/>
  <c r="F1887" i="3"/>
  <c r="O1887" i="3" s="1"/>
  <c r="F1888" i="3"/>
  <c r="O1888" i="3" s="1"/>
  <c r="F1889" i="3"/>
  <c r="O1889" i="3" s="1"/>
  <c r="F1890" i="3"/>
  <c r="O1890" i="3" s="1"/>
  <c r="F1891" i="3"/>
  <c r="O1891" i="3" s="1"/>
  <c r="F1892" i="3"/>
  <c r="O1892" i="3" s="1"/>
  <c r="F1893" i="3"/>
  <c r="O1893" i="3" s="1"/>
  <c r="F1894" i="3"/>
  <c r="O1894" i="3" s="1"/>
  <c r="F1895" i="3"/>
  <c r="O1895" i="3" s="1"/>
  <c r="F1896" i="3"/>
  <c r="O1896" i="3" s="1"/>
  <c r="F1897" i="3"/>
  <c r="O1897" i="3" s="1"/>
  <c r="F1898" i="3"/>
  <c r="O1898" i="3" s="1"/>
  <c r="F1899" i="3"/>
  <c r="O1899" i="3" s="1"/>
  <c r="F1900" i="3"/>
  <c r="O1900" i="3" s="1"/>
  <c r="F1901" i="3"/>
  <c r="O1901" i="3" s="1"/>
  <c r="F1902" i="3"/>
  <c r="O1902" i="3" s="1"/>
  <c r="F1903" i="3"/>
  <c r="O1903" i="3" s="1"/>
  <c r="F1904" i="3"/>
  <c r="O1904" i="3" s="1"/>
  <c r="F1905" i="3"/>
  <c r="O1905" i="3" s="1"/>
  <c r="F1906" i="3"/>
  <c r="O1906" i="3" s="1"/>
  <c r="F1907" i="3"/>
  <c r="O1907" i="3" s="1"/>
  <c r="F1908" i="3"/>
  <c r="O1908" i="3" s="1"/>
  <c r="F1909" i="3"/>
  <c r="O1909" i="3" s="1"/>
  <c r="F1910" i="3"/>
  <c r="O1910" i="3" s="1"/>
  <c r="F1911" i="3"/>
  <c r="O1911" i="3" s="1"/>
  <c r="F1912" i="3"/>
  <c r="O1912" i="3" s="1"/>
  <c r="F1913" i="3"/>
  <c r="O1913" i="3" s="1"/>
  <c r="F1914" i="3"/>
  <c r="O1914" i="3" s="1"/>
  <c r="F1915" i="3"/>
  <c r="O1915" i="3" s="1"/>
  <c r="F1916" i="3"/>
  <c r="O1916" i="3" s="1"/>
  <c r="F1917" i="3"/>
  <c r="O1917" i="3" s="1"/>
  <c r="F1918" i="3"/>
  <c r="O1918" i="3" s="1"/>
  <c r="F1919" i="3"/>
  <c r="O1919" i="3" s="1"/>
  <c r="F1920" i="3"/>
  <c r="O1920" i="3" s="1"/>
  <c r="F1921" i="3"/>
  <c r="O1921" i="3" s="1"/>
  <c r="F1922" i="3"/>
  <c r="O1922" i="3" s="1"/>
  <c r="F1923" i="3"/>
  <c r="O1923" i="3" s="1"/>
  <c r="F1924" i="3"/>
  <c r="O1924" i="3" s="1"/>
  <c r="F1925" i="3"/>
  <c r="O1925" i="3" s="1"/>
  <c r="F1926" i="3"/>
  <c r="O1926" i="3" s="1"/>
  <c r="F1927" i="3"/>
  <c r="O1927" i="3" s="1"/>
  <c r="F1928" i="3"/>
  <c r="O1928" i="3" s="1"/>
  <c r="F1929" i="3"/>
  <c r="O1929" i="3" s="1"/>
  <c r="F1930" i="3"/>
  <c r="O1930" i="3" s="1"/>
  <c r="F1931" i="3"/>
  <c r="O1931" i="3" s="1"/>
  <c r="F1932" i="3"/>
  <c r="O1932" i="3" s="1"/>
  <c r="F1933" i="3"/>
  <c r="O1933" i="3" s="1"/>
  <c r="F1934" i="3"/>
  <c r="O1934" i="3" s="1"/>
  <c r="F1935" i="3"/>
  <c r="O1935" i="3" s="1"/>
  <c r="F1936" i="3"/>
  <c r="O1936" i="3" s="1"/>
  <c r="F1937" i="3"/>
  <c r="O1937" i="3" s="1"/>
  <c r="F1938" i="3"/>
  <c r="O1938" i="3" s="1"/>
  <c r="F1939" i="3"/>
  <c r="O1939" i="3" s="1"/>
  <c r="F1940" i="3"/>
  <c r="O1940" i="3" s="1"/>
  <c r="F1941" i="3"/>
  <c r="O1941" i="3" s="1"/>
  <c r="F1942" i="3"/>
  <c r="O1942" i="3" s="1"/>
  <c r="F1943" i="3"/>
  <c r="O1943" i="3" s="1"/>
  <c r="F1944" i="3"/>
  <c r="O1944" i="3" s="1"/>
  <c r="F1945" i="3"/>
  <c r="O1945" i="3" s="1"/>
  <c r="F1946" i="3"/>
  <c r="O1946" i="3" s="1"/>
  <c r="F1947" i="3"/>
  <c r="O1947" i="3" s="1"/>
  <c r="F1948" i="3"/>
  <c r="O1948" i="3" s="1"/>
  <c r="F1949" i="3"/>
  <c r="O1949" i="3" s="1"/>
  <c r="F1950" i="3"/>
  <c r="O1950" i="3" s="1"/>
  <c r="F1951" i="3"/>
  <c r="O1951" i="3" s="1"/>
  <c r="F1952" i="3"/>
  <c r="O1952" i="3" s="1"/>
  <c r="F1953" i="3"/>
  <c r="O1953" i="3" s="1"/>
  <c r="F1954" i="3"/>
  <c r="O1954" i="3" s="1"/>
  <c r="F1955" i="3"/>
  <c r="O1955" i="3" s="1"/>
  <c r="F1956" i="3"/>
  <c r="O1956" i="3" s="1"/>
  <c r="F1957" i="3"/>
  <c r="O1957" i="3" s="1"/>
  <c r="F1958" i="3"/>
  <c r="O1958" i="3" s="1"/>
  <c r="F1959" i="3"/>
  <c r="O1959" i="3" s="1"/>
  <c r="F1960" i="3"/>
  <c r="O1960" i="3" s="1"/>
  <c r="F1961" i="3"/>
  <c r="O1961" i="3" s="1"/>
  <c r="F1962" i="3"/>
  <c r="O1962" i="3" s="1"/>
  <c r="F1963" i="3"/>
  <c r="O1963" i="3" s="1"/>
  <c r="F1964" i="3"/>
  <c r="O1964" i="3" s="1"/>
  <c r="F1965" i="3"/>
  <c r="O1965" i="3" s="1"/>
  <c r="F1966" i="3"/>
  <c r="O1966" i="3" s="1"/>
  <c r="F1967" i="3"/>
  <c r="O1967" i="3" s="1"/>
  <c r="F1968" i="3"/>
  <c r="O1968" i="3" s="1"/>
  <c r="F1969" i="3"/>
  <c r="O1969" i="3" s="1"/>
  <c r="F1970" i="3"/>
  <c r="O1970" i="3" s="1"/>
  <c r="F1971" i="3"/>
  <c r="O1971" i="3" s="1"/>
  <c r="F1972" i="3"/>
  <c r="O1972" i="3" s="1"/>
  <c r="F1973" i="3"/>
  <c r="O1973" i="3" s="1"/>
  <c r="F1974" i="3"/>
  <c r="O1974" i="3" s="1"/>
  <c r="F1975" i="3"/>
  <c r="O1975" i="3" s="1"/>
  <c r="F1976" i="3"/>
  <c r="O1976" i="3" s="1"/>
  <c r="F1977" i="3"/>
  <c r="O1977" i="3" s="1"/>
  <c r="F1978" i="3"/>
  <c r="O1978" i="3" s="1"/>
  <c r="F1979" i="3"/>
  <c r="O1979" i="3" s="1"/>
  <c r="F1980" i="3"/>
  <c r="O1980" i="3" s="1"/>
  <c r="F1981" i="3"/>
  <c r="O1981" i="3" s="1"/>
  <c r="F1982" i="3"/>
  <c r="O1982" i="3" s="1"/>
  <c r="F1983" i="3"/>
  <c r="O1983" i="3" s="1"/>
  <c r="F1984" i="3"/>
  <c r="O1984" i="3" s="1"/>
  <c r="F1985" i="3"/>
  <c r="O1985" i="3" s="1"/>
  <c r="F1986" i="3"/>
  <c r="O1986" i="3" s="1"/>
  <c r="F1987" i="3"/>
  <c r="O1987" i="3" s="1"/>
  <c r="F1988" i="3"/>
  <c r="O1988" i="3" s="1"/>
  <c r="F1989" i="3"/>
  <c r="O1989" i="3" s="1"/>
  <c r="F1990" i="3"/>
  <c r="O1990" i="3" s="1"/>
  <c r="F1991" i="3"/>
  <c r="O1991" i="3" s="1"/>
  <c r="F1992" i="3"/>
  <c r="O1992" i="3" s="1"/>
  <c r="F1993" i="3"/>
  <c r="O1993" i="3" s="1"/>
  <c r="F1994" i="3"/>
  <c r="O1994" i="3" s="1"/>
  <c r="F1995" i="3"/>
  <c r="O1995" i="3" s="1"/>
  <c r="F1996" i="3"/>
  <c r="O1996" i="3" s="1"/>
  <c r="F1997" i="3"/>
  <c r="O1997" i="3" s="1"/>
  <c r="F1998" i="3"/>
  <c r="O1998" i="3" s="1"/>
  <c r="F1999" i="3"/>
  <c r="O1999" i="3" s="1"/>
  <c r="F2000" i="3"/>
  <c r="O2000" i="3" s="1"/>
  <c r="F2001" i="3"/>
  <c r="O2001" i="3" s="1"/>
  <c r="F2002" i="3"/>
  <c r="O2002" i="3" s="1"/>
  <c r="F2003" i="3"/>
  <c r="O2003" i="3" s="1"/>
  <c r="F2004" i="3"/>
  <c r="O2004" i="3" s="1"/>
  <c r="F2005" i="3"/>
  <c r="O2005" i="3" s="1"/>
  <c r="F2006" i="3"/>
  <c r="O2006" i="3" s="1"/>
  <c r="F2007" i="3"/>
  <c r="O2007" i="3" s="1"/>
  <c r="F2008" i="3"/>
  <c r="O2008" i="3" s="1"/>
  <c r="F2009" i="3"/>
  <c r="O2009" i="3" s="1"/>
  <c r="F2010" i="3"/>
  <c r="O2010" i="3" s="1"/>
  <c r="F2011" i="3"/>
  <c r="O2011" i="3" s="1"/>
  <c r="F2012" i="3"/>
  <c r="O2012" i="3" s="1"/>
  <c r="F2013" i="3"/>
  <c r="O2013" i="3" s="1"/>
  <c r="F2014" i="3"/>
  <c r="O2014" i="3" s="1"/>
  <c r="F2015" i="3"/>
  <c r="O2015" i="3" s="1"/>
  <c r="F2016" i="3"/>
  <c r="O2016" i="3" s="1"/>
  <c r="F2017" i="3"/>
  <c r="O2017" i="3" s="1"/>
  <c r="F2018" i="3"/>
  <c r="O2018" i="3" s="1"/>
  <c r="F2019" i="3"/>
  <c r="O2019" i="3" s="1"/>
  <c r="F2020" i="3"/>
  <c r="O2020" i="3" s="1"/>
  <c r="F2021" i="3"/>
  <c r="O2021" i="3" s="1"/>
  <c r="F2022" i="3"/>
  <c r="O2022" i="3" s="1"/>
  <c r="F2023" i="3"/>
  <c r="O2023" i="3" s="1"/>
  <c r="F2024" i="3"/>
  <c r="O2024" i="3" s="1"/>
  <c r="F2025" i="3"/>
  <c r="O2025" i="3" s="1"/>
  <c r="F2026" i="3"/>
  <c r="O2026" i="3" s="1"/>
  <c r="F2027" i="3"/>
  <c r="O2027" i="3" s="1"/>
  <c r="F2028" i="3"/>
  <c r="O2028" i="3" s="1"/>
  <c r="F2029" i="3"/>
  <c r="O2029" i="3" s="1"/>
  <c r="F2030" i="3"/>
  <c r="O2030" i="3" s="1"/>
  <c r="F2031" i="3"/>
  <c r="O2031" i="3" s="1"/>
  <c r="F2032" i="3"/>
  <c r="O2032" i="3" s="1"/>
  <c r="F2033" i="3"/>
  <c r="O2033" i="3" s="1"/>
  <c r="F2034" i="3"/>
  <c r="O2034" i="3" s="1"/>
  <c r="F2035" i="3"/>
  <c r="O2035" i="3" s="1"/>
  <c r="F2036" i="3"/>
  <c r="O2036" i="3" s="1"/>
  <c r="F2037" i="3"/>
  <c r="O2037" i="3" s="1"/>
  <c r="F2038" i="3"/>
  <c r="O2038" i="3" s="1"/>
  <c r="F2039" i="3"/>
  <c r="O2039" i="3" s="1"/>
  <c r="F2040" i="3"/>
  <c r="O2040" i="3" s="1"/>
  <c r="F2041" i="3"/>
  <c r="O2041" i="3" s="1"/>
  <c r="F2042" i="3"/>
  <c r="O2042" i="3" s="1"/>
  <c r="F2043" i="3"/>
  <c r="O2043" i="3" s="1"/>
  <c r="F2044" i="3"/>
  <c r="O2044" i="3" s="1"/>
  <c r="F2045" i="3"/>
  <c r="O2045" i="3" s="1"/>
  <c r="F2046" i="3"/>
  <c r="O2046" i="3" s="1"/>
  <c r="F2047" i="3"/>
  <c r="O2047" i="3" s="1"/>
  <c r="F2048" i="3"/>
  <c r="O2048" i="3" s="1"/>
  <c r="F2049" i="3"/>
  <c r="O2049" i="3" s="1"/>
  <c r="F2050" i="3"/>
  <c r="O2050" i="3" s="1"/>
  <c r="F2051" i="3"/>
  <c r="O2051" i="3" s="1"/>
  <c r="F2052" i="3"/>
  <c r="O2052" i="3" s="1"/>
  <c r="F2053" i="3"/>
  <c r="O2053" i="3" s="1"/>
  <c r="F2054" i="3"/>
  <c r="O2054" i="3" s="1"/>
  <c r="F2055" i="3"/>
  <c r="O2055" i="3" s="1"/>
  <c r="F2056" i="3"/>
  <c r="O2056" i="3" s="1"/>
  <c r="F2057" i="3"/>
  <c r="O2057" i="3" s="1"/>
  <c r="F2058" i="3"/>
  <c r="O2058" i="3" s="1"/>
  <c r="F2059" i="3"/>
  <c r="O2059" i="3" s="1"/>
  <c r="F2060" i="3"/>
  <c r="O2060" i="3" s="1"/>
  <c r="F2061" i="3"/>
  <c r="O2061" i="3" s="1"/>
  <c r="F2062" i="3"/>
  <c r="O2062" i="3" s="1"/>
  <c r="F2063" i="3"/>
  <c r="O2063" i="3" s="1"/>
  <c r="F2064" i="3"/>
  <c r="O2064" i="3" s="1"/>
  <c r="F2065" i="3"/>
  <c r="O2065" i="3" s="1"/>
  <c r="F2066" i="3"/>
  <c r="O2066" i="3" s="1"/>
  <c r="F2067" i="3"/>
  <c r="O2067" i="3" s="1"/>
  <c r="F2068" i="3"/>
  <c r="O2068" i="3" s="1"/>
  <c r="F2069" i="3"/>
  <c r="O2069" i="3" s="1"/>
  <c r="F2070" i="3"/>
  <c r="O2070" i="3" s="1"/>
  <c r="F2071" i="3"/>
  <c r="O2071" i="3" s="1"/>
  <c r="F2072" i="3"/>
  <c r="O2072" i="3" s="1"/>
  <c r="F2073" i="3"/>
  <c r="O2073" i="3" s="1"/>
  <c r="F2074" i="3"/>
  <c r="O2074" i="3" s="1"/>
  <c r="F2075" i="3"/>
  <c r="O2075" i="3" s="1"/>
  <c r="F2076" i="3"/>
  <c r="O2076" i="3" s="1"/>
  <c r="F2077" i="3"/>
  <c r="O2077" i="3" s="1"/>
  <c r="F2078" i="3"/>
  <c r="O2078" i="3" s="1"/>
  <c r="F2079" i="3"/>
  <c r="O2079" i="3" s="1"/>
  <c r="F2080" i="3"/>
  <c r="O2080" i="3" s="1"/>
  <c r="F2081" i="3"/>
  <c r="O2081" i="3" s="1"/>
  <c r="F2082" i="3"/>
  <c r="O2082" i="3" s="1"/>
  <c r="F2083" i="3"/>
  <c r="O2083" i="3" s="1"/>
  <c r="F2084" i="3"/>
  <c r="O2084" i="3" s="1"/>
  <c r="F2085" i="3"/>
  <c r="O2085" i="3" s="1"/>
  <c r="F2086" i="3"/>
  <c r="O2086" i="3" s="1"/>
  <c r="F2087" i="3"/>
  <c r="O2087" i="3" s="1"/>
  <c r="F2088" i="3"/>
  <c r="O2088" i="3" s="1"/>
  <c r="F2089" i="3"/>
  <c r="O2089" i="3" s="1"/>
  <c r="F2090" i="3"/>
  <c r="O2090" i="3" s="1"/>
  <c r="F2091" i="3"/>
  <c r="O2091" i="3" s="1"/>
  <c r="F2092" i="3"/>
  <c r="O2092" i="3" s="1"/>
  <c r="F2093" i="3"/>
  <c r="O2093" i="3" s="1"/>
  <c r="F2094" i="3"/>
  <c r="O2094" i="3" s="1"/>
  <c r="F2095" i="3"/>
  <c r="O2095" i="3" s="1"/>
  <c r="F2096" i="3"/>
  <c r="O2096" i="3" s="1"/>
  <c r="F2097" i="3"/>
  <c r="O2097" i="3" s="1"/>
  <c r="F2098" i="3"/>
  <c r="O2098" i="3" s="1"/>
  <c r="F2099" i="3"/>
  <c r="O2099" i="3" s="1"/>
  <c r="F2100" i="3"/>
  <c r="O2100" i="3" s="1"/>
  <c r="F2101" i="3"/>
  <c r="O2101" i="3" s="1"/>
  <c r="F2102" i="3"/>
  <c r="O2102" i="3" s="1"/>
  <c r="F2103" i="3"/>
  <c r="O2103" i="3" s="1"/>
  <c r="F2104" i="3"/>
  <c r="O2104" i="3" s="1"/>
  <c r="F2105" i="3"/>
  <c r="O2105" i="3" s="1"/>
  <c r="F2106" i="3"/>
  <c r="O2106" i="3" s="1"/>
  <c r="F2107" i="3"/>
  <c r="O2107" i="3" s="1"/>
  <c r="F2108" i="3"/>
  <c r="O2108" i="3" s="1"/>
  <c r="F2109" i="3"/>
  <c r="O2109" i="3" s="1"/>
  <c r="F2110" i="3"/>
  <c r="O2110" i="3" s="1"/>
  <c r="F2111" i="3"/>
  <c r="O2111" i="3" s="1"/>
  <c r="F2112" i="3"/>
  <c r="O2112" i="3" s="1"/>
  <c r="F2113" i="3"/>
  <c r="O2113" i="3" s="1"/>
  <c r="F2114" i="3"/>
  <c r="O2114" i="3" s="1"/>
  <c r="F2115" i="3"/>
  <c r="O2115" i="3" s="1"/>
  <c r="F2116" i="3"/>
  <c r="O2116" i="3" s="1"/>
  <c r="F2117" i="3"/>
  <c r="O2117" i="3" s="1"/>
  <c r="F2118" i="3"/>
  <c r="O2118" i="3" s="1"/>
  <c r="F2119" i="3"/>
  <c r="O2119" i="3" s="1"/>
  <c r="F2120" i="3"/>
  <c r="O2120" i="3" s="1"/>
  <c r="F2121" i="3"/>
  <c r="O2121" i="3" s="1"/>
  <c r="F2122" i="3"/>
  <c r="O2122" i="3" s="1"/>
  <c r="F2123" i="3"/>
  <c r="O2123" i="3" s="1"/>
  <c r="F2124" i="3"/>
  <c r="O2124" i="3" s="1"/>
  <c r="F2125" i="3"/>
  <c r="O2125" i="3" s="1"/>
  <c r="F2126" i="3"/>
  <c r="O2126" i="3" s="1"/>
  <c r="F2127" i="3"/>
  <c r="O2127" i="3" s="1"/>
  <c r="F2128" i="3"/>
  <c r="O2128" i="3" s="1"/>
  <c r="F2129" i="3"/>
  <c r="O2129" i="3" s="1"/>
  <c r="F2130" i="3"/>
  <c r="O2130" i="3" s="1"/>
  <c r="F2131" i="3"/>
  <c r="O2131" i="3" s="1"/>
  <c r="F2132" i="3"/>
  <c r="O2132" i="3" s="1"/>
  <c r="F2133" i="3"/>
  <c r="O2133" i="3" s="1"/>
  <c r="F2134" i="3"/>
  <c r="O2134" i="3" s="1"/>
  <c r="F2135" i="3"/>
  <c r="O2135" i="3" s="1"/>
  <c r="F2136" i="3"/>
  <c r="O2136" i="3" s="1"/>
  <c r="F2137" i="3"/>
  <c r="O2137" i="3" s="1"/>
  <c r="F2138" i="3"/>
  <c r="O2138" i="3" s="1"/>
  <c r="F2139" i="3"/>
  <c r="O2139" i="3" s="1"/>
  <c r="F2140" i="3"/>
  <c r="O2140" i="3" s="1"/>
  <c r="F2141" i="3"/>
  <c r="O2141" i="3" s="1"/>
  <c r="F2142" i="3"/>
  <c r="O2142" i="3" s="1"/>
  <c r="F2143" i="3"/>
  <c r="O2143" i="3" s="1"/>
  <c r="F2144" i="3"/>
  <c r="O2144" i="3" s="1"/>
  <c r="F2145" i="3"/>
  <c r="O2145" i="3" s="1"/>
  <c r="F2146" i="3"/>
  <c r="O2146" i="3" s="1"/>
  <c r="F2147" i="3"/>
  <c r="O2147" i="3" s="1"/>
  <c r="F2148" i="3"/>
  <c r="O2148" i="3" s="1"/>
  <c r="F2149" i="3"/>
  <c r="O2149" i="3" s="1"/>
  <c r="F2150" i="3"/>
  <c r="O2150" i="3" s="1"/>
  <c r="F2151" i="3"/>
  <c r="O2151" i="3" s="1"/>
  <c r="F2152" i="3"/>
  <c r="O2152" i="3" s="1"/>
  <c r="F2153" i="3"/>
  <c r="O2153" i="3" s="1"/>
  <c r="F2154" i="3"/>
  <c r="O2154" i="3" s="1"/>
  <c r="F2155" i="3"/>
  <c r="O2155" i="3" s="1"/>
  <c r="F2156" i="3"/>
  <c r="O2156" i="3" s="1"/>
  <c r="F2157" i="3"/>
  <c r="O2157" i="3" s="1"/>
  <c r="F2158" i="3"/>
  <c r="O2158" i="3" s="1"/>
  <c r="F2159" i="3"/>
  <c r="O2159" i="3" s="1"/>
  <c r="F2160" i="3"/>
  <c r="O2160" i="3" s="1"/>
  <c r="F2161" i="3"/>
  <c r="O2161" i="3" s="1"/>
  <c r="F2162" i="3"/>
  <c r="O2162" i="3" s="1"/>
  <c r="F2163" i="3"/>
  <c r="O2163" i="3" s="1"/>
  <c r="F2164" i="3"/>
  <c r="O2164" i="3" s="1"/>
  <c r="F2165" i="3"/>
  <c r="O2165" i="3" s="1"/>
  <c r="F2166" i="3"/>
  <c r="O2166" i="3" s="1"/>
  <c r="F2167" i="3"/>
  <c r="O2167" i="3" s="1"/>
  <c r="F2168" i="3"/>
  <c r="O2168" i="3" s="1"/>
  <c r="F2169" i="3"/>
  <c r="O2169" i="3" s="1"/>
  <c r="F2170" i="3"/>
  <c r="O2170" i="3" s="1"/>
  <c r="F2171" i="3"/>
  <c r="O2171" i="3" s="1"/>
  <c r="F2172" i="3"/>
  <c r="O2172" i="3" s="1"/>
  <c r="F2173" i="3"/>
  <c r="O2173" i="3" s="1"/>
  <c r="F2174" i="3"/>
  <c r="O2174" i="3" s="1"/>
  <c r="F2175" i="3"/>
  <c r="O2175" i="3" s="1"/>
  <c r="F2176" i="3"/>
  <c r="O2176" i="3" s="1"/>
  <c r="F2177" i="3"/>
  <c r="O2177" i="3" s="1"/>
  <c r="F2178" i="3"/>
  <c r="O2178" i="3" s="1"/>
  <c r="F2179" i="3"/>
  <c r="O2179" i="3" s="1"/>
  <c r="F2180" i="3"/>
  <c r="O2180" i="3" s="1"/>
  <c r="F2181" i="3"/>
  <c r="O2181" i="3" s="1"/>
  <c r="F2182" i="3"/>
  <c r="O2182" i="3" s="1"/>
  <c r="F2183" i="3"/>
  <c r="O2183" i="3" s="1"/>
  <c r="F2184" i="3"/>
  <c r="O2184" i="3" s="1"/>
  <c r="F2185" i="3"/>
  <c r="O2185" i="3" s="1"/>
  <c r="F2186" i="3"/>
  <c r="O2186" i="3" s="1"/>
  <c r="F2187" i="3"/>
  <c r="O2187" i="3" s="1"/>
  <c r="F2188" i="3"/>
  <c r="O2188" i="3" s="1"/>
  <c r="F2189" i="3"/>
  <c r="O2189" i="3" s="1"/>
  <c r="F2190" i="3"/>
  <c r="O2190" i="3" s="1"/>
  <c r="F2191" i="3"/>
  <c r="O2191" i="3" s="1"/>
  <c r="F2192" i="3"/>
  <c r="O2192" i="3" s="1"/>
  <c r="F2193" i="3"/>
  <c r="O2193" i="3" s="1"/>
  <c r="F2194" i="3"/>
  <c r="O2194" i="3" s="1"/>
  <c r="F2195" i="3"/>
  <c r="O2195" i="3" s="1"/>
  <c r="F2196" i="3"/>
  <c r="O2196" i="3" s="1"/>
  <c r="F2197" i="3"/>
  <c r="O2197" i="3" s="1"/>
  <c r="F2198" i="3"/>
  <c r="O2198" i="3" s="1"/>
  <c r="F2199" i="3"/>
  <c r="O2199" i="3" s="1"/>
  <c r="F2200" i="3"/>
  <c r="O2200" i="3" s="1"/>
  <c r="F2201" i="3"/>
  <c r="O2201" i="3" s="1"/>
  <c r="F2202" i="3"/>
  <c r="O2202" i="3" s="1"/>
  <c r="F2203" i="3"/>
  <c r="O2203" i="3" s="1"/>
  <c r="F2204" i="3"/>
  <c r="O2204" i="3" s="1"/>
  <c r="F2205" i="3"/>
  <c r="O2205" i="3" s="1"/>
  <c r="F2206" i="3"/>
  <c r="O2206" i="3" s="1"/>
  <c r="F2207" i="3"/>
  <c r="O2207" i="3" s="1"/>
  <c r="F2208" i="3"/>
  <c r="O2208" i="3" s="1"/>
  <c r="F2209" i="3"/>
  <c r="O2209" i="3" s="1"/>
  <c r="F2210" i="3"/>
  <c r="O2210" i="3" s="1"/>
  <c r="F2211" i="3"/>
  <c r="O2211" i="3" s="1"/>
  <c r="F2212" i="3"/>
  <c r="O2212" i="3" s="1"/>
  <c r="F2213" i="3"/>
  <c r="O2213" i="3" s="1"/>
  <c r="F2214" i="3"/>
  <c r="O2214" i="3" s="1"/>
  <c r="F2215" i="3"/>
  <c r="O2215" i="3" s="1"/>
  <c r="F2216" i="3"/>
  <c r="O2216" i="3" s="1"/>
  <c r="F2217" i="3"/>
  <c r="O2217" i="3" s="1"/>
  <c r="F2218" i="3"/>
  <c r="O2218" i="3" s="1"/>
  <c r="F2219" i="3"/>
  <c r="O2219" i="3" s="1"/>
  <c r="F2220" i="3"/>
  <c r="O2220" i="3" s="1"/>
  <c r="F2221" i="3"/>
  <c r="O2221" i="3" s="1"/>
  <c r="F2222" i="3"/>
  <c r="O2222" i="3" s="1"/>
  <c r="F2223" i="3"/>
  <c r="O2223" i="3" s="1"/>
  <c r="F2224" i="3"/>
  <c r="O2224" i="3" s="1"/>
  <c r="F2225" i="3"/>
  <c r="O2225" i="3" s="1"/>
  <c r="F2226" i="3"/>
  <c r="O2226" i="3" s="1"/>
  <c r="F2227" i="3"/>
  <c r="O2227" i="3" s="1"/>
  <c r="F2228" i="3"/>
  <c r="O2228" i="3" s="1"/>
  <c r="F2229" i="3"/>
  <c r="O2229" i="3" s="1"/>
  <c r="F2230" i="3"/>
  <c r="O2230" i="3" s="1"/>
  <c r="F2231" i="3"/>
  <c r="O2231" i="3" s="1"/>
  <c r="F2232" i="3"/>
  <c r="O2232" i="3" s="1"/>
  <c r="F2233" i="3"/>
  <c r="O2233" i="3" s="1"/>
  <c r="F2234" i="3"/>
  <c r="O2234" i="3" s="1"/>
  <c r="F2235" i="3"/>
  <c r="O2235" i="3" s="1"/>
  <c r="F2236" i="3"/>
  <c r="O2236" i="3" s="1"/>
  <c r="F2237" i="3"/>
  <c r="O2237" i="3" s="1"/>
  <c r="F2238" i="3"/>
  <c r="O2238" i="3" s="1"/>
  <c r="F2239" i="3"/>
  <c r="O2239" i="3" s="1"/>
  <c r="F2240" i="3"/>
  <c r="O2240" i="3" s="1"/>
  <c r="F2241" i="3"/>
  <c r="O2241" i="3" s="1"/>
  <c r="F2242" i="3"/>
  <c r="O2242" i="3" s="1"/>
  <c r="F2243" i="3"/>
  <c r="O2243" i="3" s="1"/>
  <c r="F2244" i="3"/>
  <c r="O2244" i="3" s="1"/>
  <c r="F2245" i="3"/>
  <c r="O2245" i="3" s="1"/>
  <c r="F2246" i="3"/>
  <c r="O2246" i="3" s="1"/>
  <c r="F2247" i="3"/>
  <c r="O2247" i="3" s="1"/>
  <c r="F2248" i="3"/>
  <c r="O2248" i="3" s="1"/>
  <c r="F2249" i="3"/>
  <c r="O2249" i="3" s="1"/>
  <c r="F2250" i="3"/>
  <c r="O2250" i="3" s="1"/>
  <c r="F2251" i="3"/>
  <c r="O2251" i="3" s="1"/>
  <c r="F2252" i="3"/>
  <c r="O2252" i="3" s="1"/>
  <c r="F2253" i="3"/>
  <c r="O2253" i="3" s="1"/>
  <c r="F2254" i="3"/>
  <c r="O2254" i="3" s="1"/>
  <c r="F2255" i="3"/>
  <c r="O2255" i="3" s="1"/>
  <c r="F2256" i="3"/>
  <c r="O2256" i="3" s="1"/>
  <c r="F2257" i="3"/>
  <c r="O2257" i="3" s="1"/>
  <c r="F2258" i="3"/>
  <c r="O2258" i="3" s="1"/>
  <c r="F2259" i="3"/>
  <c r="O2259" i="3" s="1"/>
  <c r="F2260" i="3"/>
  <c r="O2260" i="3" s="1"/>
  <c r="F2261" i="3"/>
  <c r="O2261" i="3" s="1"/>
  <c r="F2262" i="3"/>
  <c r="O2262" i="3" s="1"/>
  <c r="F2263" i="3"/>
  <c r="O2263" i="3" s="1"/>
  <c r="F2264" i="3"/>
  <c r="O2264" i="3" s="1"/>
  <c r="F2265" i="3"/>
  <c r="O2265" i="3" s="1"/>
  <c r="F2266" i="3"/>
  <c r="O2266" i="3" s="1"/>
  <c r="F2267" i="3"/>
  <c r="O2267" i="3" s="1"/>
  <c r="F2268" i="3"/>
  <c r="O2268" i="3" s="1"/>
  <c r="F2269" i="3"/>
  <c r="O2269" i="3" s="1"/>
  <c r="F2270" i="3"/>
  <c r="O2270" i="3" s="1"/>
  <c r="F2271" i="3"/>
  <c r="O2271" i="3" s="1"/>
  <c r="F2272" i="3"/>
  <c r="O2272" i="3" s="1"/>
  <c r="F2273" i="3"/>
  <c r="O2273" i="3" s="1"/>
  <c r="F2274" i="3"/>
  <c r="O2274" i="3" s="1"/>
  <c r="F2275" i="3"/>
  <c r="O2275" i="3" s="1"/>
  <c r="F2276" i="3"/>
  <c r="O2276" i="3" s="1"/>
  <c r="F2277" i="3"/>
  <c r="O2277" i="3" s="1"/>
  <c r="F2278" i="3"/>
  <c r="O2278" i="3" s="1"/>
  <c r="F2279" i="3"/>
  <c r="O2279" i="3" s="1"/>
  <c r="F2280" i="3"/>
  <c r="O2280" i="3" s="1"/>
  <c r="F2281" i="3"/>
  <c r="O2281" i="3" s="1"/>
  <c r="F2282" i="3"/>
  <c r="O2282" i="3" s="1"/>
  <c r="F2283" i="3"/>
  <c r="O2283" i="3" s="1"/>
  <c r="F2284" i="3"/>
  <c r="O2284" i="3" s="1"/>
  <c r="F2285" i="3"/>
  <c r="O2285" i="3" s="1"/>
  <c r="F2286" i="3"/>
  <c r="O2286" i="3" s="1"/>
  <c r="F2287" i="3"/>
  <c r="O2287" i="3" s="1"/>
  <c r="F2288" i="3"/>
  <c r="O2288" i="3" s="1"/>
  <c r="F2289" i="3"/>
  <c r="O2289" i="3" s="1"/>
  <c r="F2290" i="3"/>
  <c r="O2290" i="3" s="1"/>
  <c r="F2291" i="3"/>
  <c r="O2291" i="3" s="1"/>
  <c r="F2292" i="3"/>
  <c r="O2292" i="3" s="1"/>
  <c r="F2293" i="3"/>
  <c r="O2293" i="3" s="1"/>
  <c r="F2294" i="3"/>
  <c r="O2294" i="3" s="1"/>
  <c r="F2295" i="3"/>
  <c r="O2295" i="3" s="1"/>
  <c r="F2296" i="3"/>
  <c r="O2296" i="3" s="1"/>
  <c r="F2297" i="3"/>
  <c r="O2297" i="3" s="1"/>
  <c r="F2298" i="3"/>
  <c r="O2298" i="3" s="1"/>
  <c r="F2299" i="3"/>
  <c r="O2299" i="3" s="1"/>
  <c r="F2300" i="3"/>
  <c r="O2300" i="3" s="1"/>
  <c r="F2301" i="3"/>
  <c r="O2301" i="3" s="1"/>
  <c r="F2302" i="3"/>
  <c r="O2302" i="3" s="1"/>
  <c r="F2303" i="3"/>
  <c r="O2303" i="3" s="1"/>
  <c r="F2304" i="3"/>
  <c r="O2304" i="3" s="1"/>
  <c r="F2305" i="3"/>
  <c r="O2305" i="3" s="1"/>
  <c r="F2306" i="3"/>
  <c r="O2306" i="3" s="1"/>
  <c r="F2307" i="3"/>
  <c r="O2307" i="3" s="1"/>
  <c r="F2308" i="3"/>
  <c r="O2308" i="3" s="1"/>
  <c r="F2309" i="3"/>
  <c r="O2309" i="3" s="1"/>
  <c r="F2310" i="3"/>
  <c r="O2310" i="3" s="1"/>
  <c r="F2311" i="3"/>
  <c r="O2311" i="3" s="1"/>
  <c r="F2312" i="3"/>
  <c r="O2312" i="3" s="1"/>
  <c r="F2313" i="3"/>
  <c r="O2313" i="3" s="1"/>
  <c r="F2314" i="3"/>
  <c r="O2314" i="3" s="1"/>
  <c r="F2315" i="3"/>
  <c r="O2315" i="3" s="1"/>
  <c r="F2316" i="3"/>
  <c r="O2316" i="3" s="1"/>
  <c r="F2317" i="3"/>
  <c r="O2317" i="3" s="1"/>
  <c r="F2318" i="3"/>
  <c r="O2318" i="3" s="1"/>
  <c r="F2319" i="3"/>
  <c r="O2319" i="3" s="1"/>
  <c r="F2320" i="3"/>
  <c r="O2320" i="3" s="1"/>
  <c r="F2321" i="3"/>
  <c r="O2321" i="3" s="1"/>
  <c r="F2322" i="3"/>
  <c r="O2322" i="3" s="1"/>
  <c r="F2323" i="3"/>
  <c r="O2323" i="3" s="1"/>
  <c r="F2324" i="3"/>
  <c r="O2324" i="3" s="1"/>
  <c r="F2325" i="3"/>
  <c r="O2325" i="3" s="1"/>
  <c r="F2326" i="3"/>
  <c r="O2326" i="3" s="1"/>
  <c r="F2327" i="3"/>
  <c r="O2327" i="3" s="1"/>
  <c r="F2328" i="3"/>
  <c r="O2328" i="3" s="1"/>
  <c r="F2329" i="3"/>
  <c r="O2329" i="3" s="1"/>
  <c r="F2330" i="3"/>
  <c r="O2330" i="3" s="1"/>
  <c r="F2331" i="3"/>
  <c r="O2331" i="3" s="1"/>
  <c r="F2332" i="3"/>
  <c r="O2332" i="3" s="1"/>
  <c r="F2333" i="3"/>
  <c r="O2333" i="3" s="1"/>
  <c r="F2334" i="3"/>
  <c r="O2334" i="3" s="1"/>
  <c r="F2335" i="3"/>
  <c r="O2335" i="3" s="1"/>
  <c r="F2336" i="3"/>
  <c r="O2336" i="3" s="1"/>
  <c r="F2337" i="3"/>
  <c r="O2337" i="3" s="1"/>
  <c r="F2338" i="3"/>
  <c r="O2338" i="3" s="1"/>
  <c r="F2339" i="3"/>
  <c r="O2339" i="3" s="1"/>
  <c r="F2340" i="3"/>
  <c r="O2340" i="3" s="1"/>
  <c r="F2341" i="3"/>
  <c r="O2341" i="3" s="1"/>
  <c r="F2342" i="3"/>
  <c r="O2342" i="3" s="1"/>
  <c r="F2343" i="3"/>
  <c r="O2343" i="3" s="1"/>
  <c r="F2344" i="3"/>
  <c r="O2344" i="3" s="1"/>
  <c r="F2345" i="3"/>
  <c r="O2345" i="3" s="1"/>
  <c r="F2346" i="3"/>
  <c r="O2346" i="3" s="1"/>
  <c r="F2347" i="3"/>
  <c r="O2347" i="3" s="1"/>
  <c r="F2348" i="3"/>
  <c r="O2348" i="3" s="1"/>
  <c r="F2349" i="3"/>
  <c r="O2349" i="3" s="1"/>
  <c r="F2350" i="3"/>
  <c r="O2350" i="3" s="1"/>
  <c r="F2351" i="3"/>
  <c r="O2351" i="3" s="1"/>
  <c r="F2352" i="3"/>
  <c r="O2352" i="3" s="1"/>
  <c r="F2353" i="3"/>
  <c r="O2353" i="3" s="1"/>
  <c r="F2354" i="3"/>
  <c r="O2354" i="3" s="1"/>
  <c r="F2355" i="3"/>
  <c r="O2355" i="3" s="1"/>
  <c r="F2356" i="3"/>
  <c r="O2356" i="3" s="1"/>
  <c r="F2357" i="3"/>
  <c r="O2357" i="3" s="1"/>
  <c r="F2358" i="3"/>
  <c r="O2358" i="3" s="1"/>
  <c r="F2359" i="3"/>
  <c r="O2359" i="3" s="1"/>
  <c r="F2360" i="3"/>
  <c r="O2360" i="3" s="1"/>
  <c r="F2361" i="3"/>
  <c r="O2361" i="3" s="1"/>
  <c r="F2362" i="3"/>
  <c r="O2362" i="3" s="1"/>
  <c r="F2363" i="3"/>
  <c r="O2363" i="3" s="1"/>
  <c r="F2364" i="3"/>
  <c r="O2364" i="3" s="1"/>
  <c r="F2365" i="3"/>
  <c r="O2365" i="3" s="1"/>
  <c r="F2366" i="3"/>
  <c r="O2366" i="3" s="1"/>
  <c r="F2367" i="3"/>
  <c r="O2367" i="3" s="1"/>
  <c r="F2368" i="3"/>
  <c r="O2368" i="3" s="1"/>
  <c r="F2369" i="3"/>
  <c r="O2369" i="3" s="1"/>
  <c r="F2370" i="3"/>
  <c r="O2370" i="3" s="1"/>
  <c r="F2371" i="3"/>
  <c r="O2371" i="3" s="1"/>
  <c r="F2372" i="3"/>
  <c r="O2372" i="3" s="1"/>
  <c r="F2373" i="3"/>
  <c r="O2373" i="3" s="1"/>
  <c r="F2374" i="3"/>
  <c r="O2374" i="3" s="1"/>
  <c r="F2375" i="3"/>
  <c r="O2375" i="3" s="1"/>
  <c r="F2376" i="3"/>
  <c r="O2376" i="3" s="1"/>
  <c r="F2377" i="3"/>
  <c r="O2377" i="3" s="1"/>
  <c r="F2378" i="3"/>
  <c r="O2378" i="3" s="1"/>
  <c r="F2379" i="3"/>
  <c r="O2379" i="3" s="1"/>
  <c r="F2380" i="3"/>
  <c r="O2380" i="3" s="1"/>
  <c r="F2381" i="3"/>
  <c r="O2381" i="3" s="1"/>
  <c r="F2382" i="3"/>
  <c r="O2382" i="3" s="1"/>
  <c r="F2383" i="3"/>
  <c r="O2383" i="3" s="1"/>
  <c r="F2384" i="3"/>
  <c r="O2384" i="3" s="1"/>
  <c r="F2385" i="3"/>
  <c r="O2385" i="3" s="1"/>
  <c r="F2386" i="3"/>
  <c r="O2386" i="3" s="1"/>
  <c r="F2387" i="3"/>
  <c r="O2387" i="3" s="1"/>
  <c r="F2388" i="3"/>
  <c r="O2388" i="3" s="1"/>
  <c r="F2389" i="3"/>
  <c r="O2389" i="3" s="1"/>
  <c r="F2390" i="3"/>
  <c r="O2390" i="3" s="1"/>
  <c r="F2391" i="3"/>
  <c r="O2391" i="3" s="1"/>
  <c r="F2392" i="3"/>
  <c r="O2392" i="3" s="1"/>
  <c r="F2393" i="3"/>
  <c r="O2393" i="3" s="1"/>
  <c r="F2394" i="3"/>
  <c r="O2394" i="3" s="1"/>
  <c r="F2395" i="3"/>
  <c r="O2395" i="3" s="1"/>
  <c r="F2396" i="3"/>
  <c r="O2396" i="3" s="1"/>
  <c r="F2397" i="3"/>
  <c r="O2397" i="3" s="1"/>
  <c r="F2398" i="3"/>
  <c r="O2398" i="3" s="1"/>
  <c r="F2399" i="3"/>
  <c r="O2399" i="3" s="1"/>
  <c r="F2400" i="3"/>
  <c r="O2400" i="3" s="1"/>
  <c r="F2401" i="3"/>
  <c r="O2401" i="3" s="1"/>
  <c r="F2402" i="3"/>
  <c r="O2402" i="3" s="1"/>
  <c r="F2403" i="3"/>
  <c r="O2403" i="3" s="1"/>
  <c r="F2404" i="3"/>
  <c r="O2404" i="3" s="1"/>
  <c r="F2405" i="3"/>
  <c r="O2405" i="3" s="1"/>
  <c r="F2406" i="3"/>
  <c r="O2406" i="3" s="1"/>
  <c r="F2407" i="3"/>
  <c r="O2407" i="3" s="1"/>
  <c r="F2408" i="3"/>
  <c r="O2408" i="3" s="1"/>
  <c r="F2409" i="3"/>
  <c r="O2409" i="3" s="1"/>
  <c r="F2410" i="3"/>
  <c r="O2410" i="3" s="1"/>
  <c r="F2411" i="3"/>
  <c r="O2411" i="3" s="1"/>
  <c r="F2412" i="3"/>
  <c r="O2412" i="3" s="1"/>
  <c r="F2413" i="3"/>
  <c r="O2413" i="3" s="1"/>
  <c r="F2414" i="3"/>
  <c r="O2414" i="3" s="1"/>
  <c r="F2415" i="3"/>
  <c r="O2415" i="3" s="1"/>
  <c r="F2416" i="3"/>
  <c r="O2416" i="3" s="1"/>
  <c r="F2417" i="3"/>
  <c r="O2417" i="3" s="1"/>
  <c r="F2418" i="3"/>
  <c r="O2418" i="3" s="1"/>
  <c r="F2419" i="3"/>
  <c r="O2419" i="3" s="1"/>
  <c r="F2420" i="3"/>
  <c r="O2420" i="3" s="1"/>
  <c r="F2421" i="3"/>
  <c r="O2421" i="3" s="1"/>
  <c r="F2422" i="3"/>
  <c r="O2422" i="3" s="1"/>
  <c r="F2423" i="3"/>
  <c r="O2423" i="3" s="1"/>
  <c r="F2424" i="3"/>
  <c r="O2424" i="3" s="1"/>
  <c r="F2425" i="3"/>
  <c r="O2425" i="3" s="1"/>
  <c r="F2426" i="3"/>
  <c r="O2426" i="3" s="1"/>
  <c r="F2427" i="3"/>
  <c r="O2427" i="3" s="1"/>
  <c r="F2428" i="3"/>
  <c r="O2428" i="3" s="1"/>
  <c r="F2429" i="3"/>
  <c r="O2429" i="3" s="1"/>
  <c r="F2430" i="3"/>
  <c r="O2430" i="3" s="1"/>
  <c r="F2431" i="3"/>
  <c r="O2431" i="3" s="1"/>
  <c r="F2432" i="3"/>
  <c r="O2432" i="3" s="1"/>
  <c r="F2433" i="3"/>
  <c r="O2433" i="3" s="1"/>
  <c r="F2434" i="3"/>
  <c r="O2434" i="3" s="1"/>
  <c r="F2435" i="3"/>
  <c r="O2435" i="3" s="1"/>
  <c r="F2436" i="3"/>
  <c r="O2436" i="3" s="1"/>
  <c r="F2437" i="3"/>
  <c r="O2437" i="3" s="1"/>
  <c r="F2438" i="3"/>
  <c r="O2438" i="3" s="1"/>
  <c r="F2439" i="3"/>
  <c r="O2439" i="3" s="1"/>
  <c r="F2440" i="3"/>
  <c r="O2440" i="3" s="1"/>
  <c r="F2441" i="3"/>
  <c r="O2441" i="3" s="1"/>
  <c r="F2442" i="3"/>
  <c r="O2442" i="3" s="1"/>
  <c r="F2443" i="3"/>
  <c r="O2443" i="3" s="1"/>
  <c r="F2444" i="3"/>
  <c r="O2444" i="3" s="1"/>
  <c r="F2445" i="3"/>
  <c r="O2445" i="3" s="1"/>
  <c r="F2446" i="3"/>
  <c r="O2446" i="3" s="1"/>
  <c r="F2447" i="3"/>
  <c r="O2447" i="3" s="1"/>
  <c r="F2448" i="3"/>
  <c r="O2448" i="3" s="1"/>
  <c r="F2449" i="3"/>
  <c r="O2449" i="3" s="1"/>
  <c r="F2450" i="3"/>
  <c r="O2450" i="3" s="1"/>
  <c r="F2451" i="3"/>
  <c r="O2451" i="3" s="1"/>
  <c r="F2452" i="3"/>
  <c r="O2452" i="3" s="1"/>
  <c r="F2453" i="3"/>
  <c r="O2453" i="3" s="1"/>
  <c r="F2454" i="3"/>
  <c r="O2454" i="3" s="1"/>
  <c r="F2455" i="3"/>
  <c r="O2455" i="3" s="1"/>
  <c r="F2456" i="3"/>
  <c r="O2456" i="3" s="1"/>
  <c r="F2457" i="3"/>
  <c r="O2457" i="3" s="1"/>
  <c r="F2458" i="3"/>
  <c r="O2458" i="3" s="1"/>
  <c r="F2459" i="3"/>
  <c r="O2459" i="3" s="1"/>
  <c r="F2460" i="3"/>
  <c r="O2460" i="3" s="1"/>
  <c r="F2461" i="3"/>
  <c r="O2461" i="3" s="1"/>
  <c r="F2462" i="3"/>
  <c r="O2462" i="3" s="1"/>
  <c r="F2463" i="3"/>
  <c r="O2463" i="3" s="1"/>
  <c r="F2464" i="3"/>
  <c r="O2464" i="3" s="1"/>
  <c r="F2465" i="3"/>
  <c r="O2465" i="3" s="1"/>
  <c r="F2466" i="3"/>
  <c r="O2466" i="3" s="1"/>
  <c r="F2467" i="3"/>
  <c r="O2467" i="3" s="1"/>
  <c r="F2468" i="3"/>
  <c r="O2468" i="3" s="1"/>
  <c r="F2469" i="3"/>
  <c r="O2469" i="3" s="1"/>
  <c r="F2470" i="3"/>
  <c r="O2470" i="3" s="1"/>
  <c r="F2471" i="3"/>
  <c r="O2471" i="3" s="1"/>
  <c r="F2472" i="3"/>
  <c r="O2472" i="3" s="1"/>
  <c r="F2473" i="3"/>
  <c r="O2473" i="3" s="1"/>
  <c r="F2474" i="3"/>
  <c r="O2474" i="3" s="1"/>
  <c r="F2475" i="3"/>
  <c r="O2475" i="3" s="1"/>
  <c r="F2476" i="3"/>
  <c r="O2476" i="3" s="1"/>
  <c r="F2477" i="3"/>
  <c r="O2477" i="3" s="1"/>
  <c r="F2478" i="3"/>
  <c r="O2478" i="3" s="1"/>
  <c r="F2479" i="3"/>
  <c r="O2479" i="3" s="1"/>
  <c r="F2480" i="3"/>
  <c r="O2480" i="3" s="1"/>
  <c r="F2481" i="3"/>
  <c r="O2481" i="3" s="1"/>
  <c r="F2482" i="3"/>
  <c r="O2482" i="3" s="1"/>
  <c r="F2483" i="3"/>
  <c r="O2483" i="3" s="1"/>
  <c r="F2484" i="3"/>
  <c r="O2484" i="3" s="1"/>
  <c r="F2485" i="3"/>
  <c r="O2485" i="3" s="1"/>
  <c r="F2486" i="3"/>
  <c r="O2486" i="3" s="1"/>
  <c r="F2487" i="3"/>
  <c r="O2487" i="3" s="1"/>
  <c r="F2488" i="3"/>
  <c r="O2488" i="3" s="1"/>
  <c r="F2489" i="3"/>
  <c r="O2489" i="3" s="1"/>
  <c r="F2490" i="3"/>
  <c r="O2490" i="3" s="1"/>
  <c r="F2491" i="3"/>
  <c r="O2491" i="3" s="1"/>
  <c r="F2492" i="3"/>
  <c r="O2492" i="3" s="1"/>
  <c r="F2493" i="3"/>
  <c r="O2493" i="3" s="1"/>
  <c r="F2494" i="3"/>
  <c r="O2494" i="3" s="1"/>
  <c r="F2495" i="3"/>
  <c r="O2495" i="3" s="1"/>
  <c r="F2496" i="3"/>
  <c r="O2496" i="3" s="1"/>
  <c r="F2497" i="3"/>
  <c r="O2497" i="3" s="1"/>
  <c r="F2498" i="3"/>
  <c r="O2498" i="3" s="1"/>
  <c r="F2499" i="3"/>
  <c r="O2499" i="3" s="1"/>
  <c r="F2500" i="3"/>
  <c r="O2500" i="3" s="1"/>
  <c r="F2501" i="3"/>
  <c r="O2501" i="3" s="1"/>
  <c r="F2502" i="3"/>
  <c r="O2502" i="3" s="1"/>
  <c r="F2503" i="3"/>
  <c r="O2503" i="3" s="1"/>
  <c r="F2504" i="3"/>
  <c r="O2504" i="3" s="1"/>
  <c r="F2505" i="3"/>
  <c r="O2505" i="3" s="1"/>
  <c r="F2506" i="3"/>
  <c r="O2506" i="3" s="1"/>
  <c r="F2507" i="3"/>
  <c r="O2507" i="3" s="1"/>
  <c r="F2508" i="3"/>
  <c r="O2508" i="3" s="1"/>
  <c r="F2509" i="3"/>
  <c r="O2509" i="3" s="1"/>
  <c r="F2510" i="3"/>
  <c r="O2510" i="3" s="1"/>
  <c r="F2511" i="3"/>
  <c r="O2511" i="3" s="1"/>
  <c r="F2512" i="3"/>
  <c r="O2512" i="3" s="1"/>
  <c r="F2513" i="3"/>
  <c r="O2513" i="3" s="1"/>
  <c r="F2514" i="3"/>
  <c r="O2514" i="3" s="1"/>
  <c r="F2515" i="3"/>
  <c r="O2515" i="3" s="1"/>
  <c r="F2516" i="3"/>
  <c r="O2516" i="3" s="1"/>
  <c r="F2517" i="3"/>
  <c r="O2517" i="3" s="1"/>
  <c r="F2518" i="3"/>
  <c r="O2518" i="3" s="1"/>
  <c r="F2519" i="3"/>
  <c r="O2519" i="3" s="1"/>
  <c r="F2520" i="3"/>
  <c r="O2520" i="3" s="1"/>
  <c r="F2521" i="3"/>
  <c r="O2521" i="3" s="1"/>
  <c r="F2522" i="3"/>
  <c r="O2522" i="3" s="1"/>
  <c r="F2523" i="3"/>
  <c r="O2523" i="3" s="1"/>
  <c r="F2524" i="3"/>
  <c r="O2524" i="3" s="1"/>
  <c r="F2525" i="3"/>
  <c r="O2525" i="3" s="1"/>
  <c r="F2526" i="3"/>
  <c r="O2526" i="3" s="1"/>
  <c r="F2527" i="3"/>
  <c r="O2527" i="3" s="1"/>
  <c r="F2528" i="3"/>
  <c r="O2528" i="3" s="1"/>
  <c r="F2529" i="3"/>
  <c r="O2529" i="3" s="1"/>
  <c r="F2530" i="3"/>
  <c r="O2530" i="3" s="1"/>
  <c r="F2531" i="3"/>
  <c r="O2531" i="3" s="1"/>
  <c r="F2532" i="3"/>
  <c r="O2532" i="3" s="1"/>
  <c r="F2533" i="3"/>
  <c r="O2533" i="3" s="1"/>
  <c r="F2534" i="3"/>
  <c r="O2534" i="3" s="1"/>
  <c r="F2535" i="3"/>
  <c r="O2535" i="3" s="1"/>
  <c r="F2536" i="3"/>
  <c r="O2536" i="3" s="1"/>
  <c r="F2537" i="3"/>
  <c r="O2537" i="3" s="1"/>
  <c r="F2538" i="3"/>
  <c r="O2538" i="3" s="1"/>
  <c r="F2539" i="3"/>
  <c r="O2539" i="3" s="1"/>
  <c r="F2540" i="3"/>
  <c r="O2540" i="3" s="1"/>
  <c r="F2541" i="3"/>
  <c r="O2541" i="3" s="1"/>
  <c r="F2542" i="3"/>
  <c r="O2542" i="3" s="1"/>
  <c r="F2543" i="3"/>
  <c r="O2543" i="3" s="1"/>
  <c r="F2544" i="3"/>
  <c r="O2544" i="3" s="1"/>
  <c r="F2545" i="3"/>
  <c r="O2545" i="3" s="1"/>
  <c r="F2546" i="3"/>
  <c r="O2546" i="3" s="1"/>
  <c r="F2547" i="3"/>
  <c r="O2547" i="3" s="1"/>
  <c r="F2548" i="3"/>
  <c r="O2548" i="3" s="1"/>
  <c r="F2549" i="3"/>
  <c r="O2549" i="3" s="1"/>
  <c r="F2550" i="3"/>
  <c r="O2550" i="3" s="1"/>
  <c r="F2551" i="3"/>
  <c r="O2551" i="3" s="1"/>
  <c r="F2552" i="3"/>
  <c r="O2552" i="3" s="1"/>
  <c r="F2553" i="3"/>
  <c r="O2553" i="3" s="1"/>
  <c r="F2554" i="3"/>
  <c r="O2554" i="3" s="1"/>
  <c r="F2555" i="3"/>
  <c r="O2555" i="3" s="1"/>
  <c r="F2556" i="3"/>
  <c r="O2556" i="3" s="1"/>
  <c r="F2557" i="3"/>
  <c r="O2557" i="3" s="1"/>
  <c r="F2558" i="3"/>
  <c r="O2558" i="3" s="1"/>
  <c r="F2559" i="3"/>
  <c r="O2559" i="3" s="1"/>
  <c r="F2560" i="3"/>
  <c r="O2560" i="3" s="1"/>
  <c r="F2561" i="3"/>
  <c r="O2561" i="3" s="1"/>
  <c r="F2562" i="3"/>
  <c r="O2562" i="3" s="1"/>
  <c r="F2563" i="3"/>
  <c r="O2563" i="3" s="1"/>
  <c r="F2564" i="3"/>
  <c r="O2564" i="3" s="1"/>
  <c r="F2565" i="3"/>
  <c r="O2565" i="3" s="1"/>
  <c r="F2566" i="3"/>
  <c r="O2566" i="3" s="1"/>
  <c r="F2567" i="3"/>
  <c r="O2567" i="3" s="1"/>
  <c r="F2568" i="3"/>
  <c r="O2568" i="3" s="1"/>
  <c r="F2569" i="3"/>
  <c r="O2569" i="3" s="1"/>
  <c r="F2570" i="3"/>
  <c r="O2570" i="3" s="1"/>
  <c r="F2571" i="3"/>
  <c r="O2571" i="3" s="1"/>
  <c r="F2572" i="3"/>
  <c r="O2572" i="3" s="1"/>
  <c r="F2573" i="3"/>
  <c r="O2573" i="3" s="1"/>
  <c r="F2574" i="3"/>
  <c r="O2574" i="3" s="1"/>
  <c r="F2575" i="3"/>
  <c r="O2575" i="3" s="1"/>
  <c r="F2576" i="3"/>
  <c r="O2576" i="3" s="1"/>
  <c r="F2577" i="3"/>
  <c r="O2577" i="3" s="1"/>
  <c r="F2578" i="3"/>
  <c r="O2578" i="3" s="1"/>
  <c r="F2579" i="3"/>
  <c r="O2579" i="3" s="1"/>
  <c r="F2580" i="3"/>
  <c r="O2580" i="3" s="1"/>
  <c r="F2581" i="3"/>
  <c r="O2581" i="3" s="1"/>
  <c r="F2582" i="3"/>
  <c r="O2582" i="3" s="1"/>
  <c r="F2583" i="3"/>
  <c r="O2583" i="3" s="1"/>
  <c r="F2584" i="3"/>
  <c r="O2584" i="3" s="1"/>
  <c r="F2585" i="3"/>
  <c r="O2585" i="3" s="1"/>
  <c r="F2586" i="3"/>
  <c r="O2586" i="3" s="1"/>
  <c r="F2587" i="3"/>
  <c r="O2587" i="3" s="1"/>
  <c r="F2588" i="3"/>
  <c r="O2588" i="3" s="1"/>
  <c r="F2589" i="3"/>
  <c r="O2589" i="3" s="1"/>
  <c r="F2590" i="3"/>
  <c r="O2590" i="3" s="1"/>
  <c r="F2591" i="3"/>
  <c r="O2591" i="3" s="1"/>
  <c r="F2592" i="3"/>
  <c r="O2592" i="3" s="1"/>
  <c r="F2593" i="3"/>
  <c r="O2593" i="3" s="1"/>
  <c r="F2594" i="3"/>
  <c r="O2594" i="3" s="1"/>
  <c r="F2595" i="3"/>
  <c r="O2595" i="3" s="1"/>
  <c r="F2596" i="3"/>
  <c r="O2596" i="3" s="1"/>
  <c r="F2597" i="3"/>
  <c r="O2597" i="3" s="1"/>
  <c r="F2598" i="3"/>
  <c r="O2598" i="3" s="1"/>
  <c r="F2599" i="3"/>
  <c r="O2599" i="3" s="1"/>
  <c r="F2600" i="3"/>
  <c r="O2600" i="3" s="1"/>
  <c r="F2601" i="3"/>
  <c r="O2601" i="3" s="1"/>
  <c r="F2602" i="3"/>
  <c r="O2602" i="3" s="1"/>
  <c r="F2603" i="3"/>
  <c r="O2603" i="3" s="1"/>
  <c r="F2604" i="3"/>
  <c r="O2604" i="3" s="1"/>
  <c r="F2605" i="3"/>
  <c r="O2605" i="3" s="1"/>
  <c r="F2606" i="3"/>
  <c r="O2606" i="3" s="1"/>
  <c r="F2607" i="3"/>
  <c r="O2607" i="3" s="1"/>
  <c r="F2608" i="3"/>
  <c r="O2608" i="3" s="1"/>
  <c r="F2609" i="3"/>
  <c r="O2609" i="3" s="1"/>
  <c r="F2610" i="3"/>
  <c r="O2610" i="3" s="1"/>
  <c r="F2611" i="3"/>
  <c r="O2611" i="3" s="1"/>
  <c r="F2612" i="3"/>
  <c r="O2612" i="3" s="1"/>
  <c r="F2613" i="3"/>
  <c r="O2613" i="3" s="1"/>
  <c r="F2614" i="3"/>
  <c r="O2614" i="3" s="1"/>
  <c r="F2615" i="3"/>
  <c r="O2615" i="3" s="1"/>
  <c r="F2616" i="3"/>
  <c r="O2616" i="3" s="1"/>
  <c r="F2617" i="3"/>
  <c r="O2617" i="3" s="1"/>
  <c r="F2618" i="3"/>
  <c r="O2618" i="3" s="1"/>
  <c r="F2619" i="3"/>
  <c r="O2619" i="3" s="1"/>
  <c r="F2620" i="3"/>
  <c r="O2620" i="3" s="1"/>
  <c r="F2621" i="3"/>
  <c r="O2621" i="3" s="1"/>
  <c r="F2622" i="3"/>
  <c r="O2622" i="3" s="1"/>
  <c r="F2623" i="3"/>
  <c r="O2623" i="3" s="1"/>
  <c r="F2624" i="3"/>
  <c r="O2624" i="3" s="1"/>
  <c r="F2625" i="3"/>
  <c r="O2625" i="3" s="1"/>
  <c r="F2626" i="3"/>
  <c r="O2626" i="3" s="1"/>
  <c r="F2627" i="3"/>
  <c r="O2627" i="3" s="1"/>
  <c r="F2628" i="3"/>
  <c r="O2628" i="3" s="1"/>
  <c r="F2629" i="3"/>
  <c r="O2629" i="3" s="1"/>
  <c r="F2630" i="3"/>
  <c r="O2630" i="3" s="1"/>
  <c r="F2631" i="3"/>
  <c r="O2631" i="3" s="1"/>
  <c r="F2632" i="3"/>
  <c r="O2632" i="3" s="1"/>
  <c r="F2633" i="3"/>
  <c r="O2633" i="3" s="1"/>
  <c r="F2634" i="3"/>
  <c r="O2634" i="3" s="1"/>
  <c r="F2635" i="3"/>
  <c r="O2635" i="3" s="1"/>
  <c r="F2636" i="3"/>
  <c r="O2636" i="3" s="1"/>
  <c r="F2637" i="3"/>
  <c r="O2637" i="3" s="1"/>
  <c r="F2638" i="3"/>
  <c r="O2638" i="3" s="1"/>
  <c r="F2639" i="3"/>
  <c r="O2639" i="3" s="1"/>
  <c r="F2640" i="3"/>
  <c r="O2640" i="3" s="1"/>
  <c r="F2641" i="3"/>
  <c r="O2641" i="3" s="1"/>
  <c r="F2642" i="3"/>
  <c r="O2642" i="3" s="1"/>
  <c r="F2643" i="3"/>
  <c r="O2643" i="3" s="1"/>
  <c r="F2644" i="3"/>
  <c r="O2644" i="3" s="1"/>
  <c r="F2645" i="3"/>
  <c r="O2645" i="3" s="1"/>
  <c r="F2646" i="3"/>
  <c r="O2646" i="3" s="1"/>
  <c r="F2647" i="3"/>
  <c r="O2647" i="3" s="1"/>
  <c r="F2648" i="3"/>
  <c r="O2648" i="3" s="1"/>
  <c r="F2649" i="3"/>
  <c r="O2649" i="3" s="1"/>
  <c r="F2650" i="3"/>
  <c r="O2650" i="3" s="1"/>
  <c r="F2651" i="3"/>
  <c r="O2651" i="3" s="1"/>
  <c r="F2652" i="3"/>
  <c r="O2652" i="3" s="1"/>
  <c r="F2653" i="3"/>
  <c r="O2653" i="3" s="1"/>
  <c r="F2654" i="3"/>
  <c r="O2654" i="3" s="1"/>
  <c r="F2655" i="3"/>
  <c r="O2655" i="3" s="1"/>
  <c r="F2656" i="3"/>
  <c r="O2656" i="3" s="1"/>
  <c r="F2657" i="3"/>
  <c r="O2657" i="3" s="1"/>
  <c r="F2658" i="3"/>
  <c r="O2658" i="3" s="1"/>
  <c r="F2659" i="3"/>
  <c r="O2659" i="3" s="1"/>
  <c r="F2660" i="3"/>
  <c r="O2660" i="3" s="1"/>
  <c r="F2661" i="3"/>
  <c r="O2661" i="3" s="1"/>
  <c r="F2662" i="3"/>
  <c r="O2662" i="3" s="1"/>
  <c r="F2663" i="3"/>
  <c r="O2663" i="3" s="1"/>
  <c r="F2664" i="3"/>
  <c r="O2664" i="3" s="1"/>
  <c r="F2665" i="3"/>
  <c r="O2665" i="3" s="1"/>
  <c r="F2666" i="3"/>
  <c r="O2666" i="3" s="1"/>
  <c r="F2667" i="3"/>
  <c r="O2667" i="3" s="1"/>
  <c r="F2668" i="3"/>
  <c r="O2668" i="3" s="1"/>
  <c r="F2669" i="3"/>
  <c r="O2669" i="3" s="1"/>
  <c r="F2670" i="3"/>
  <c r="O2670" i="3" s="1"/>
  <c r="F2671" i="3"/>
  <c r="O2671" i="3" s="1"/>
  <c r="F2672" i="3"/>
  <c r="O2672" i="3" s="1"/>
  <c r="F2673" i="3"/>
  <c r="O2673" i="3" s="1"/>
  <c r="F2674" i="3"/>
  <c r="O2674" i="3" s="1"/>
  <c r="F2675" i="3"/>
  <c r="O2675" i="3" s="1"/>
  <c r="F2676" i="3"/>
  <c r="O2676" i="3" s="1"/>
  <c r="F2677" i="3"/>
  <c r="O2677" i="3" s="1"/>
  <c r="F2678" i="3"/>
  <c r="O2678" i="3" s="1"/>
  <c r="F2679" i="3"/>
  <c r="O2679" i="3" s="1"/>
  <c r="F2680" i="3"/>
  <c r="O2680" i="3" s="1"/>
  <c r="F2681" i="3"/>
  <c r="O2681" i="3" s="1"/>
  <c r="F2682" i="3"/>
  <c r="O2682" i="3" s="1"/>
  <c r="F2683" i="3"/>
  <c r="O2683" i="3" s="1"/>
  <c r="F2684" i="3"/>
  <c r="O2684" i="3" s="1"/>
  <c r="F2685" i="3"/>
  <c r="O2685" i="3" s="1"/>
  <c r="F2686" i="3"/>
  <c r="O2686" i="3" s="1"/>
  <c r="F2687" i="3"/>
  <c r="O2687" i="3" s="1"/>
  <c r="F2688" i="3"/>
  <c r="O2688" i="3" s="1"/>
  <c r="F2689" i="3"/>
  <c r="O2689" i="3" s="1"/>
  <c r="F2690" i="3"/>
  <c r="O2690" i="3" s="1"/>
  <c r="F2691" i="3"/>
  <c r="O2691" i="3" s="1"/>
  <c r="F2692" i="3"/>
  <c r="O2692" i="3" s="1"/>
  <c r="F2693" i="3"/>
  <c r="O2693" i="3" s="1"/>
  <c r="F2694" i="3"/>
  <c r="O2694" i="3" s="1"/>
  <c r="F2695" i="3"/>
  <c r="O2695" i="3" s="1"/>
  <c r="F2696" i="3"/>
  <c r="O2696" i="3" s="1"/>
  <c r="F2697" i="3"/>
  <c r="O2697" i="3" s="1"/>
  <c r="F2698" i="3"/>
  <c r="O2698" i="3" s="1"/>
  <c r="F2699" i="3"/>
  <c r="O2699" i="3" s="1"/>
  <c r="F2700" i="3"/>
  <c r="O2700" i="3" s="1"/>
  <c r="F2701" i="3"/>
  <c r="O2701" i="3" s="1"/>
  <c r="F2702" i="3"/>
  <c r="O2702" i="3" s="1"/>
  <c r="F2703" i="3"/>
  <c r="O2703" i="3" s="1"/>
  <c r="F2704" i="3"/>
  <c r="O2704" i="3" s="1"/>
  <c r="F2705" i="3"/>
  <c r="O2705" i="3" s="1"/>
  <c r="F2706" i="3"/>
  <c r="O2706" i="3" s="1"/>
  <c r="F2707" i="3"/>
  <c r="O2707" i="3" s="1"/>
  <c r="F2708" i="3"/>
  <c r="O2708" i="3" s="1"/>
  <c r="F2709" i="3"/>
  <c r="O2709" i="3" s="1"/>
  <c r="F2710" i="3"/>
  <c r="O2710" i="3" s="1"/>
  <c r="F2711" i="3"/>
  <c r="O2711" i="3" s="1"/>
  <c r="F2712" i="3"/>
  <c r="O2712" i="3" s="1"/>
  <c r="F2713" i="3"/>
  <c r="O2713" i="3" s="1"/>
  <c r="F2714" i="3"/>
  <c r="O2714" i="3" s="1"/>
  <c r="F2715" i="3"/>
  <c r="O2715" i="3" s="1"/>
  <c r="F2716" i="3"/>
  <c r="O2716" i="3" s="1"/>
  <c r="F2717" i="3"/>
  <c r="O2717" i="3" s="1"/>
  <c r="F2718" i="3"/>
  <c r="O2718" i="3" s="1"/>
  <c r="F2719" i="3"/>
  <c r="O2719" i="3" s="1"/>
  <c r="F2720" i="3"/>
  <c r="O2720" i="3" s="1"/>
  <c r="F2721" i="3"/>
  <c r="O2721" i="3" s="1"/>
  <c r="F2722" i="3"/>
  <c r="O2722" i="3" s="1"/>
  <c r="F2723" i="3"/>
  <c r="O2723" i="3" s="1"/>
  <c r="F2724" i="3"/>
  <c r="O2724" i="3" s="1"/>
  <c r="F2725" i="3"/>
  <c r="O2725" i="3" s="1"/>
  <c r="F2726" i="3"/>
  <c r="O2726" i="3" s="1"/>
  <c r="F2727" i="3"/>
  <c r="O2727" i="3" s="1"/>
  <c r="F2728" i="3"/>
  <c r="O2728" i="3" s="1"/>
  <c r="F2729" i="3"/>
  <c r="O2729" i="3" s="1"/>
  <c r="F2730" i="3"/>
  <c r="O2730" i="3" s="1"/>
  <c r="F2731" i="3"/>
  <c r="O2731" i="3" s="1"/>
  <c r="F2732" i="3"/>
  <c r="O2732" i="3" s="1"/>
  <c r="F2733" i="3"/>
  <c r="O2733" i="3" s="1"/>
  <c r="F2734" i="3"/>
  <c r="O2734" i="3" s="1"/>
  <c r="F2735" i="3"/>
  <c r="O2735" i="3" s="1"/>
  <c r="F2736" i="3"/>
  <c r="O2736" i="3" s="1"/>
  <c r="F2737" i="3"/>
  <c r="O2737" i="3" s="1"/>
  <c r="F2738" i="3"/>
  <c r="O2738" i="3" s="1"/>
  <c r="F2739" i="3"/>
  <c r="O2739" i="3" s="1"/>
  <c r="F2740" i="3"/>
  <c r="O2740" i="3" s="1"/>
  <c r="F2741" i="3"/>
  <c r="O2741" i="3" s="1"/>
  <c r="F2742" i="3"/>
  <c r="O2742" i="3" s="1"/>
  <c r="F2743" i="3"/>
  <c r="O2743" i="3" s="1"/>
  <c r="F2744" i="3"/>
  <c r="O2744" i="3" s="1"/>
  <c r="F2745" i="3"/>
  <c r="O2745" i="3" s="1"/>
  <c r="F2746" i="3"/>
  <c r="O2746" i="3" s="1"/>
  <c r="F2747" i="3"/>
  <c r="O2747" i="3" s="1"/>
  <c r="F2748" i="3"/>
  <c r="O2748" i="3" s="1"/>
  <c r="F2749" i="3"/>
  <c r="O2749" i="3" s="1"/>
  <c r="F2750" i="3"/>
  <c r="O2750" i="3" s="1"/>
  <c r="F2751" i="3"/>
  <c r="O2751" i="3" s="1"/>
  <c r="F2752" i="3"/>
  <c r="O2752" i="3" s="1"/>
  <c r="F2753" i="3"/>
  <c r="O2753" i="3" s="1"/>
  <c r="F2754" i="3"/>
  <c r="O2754" i="3" s="1"/>
  <c r="F2755" i="3"/>
  <c r="O2755" i="3" s="1"/>
  <c r="F2756" i="3"/>
  <c r="O2756" i="3" s="1"/>
  <c r="F2757" i="3"/>
  <c r="O2757" i="3" s="1"/>
  <c r="F2758" i="3"/>
  <c r="O2758" i="3" s="1"/>
  <c r="F2759" i="3"/>
  <c r="O2759" i="3" s="1"/>
  <c r="F2760" i="3"/>
  <c r="O2760" i="3" s="1"/>
  <c r="F2761" i="3"/>
  <c r="O2761" i="3" s="1"/>
  <c r="F2762" i="3"/>
  <c r="O2762" i="3" s="1"/>
  <c r="F2763" i="3"/>
  <c r="O2763" i="3" s="1"/>
  <c r="F2764" i="3"/>
  <c r="O2764" i="3" s="1"/>
  <c r="F2765" i="3"/>
  <c r="O2765" i="3" s="1"/>
  <c r="F2766" i="3"/>
  <c r="O2766" i="3" s="1"/>
  <c r="F2767" i="3"/>
  <c r="O2767" i="3" s="1"/>
  <c r="F2768" i="3"/>
  <c r="O2768" i="3" s="1"/>
  <c r="F2769" i="3"/>
  <c r="O2769" i="3" s="1"/>
  <c r="F2770" i="3"/>
  <c r="O2770" i="3" s="1"/>
  <c r="F2771" i="3"/>
  <c r="O2771" i="3" s="1"/>
  <c r="F2772" i="3"/>
  <c r="O2772" i="3" s="1"/>
  <c r="F2773" i="3"/>
  <c r="O2773" i="3" s="1"/>
  <c r="F2774" i="3"/>
  <c r="O2774" i="3" s="1"/>
  <c r="F2775" i="3"/>
  <c r="O2775" i="3" s="1"/>
  <c r="F2776" i="3"/>
  <c r="O2776" i="3" s="1"/>
  <c r="F2777" i="3"/>
  <c r="O2777" i="3" s="1"/>
  <c r="F2778" i="3"/>
  <c r="O2778" i="3" s="1"/>
  <c r="F2779" i="3"/>
  <c r="O2779" i="3" s="1"/>
  <c r="F2780" i="3"/>
  <c r="O2780" i="3" s="1"/>
  <c r="F2781" i="3"/>
  <c r="O2781" i="3" s="1"/>
  <c r="F2782" i="3"/>
  <c r="O2782" i="3" s="1"/>
  <c r="F2783" i="3"/>
  <c r="O2783" i="3" s="1"/>
  <c r="F2784" i="3"/>
  <c r="O2784" i="3" s="1"/>
  <c r="F2785" i="3"/>
  <c r="O2785" i="3" s="1"/>
  <c r="F2786" i="3"/>
  <c r="O2786" i="3" s="1"/>
  <c r="F2787" i="3"/>
  <c r="O2787" i="3" s="1"/>
  <c r="F2788" i="3"/>
  <c r="O2788" i="3" s="1"/>
  <c r="F2789" i="3"/>
  <c r="O2789" i="3" s="1"/>
  <c r="F2790" i="3"/>
  <c r="O2790" i="3" s="1"/>
  <c r="F2791" i="3"/>
  <c r="O2791" i="3" s="1"/>
  <c r="F2792" i="3"/>
  <c r="O2792" i="3" s="1"/>
  <c r="F2793" i="3"/>
  <c r="O2793" i="3" s="1"/>
  <c r="F2794" i="3"/>
  <c r="O2794" i="3" s="1"/>
  <c r="F2795" i="3"/>
  <c r="O2795" i="3" s="1"/>
  <c r="F2796" i="3"/>
  <c r="O2796" i="3" s="1"/>
  <c r="F2797" i="3"/>
  <c r="O2797" i="3" s="1"/>
  <c r="F2798" i="3"/>
  <c r="O2798" i="3" s="1"/>
  <c r="F2799" i="3"/>
  <c r="O2799" i="3" s="1"/>
  <c r="F2800" i="3"/>
  <c r="O2800" i="3" s="1"/>
  <c r="F2801" i="3"/>
  <c r="O2801" i="3" s="1"/>
  <c r="F2802" i="3"/>
  <c r="O2802" i="3" s="1"/>
  <c r="F2803" i="3"/>
  <c r="O2803" i="3" s="1"/>
  <c r="F2804" i="3"/>
  <c r="O2804" i="3" s="1"/>
  <c r="F2805" i="3"/>
  <c r="O2805" i="3" s="1"/>
  <c r="F2806" i="3"/>
  <c r="O2806" i="3" s="1"/>
  <c r="F2807" i="3"/>
  <c r="O2807" i="3" s="1"/>
  <c r="F2808" i="3"/>
  <c r="O2808" i="3" s="1"/>
  <c r="F2809" i="3"/>
  <c r="O2809" i="3" s="1"/>
  <c r="F2810" i="3"/>
  <c r="O2810" i="3" s="1"/>
  <c r="F2811" i="3"/>
  <c r="O2811" i="3" s="1"/>
  <c r="F2812" i="3"/>
  <c r="O2812" i="3" s="1"/>
  <c r="F2813" i="3"/>
  <c r="O2813" i="3" s="1"/>
  <c r="F2814" i="3"/>
  <c r="O2814" i="3" s="1"/>
  <c r="F2815" i="3"/>
  <c r="O2815" i="3" s="1"/>
  <c r="F2816" i="3"/>
  <c r="O2816" i="3" s="1"/>
  <c r="F2817" i="3"/>
  <c r="O2817" i="3" s="1"/>
  <c r="F2818" i="3"/>
  <c r="O2818" i="3" s="1"/>
  <c r="F2819" i="3"/>
  <c r="O2819" i="3" s="1"/>
  <c r="F2820" i="3"/>
  <c r="O2820" i="3" s="1"/>
  <c r="F2821" i="3"/>
  <c r="O2821" i="3" s="1"/>
  <c r="F2822" i="3"/>
  <c r="O2822" i="3" s="1"/>
  <c r="F2823" i="3"/>
  <c r="O2823" i="3" s="1"/>
  <c r="F2824" i="3"/>
  <c r="O2824" i="3" s="1"/>
  <c r="F2825" i="3"/>
  <c r="O2825" i="3" s="1"/>
  <c r="F2826" i="3"/>
  <c r="O2826" i="3" s="1"/>
  <c r="F2827" i="3"/>
  <c r="O2827" i="3" s="1"/>
  <c r="F2828" i="3"/>
  <c r="O2828" i="3" s="1"/>
  <c r="F2829" i="3"/>
  <c r="O2829" i="3" s="1"/>
  <c r="F2830" i="3"/>
  <c r="O2830" i="3" s="1"/>
  <c r="F2831" i="3"/>
  <c r="O2831" i="3" s="1"/>
  <c r="F2832" i="3"/>
  <c r="O2832" i="3" s="1"/>
  <c r="F2833" i="3"/>
  <c r="O2833" i="3" s="1"/>
  <c r="F2834" i="3"/>
  <c r="O2834" i="3" s="1"/>
  <c r="F2835" i="3"/>
  <c r="O2835" i="3" s="1"/>
  <c r="F2836" i="3"/>
  <c r="O2836" i="3" s="1"/>
  <c r="F2837" i="3"/>
  <c r="O2837" i="3" s="1"/>
  <c r="F2838" i="3"/>
  <c r="O2838" i="3" s="1"/>
  <c r="F2839" i="3"/>
  <c r="O2839" i="3" s="1"/>
  <c r="F2840" i="3"/>
  <c r="O2840" i="3" s="1"/>
  <c r="F2841" i="3"/>
  <c r="O2841" i="3" s="1"/>
  <c r="F2842" i="3"/>
  <c r="O2842" i="3" s="1"/>
  <c r="F2843" i="3"/>
  <c r="O2843" i="3" s="1"/>
  <c r="F2844" i="3"/>
  <c r="O2844" i="3" s="1"/>
  <c r="F2845" i="3"/>
  <c r="O2845" i="3" s="1"/>
  <c r="F2846" i="3"/>
  <c r="O2846" i="3" s="1"/>
  <c r="F2847" i="3"/>
  <c r="O2847" i="3" s="1"/>
  <c r="F2848" i="3"/>
  <c r="O2848" i="3" s="1"/>
  <c r="F2849" i="3"/>
  <c r="O2849" i="3" s="1"/>
  <c r="F2850" i="3"/>
  <c r="O2850" i="3" s="1"/>
  <c r="F2851" i="3"/>
  <c r="O2851" i="3" s="1"/>
  <c r="F2852" i="3"/>
  <c r="O2852" i="3" s="1"/>
  <c r="F2853" i="3"/>
  <c r="O2853" i="3" s="1"/>
  <c r="F2854" i="3"/>
  <c r="O2854" i="3" s="1"/>
  <c r="F2855" i="3"/>
  <c r="O2855" i="3" s="1"/>
  <c r="F2856" i="3"/>
  <c r="O2856" i="3" s="1"/>
  <c r="F2857" i="3"/>
  <c r="O2857" i="3" s="1"/>
  <c r="F2858" i="3"/>
  <c r="O2858" i="3" s="1"/>
  <c r="F2859" i="3"/>
  <c r="O2859" i="3" s="1"/>
  <c r="F2860" i="3"/>
  <c r="O2860" i="3" s="1"/>
  <c r="F2861" i="3"/>
  <c r="O2861" i="3" s="1"/>
  <c r="F2862" i="3"/>
  <c r="O2862" i="3" s="1"/>
  <c r="F2863" i="3"/>
  <c r="O2863" i="3" s="1"/>
  <c r="F2864" i="3"/>
  <c r="O2864" i="3" s="1"/>
  <c r="F2865" i="3"/>
  <c r="O2865" i="3" s="1"/>
  <c r="F2866" i="3"/>
  <c r="O2866" i="3" s="1"/>
  <c r="F2867" i="3"/>
  <c r="O2867" i="3" s="1"/>
  <c r="F2868" i="3"/>
  <c r="O2868" i="3" s="1"/>
  <c r="F2869" i="3"/>
  <c r="O2869" i="3" s="1"/>
  <c r="F2870" i="3"/>
  <c r="O2870" i="3" s="1"/>
  <c r="F2871" i="3"/>
  <c r="O2871" i="3" s="1"/>
  <c r="F2872" i="3"/>
  <c r="O2872" i="3" s="1"/>
  <c r="F2873" i="3"/>
  <c r="O2873" i="3" s="1"/>
  <c r="F2874" i="3"/>
  <c r="O2874" i="3" s="1"/>
  <c r="F2875" i="3"/>
  <c r="O2875" i="3" s="1"/>
  <c r="F2876" i="3"/>
  <c r="O2876" i="3" s="1"/>
  <c r="F2877" i="3"/>
  <c r="O2877" i="3" s="1"/>
  <c r="F2878" i="3"/>
  <c r="O2878" i="3" s="1"/>
  <c r="F2879" i="3"/>
  <c r="O2879" i="3" s="1"/>
  <c r="F2880" i="3"/>
  <c r="O2880" i="3" s="1"/>
  <c r="F2881" i="3"/>
  <c r="O2881" i="3" s="1"/>
  <c r="F2882" i="3"/>
  <c r="O2882" i="3" s="1"/>
  <c r="F2883" i="3"/>
  <c r="O2883" i="3" s="1"/>
  <c r="F2884" i="3"/>
  <c r="O2884" i="3" s="1"/>
  <c r="F2885" i="3"/>
  <c r="O2885" i="3" s="1"/>
  <c r="F2886" i="3"/>
  <c r="O2886" i="3" s="1"/>
  <c r="F2887" i="3"/>
  <c r="O2887" i="3" s="1"/>
  <c r="F2888" i="3"/>
  <c r="O2888" i="3" s="1"/>
  <c r="F2889" i="3"/>
  <c r="O2889" i="3" s="1"/>
  <c r="F2890" i="3"/>
  <c r="O2890" i="3" s="1"/>
  <c r="F2891" i="3"/>
  <c r="O2891" i="3" s="1"/>
  <c r="F2892" i="3"/>
  <c r="O2892" i="3" s="1"/>
  <c r="F2893" i="3"/>
  <c r="O2893" i="3" s="1"/>
  <c r="F2894" i="3"/>
  <c r="O2894" i="3" s="1"/>
  <c r="F2895" i="3"/>
  <c r="O2895" i="3" s="1"/>
  <c r="F2896" i="3"/>
  <c r="O2896" i="3" s="1"/>
  <c r="F2897" i="3"/>
  <c r="O2897" i="3" s="1"/>
  <c r="F2898" i="3"/>
  <c r="O2898" i="3" s="1"/>
  <c r="F2899" i="3"/>
  <c r="O2899" i="3" s="1"/>
  <c r="F2900" i="3"/>
  <c r="O2900" i="3" s="1"/>
  <c r="F2901" i="3"/>
  <c r="O2901" i="3" s="1"/>
  <c r="F2902" i="3"/>
  <c r="O2902" i="3" s="1"/>
  <c r="F2903" i="3"/>
  <c r="O2903" i="3" s="1"/>
  <c r="F2904" i="3"/>
  <c r="O2904" i="3" s="1"/>
  <c r="F2905" i="3"/>
  <c r="O2905" i="3" s="1"/>
  <c r="F2906" i="3"/>
  <c r="O2906" i="3" s="1"/>
  <c r="F2907" i="3"/>
  <c r="O2907" i="3" s="1"/>
  <c r="F2908" i="3"/>
  <c r="O2908" i="3" s="1"/>
  <c r="F2909" i="3"/>
  <c r="O2909" i="3" s="1"/>
  <c r="F2910" i="3"/>
  <c r="O2910" i="3" s="1"/>
  <c r="F2911" i="3"/>
  <c r="O2911" i="3" s="1"/>
  <c r="F2912" i="3"/>
  <c r="O2912" i="3" s="1"/>
  <c r="F2913" i="3"/>
  <c r="O2913" i="3" s="1"/>
  <c r="F2914" i="3"/>
  <c r="O2914" i="3" s="1"/>
  <c r="F2915" i="3"/>
  <c r="O2915" i="3" s="1"/>
  <c r="F2916" i="3"/>
  <c r="O2916" i="3" s="1"/>
  <c r="F2917" i="3"/>
  <c r="O2917" i="3" s="1"/>
  <c r="F2918" i="3"/>
  <c r="O2918" i="3" s="1"/>
  <c r="F2919" i="3"/>
  <c r="O2919" i="3" s="1"/>
  <c r="F2920" i="3"/>
  <c r="O2920" i="3" s="1"/>
  <c r="F2921" i="3"/>
  <c r="O2921" i="3" s="1"/>
  <c r="F2922" i="3"/>
  <c r="O2922" i="3" s="1"/>
  <c r="F2923" i="3"/>
  <c r="O2923" i="3" s="1"/>
  <c r="F2924" i="3"/>
  <c r="O2924" i="3" s="1"/>
  <c r="F2925" i="3"/>
  <c r="O2925" i="3" s="1"/>
  <c r="F2926" i="3"/>
  <c r="O2926" i="3" s="1"/>
  <c r="F2927" i="3"/>
  <c r="O2927" i="3" s="1"/>
  <c r="F2928" i="3"/>
  <c r="O2928" i="3" s="1"/>
  <c r="F2929" i="3"/>
  <c r="O2929" i="3" s="1"/>
  <c r="F2930" i="3"/>
  <c r="O2930" i="3" s="1"/>
  <c r="F2931" i="3"/>
  <c r="O2931" i="3" s="1"/>
  <c r="F2932" i="3"/>
  <c r="O2932" i="3" s="1"/>
  <c r="F2933" i="3"/>
  <c r="O2933" i="3" s="1"/>
  <c r="F2934" i="3"/>
  <c r="O2934" i="3" s="1"/>
  <c r="F2935" i="3"/>
  <c r="O2935" i="3" s="1"/>
  <c r="F2936" i="3"/>
  <c r="O2936" i="3" s="1"/>
  <c r="F2937" i="3"/>
  <c r="O2937" i="3" s="1"/>
  <c r="F2938" i="3"/>
  <c r="O2938" i="3" s="1"/>
  <c r="F2939" i="3"/>
  <c r="O2939" i="3" s="1"/>
  <c r="F2940" i="3"/>
  <c r="O2940" i="3" s="1"/>
  <c r="F2941" i="3"/>
  <c r="O2941" i="3" s="1"/>
  <c r="F2942" i="3"/>
  <c r="O2942" i="3" s="1"/>
  <c r="F2943" i="3"/>
  <c r="O2943" i="3" s="1"/>
  <c r="F2944" i="3"/>
  <c r="O2944" i="3" s="1"/>
  <c r="F2945" i="3"/>
  <c r="O2945" i="3" s="1"/>
  <c r="F2946" i="3"/>
  <c r="O2946" i="3" s="1"/>
  <c r="F2947" i="3"/>
  <c r="O2947" i="3" s="1"/>
  <c r="F2948" i="3"/>
  <c r="O2948" i="3" s="1"/>
  <c r="F2949" i="3"/>
  <c r="O2949" i="3" s="1"/>
  <c r="F2950" i="3"/>
  <c r="O2950" i="3" s="1"/>
  <c r="F2951" i="3"/>
  <c r="O2951" i="3" s="1"/>
  <c r="F2952" i="3"/>
  <c r="O2952" i="3" s="1"/>
  <c r="F2953" i="3"/>
  <c r="O2953" i="3" s="1"/>
  <c r="F2954" i="3"/>
  <c r="O2954" i="3" s="1"/>
  <c r="F2955" i="3"/>
  <c r="O2955" i="3" s="1"/>
  <c r="F2956" i="3"/>
  <c r="O2956" i="3" s="1"/>
  <c r="F2957" i="3"/>
  <c r="O2957" i="3" s="1"/>
  <c r="F2958" i="3"/>
  <c r="O2958" i="3" s="1"/>
  <c r="F2959" i="3"/>
  <c r="O2959" i="3" s="1"/>
  <c r="F2960" i="3"/>
  <c r="O2960" i="3" s="1"/>
  <c r="F2961" i="3"/>
  <c r="O2961" i="3" s="1"/>
  <c r="F2962" i="3"/>
  <c r="O2962" i="3" s="1"/>
  <c r="F2963" i="3"/>
  <c r="O2963" i="3" s="1"/>
  <c r="F2964" i="3"/>
  <c r="O2964" i="3" s="1"/>
  <c r="F2965" i="3"/>
  <c r="O2965" i="3" s="1"/>
  <c r="F2966" i="3"/>
  <c r="O2966" i="3" s="1"/>
  <c r="F2967" i="3"/>
  <c r="O2967" i="3" s="1"/>
  <c r="F2968" i="3"/>
  <c r="O2968" i="3" s="1"/>
  <c r="F2969" i="3"/>
  <c r="O2969" i="3" s="1"/>
  <c r="F2970" i="3"/>
  <c r="O2970" i="3" s="1"/>
  <c r="F2971" i="3"/>
  <c r="O2971" i="3" s="1"/>
  <c r="F2972" i="3"/>
  <c r="O2972" i="3" s="1"/>
  <c r="F2973" i="3"/>
  <c r="O2973" i="3" s="1"/>
  <c r="F2974" i="3"/>
  <c r="O2974" i="3" s="1"/>
  <c r="F2975" i="3"/>
  <c r="O2975" i="3" s="1"/>
  <c r="F2976" i="3"/>
  <c r="O2976" i="3" s="1"/>
  <c r="F2977" i="3"/>
  <c r="O2977" i="3" s="1"/>
  <c r="F2978" i="3"/>
  <c r="O2978" i="3" s="1"/>
  <c r="F2979" i="3"/>
  <c r="O2979" i="3" s="1"/>
  <c r="F2980" i="3"/>
  <c r="O2980" i="3" s="1"/>
  <c r="F2981" i="3"/>
  <c r="O2981" i="3" s="1"/>
  <c r="F2982" i="3"/>
  <c r="O2982" i="3" s="1"/>
  <c r="F2983" i="3"/>
  <c r="O2983" i="3" s="1"/>
  <c r="F2984" i="3"/>
  <c r="O2984" i="3" s="1"/>
  <c r="F2985" i="3"/>
  <c r="O2985" i="3" s="1"/>
  <c r="F2986" i="3"/>
  <c r="O2986" i="3" s="1"/>
  <c r="F2987" i="3"/>
  <c r="O2987" i="3" s="1"/>
  <c r="F2988" i="3"/>
  <c r="O2988" i="3" s="1"/>
  <c r="F2989" i="3"/>
  <c r="O2989" i="3" s="1"/>
  <c r="F2990" i="3"/>
  <c r="O2990" i="3" s="1"/>
  <c r="F2991" i="3"/>
  <c r="O2991" i="3" s="1"/>
  <c r="F2992" i="3"/>
  <c r="O2992" i="3" s="1"/>
  <c r="F2993" i="3"/>
  <c r="O2993" i="3" s="1"/>
  <c r="F2994" i="3"/>
  <c r="O2994" i="3" s="1"/>
  <c r="F2995" i="3"/>
  <c r="O2995" i="3" s="1"/>
  <c r="F2996" i="3"/>
  <c r="O2996" i="3" s="1"/>
  <c r="F2997" i="3"/>
  <c r="O2997" i="3" s="1"/>
  <c r="F2998" i="3"/>
  <c r="O2998" i="3" s="1"/>
  <c r="F2999" i="3"/>
  <c r="O2999" i="3" s="1"/>
  <c r="F3000" i="3"/>
  <c r="O3000" i="3" s="1"/>
  <c r="F3001" i="3"/>
  <c r="O3001" i="3" s="1"/>
  <c r="F3002" i="3"/>
  <c r="O3002" i="3" s="1"/>
  <c r="F3003" i="3"/>
  <c r="O3003" i="3" s="1"/>
  <c r="F3004" i="3"/>
  <c r="O3004" i="3" s="1"/>
  <c r="F3005" i="3"/>
  <c r="O3005" i="3" s="1"/>
  <c r="F3006" i="3"/>
  <c r="O3006" i="3" s="1"/>
  <c r="F3007" i="3"/>
  <c r="O3007" i="3" s="1"/>
  <c r="F3008" i="3"/>
  <c r="O3008" i="3" s="1"/>
  <c r="F3009" i="3"/>
  <c r="O3009" i="3" s="1"/>
  <c r="F3010" i="3"/>
  <c r="O3010" i="3" s="1"/>
  <c r="F3011" i="3"/>
  <c r="O3011" i="3" s="1"/>
  <c r="F3012" i="3"/>
  <c r="O3012" i="3" s="1"/>
  <c r="F3013" i="3"/>
  <c r="O3013" i="3" s="1"/>
  <c r="F3014" i="3"/>
  <c r="O3014" i="3" s="1"/>
  <c r="F3015" i="3"/>
  <c r="O3015" i="3" s="1"/>
  <c r="F3016" i="3"/>
  <c r="O3016" i="3" s="1"/>
  <c r="F3017" i="3"/>
  <c r="O3017" i="3" s="1"/>
  <c r="F3018" i="3"/>
  <c r="O3018" i="3" s="1"/>
  <c r="F3019" i="3"/>
  <c r="O3019" i="3" s="1"/>
  <c r="F3020" i="3"/>
  <c r="O3020" i="3" s="1"/>
  <c r="F3021" i="3"/>
  <c r="O3021" i="3" s="1"/>
  <c r="F3022" i="3"/>
  <c r="O3022" i="3" s="1"/>
  <c r="F3023" i="3"/>
  <c r="O3023" i="3" s="1"/>
  <c r="F3024" i="3"/>
  <c r="O3024" i="3" s="1"/>
  <c r="F3025" i="3"/>
  <c r="O3025" i="3" s="1"/>
  <c r="F3026" i="3"/>
  <c r="O3026" i="3" s="1"/>
  <c r="F3027" i="3"/>
  <c r="O3027" i="3" s="1"/>
  <c r="F3028" i="3"/>
  <c r="O3028" i="3" s="1"/>
  <c r="F3029" i="3"/>
  <c r="O3029" i="3" s="1"/>
  <c r="F3030" i="3"/>
  <c r="O3030" i="3" s="1"/>
  <c r="F3031" i="3"/>
  <c r="O3031" i="3" s="1"/>
  <c r="F3032" i="3"/>
  <c r="O3032" i="3" s="1"/>
  <c r="F3033" i="3"/>
  <c r="O3033" i="3" s="1"/>
  <c r="F3034" i="3"/>
  <c r="O3034" i="3" s="1"/>
  <c r="F3035" i="3"/>
  <c r="O3035" i="3" s="1"/>
  <c r="F3036" i="3"/>
  <c r="O3036" i="3" s="1"/>
  <c r="F3037" i="3"/>
  <c r="O3037" i="3" s="1"/>
  <c r="F3038" i="3"/>
  <c r="O3038" i="3" s="1"/>
  <c r="F3039" i="3"/>
  <c r="O3039" i="3" s="1"/>
  <c r="F3040" i="3"/>
  <c r="O3040" i="3" s="1"/>
  <c r="F3041" i="3"/>
  <c r="O3041" i="3" s="1"/>
  <c r="F3042" i="3"/>
  <c r="O3042" i="3" s="1"/>
  <c r="F3043" i="3"/>
  <c r="O3043" i="3" s="1"/>
  <c r="F3044" i="3"/>
  <c r="O3044" i="3" s="1"/>
  <c r="F3045" i="3"/>
  <c r="O3045" i="3" s="1"/>
  <c r="F3046" i="3"/>
  <c r="O3046" i="3" s="1"/>
  <c r="F3047" i="3"/>
  <c r="O3047" i="3" s="1"/>
  <c r="F3048" i="3"/>
  <c r="O3048" i="3" s="1"/>
  <c r="F3049" i="3"/>
  <c r="O3049" i="3" s="1"/>
  <c r="F3050" i="3"/>
  <c r="O3050" i="3" s="1"/>
  <c r="F3051" i="3"/>
  <c r="O3051" i="3" s="1"/>
  <c r="F3052" i="3"/>
  <c r="O3052" i="3" s="1"/>
  <c r="F3053" i="3"/>
  <c r="O3053" i="3" s="1"/>
  <c r="F3054" i="3"/>
  <c r="O3054" i="3" s="1"/>
  <c r="F3055" i="3"/>
  <c r="O3055" i="3" s="1"/>
  <c r="F3056" i="3"/>
  <c r="O3056" i="3" s="1"/>
  <c r="F3057" i="3"/>
  <c r="O3057" i="3" s="1"/>
  <c r="F3058" i="3"/>
  <c r="O3058" i="3" s="1"/>
  <c r="F3059" i="3"/>
  <c r="O3059" i="3" s="1"/>
  <c r="F3060" i="3"/>
  <c r="O3060" i="3" s="1"/>
  <c r="F3061" i="3"/>
  <c r="O3061" i="3" s="1"/>
  <c r="F3062" i="3"/>
  <c r="O3062" i="3" s="1"/>
  <c r="F3063" i="3"/>
  <c r="O3063" i="3" s="1"/>
  <c r="F3064" i="3"/>
  <c r="O3064" i="3" s="1"/>
  <c r="F3065" i="3"/>
  <c r="O3065" i="3" s="1"/>
  <c r="F3066" i="3"/>
  <c r="O3066" i="3" s="1"/>
  <c r="F3067" i="3"/>
  <c r="O3067" i="3" s="1"/>
  <c r="F3068" i="3"/>
  <c r="O3068" i="3" s="1"/>
  <c r="F3069" i="3"/>
  <c r="O3069" i="3" s="1"/>
  <c r="F3070" i="3"/>
  <c r="O3070" i="3" s="1"/>
  <c r="F3071" i="3"/>
  <c r="O3071" i="3" s="1"/>
  <c r="F3072" i="3"/>
  <c r="O3072" i="3" s="1"/>
  <c r="F3073" i="3"/>
  <c r="O3073" i="3" s="1"/>
  <c r="F3074" i="3"/>
  <c r="O3074" i="3" s="1"/>
  <c r="F3075" i="3"/>
  <c r="O3075" i="3" s="1"/>
  <c r="F3076" i="3"/>
  <c r="O3076" i="3" s="1"/>
  <c r="F3077" i="3"/>
  <c r="O3077" i="3" s="1"/>
  <c r="F3078" i="3"/>
  <c r="O3078" i="3" s="1"/>
  <c r="F3079" i="3"/>
  <c r="O3079" i="3" s="1"/>
  <c r="F3080" i="3"/>
  <c r="O3080" i="3" s="1"/>
  <c r="F3081" i="3"/>
  <c r="O3081" i="3" s="1"/>
  <c r="F3082" i="3"/>
  <c r="O3082" i="3" s="1"/>
  <c r="F3083" i="3"/>
  <c r="O3083" i="3" s="1"/>
  <c r="F3084" i="3"/>
  <c r="O3084" i="3" s="1"/>
  <c r="F3085" i="3"/>
  <c r="O3085" i="3" s="1"/>
  <c r="F3086" i="3"/>
  <c r="O3086" i="3" s="1"/>
  <c r="F3087" i="3"/>
  <c r="O3087" i="3" s="1"/>
  <c r="F3088" i="3"/>
  <c r="O3088" i="3" s="1"/>
  <c r="F3089" i="3"/>
  <c r="O3089" i="3" s="1"/>
  <c r="F3090" i="3"/>
  <c r="O3090" i="3" s="1"/>
  <c r="F3091" i="3"/>
  <c r="O3091" i="3" s="1"/>
  <c r="F3092" i="3"/>
  <c r="O3092" i="3" s="1"/>
  <c r="F3093" i="3"/>
  <c r="O3093" i="3" s="1"/>
  <c r="F3094" i="3"/>
  <c r="O3094" i="3" s="1"/>
  <c r="F3095" i="3"/>
  <c r="O3095" i="3" s="1"/>
  <c r="F3096" i="3"/>
  <c r="O3096" i="3" s="1"/>
  <c r="F3097" i="3"/>
  <c r="O3097" i="3" s="1"/>
  <c r="F3098" i="3"/>
  <c r="O3098" i="3" s="1"/>
  <c r="F3099" i="3"/>
  <c r="O3099" i="3" s="1"/>
  <c r="F3100" i="3"/>
  <c r="O3100" i="3" s="1"/>
  <c r="F3101" i="3"/>
  <c r="O3101" i="3" s="1"/>
  <c r="F3102" i="3"/>
  <c r="O3102" i="3" s="1"/>
  <c r="F3103" i="3"/>
  <c r="O3103" i="3" s="1"/>
  <c r="F3104" i="3"/>
  <c r="O3104" i="3" s="1"/>
  <c r="F3105" i="3"/>
  <c r="O3105" i="3" s="1"/>
  <c r="F3106" i="3"/>
  <c r="O3106" i="3" s="1"/>
  <c r="F3107" i="3"/>
  <c r="O3107" i="3" s="1"/>
  <c r="F3108" i="3"/>
  <c r="O3108" i="3" s="1"/>
  <c r="F3109" i="3"/>
  <c r="O3109" i="3" s="1"/>
  <c r="F3110" i="3"/>
  <c r="O3110" i="3" s="1"/>
  <c r="F3111" i="3"/>
  <c r="O3111" i="3" s="1"/>
  <c r="F3112" i="3"/>
  <c r="O3112" i="3" s="1"/>
  <c r="F3113" i="3"/>
  <c r="O3113" i="3" s="1"/>
  <c r="F3114" i="3"/>
  <c r="O3114" i="3" s="1"/>
  <c r="F3115" i="3"/>
  <c r="O3115" i="3" s="1"/>
  <c r="F3116" i="3"/>
  <c r="O3116" i="3" s="1"/>
  <c r="F3117" i="3"/>
  <c r="O3117" i="3" s="1"/>
  <c r="F3118" i="3"/>
  <c r="O3118" i="3" s="1"/>
  <c r="F3119" i="3"/>
  <c r="O3119" i="3" s="1"/>
  <c r="F3120" i="3"/>
  <c r="O3120" i="3" s="1"/>
  <c r="F3121" i="3"/>
  <c r="O3121" i="3" s="1"/>
  <c r="F3122" i="3"/>
  <c r="O3122" i="3" s="1"/>
  <c r="F3123" i="3"/>
  <c r="O3123" i="3" s="1"/>
  <c r="F3124" i="3"/>
  <c r="O3124" i="3" s="1"/>
  <c r="F3125" i="3"/>
  <c r="O3125" i="3" s="1"/>
  <c r="F3126" i="3"/>
  <c r="O3126" i="3" s="1"/>
  <c r="F3127" i="3"/>
  <c r="O3127" i="3" s="1"/>
  <c r="F3128" i="3"/>
  <c r="O3128" i="3" s="1"/>
  <c r="F3129" i="3"/>
  <c r="O3129" i="3" s="1"/>
  <c r="F3130" i="3"/>
  <c r="O3130" i="3" s="1"/>
  <c r="F3131" i="3"/>
  <c r="O3131" i="3" s="1"/>
  <c r="F3132" i="3"/>
  <c r="O3132" i="3" s="1"/>
  <c r="F3133" i="3"/>
  <c r="O3133" i="3" s="1"/>
  <c r="F3134" i="3"/>
  <c r="O3134" i="3" s="1"/>
  <c r="F3135" i="3"/>
  <c r="O3135" i="3" s="1"/>
  <c r="F3136" i="3"/>
  <c r="O3136" i="3" s="1"/>
  <c r="F3137" i="3"/>
  <c r="O3137" i="3" s="1"/>
  <c r="F3138" i="3"/>
  <c r="O3138" i="3" s="1"/>
  <c r="F3139" i="3"/>
  <c r="O3139" i="3" s="1"/>
  <c r="F3140" i="3"/>
  <c r="O3140" i="3" s="1"/>
  <c r="F3141" i="3"/>
  <c r="O3141" i="3" s="1"/>
  <c r="F3142" i="3"/>
  <c r="O3142" i="3" s="1"/>
  <c r="F3143" i="3"/>
  <c r="O3143" i="3" s="1"/>
  <c r="F3144" i="3"/>
  <c r="O3144" i="3" s="1"/>
  <c r="F3145" i="3"/>
  <c r="O3145" i="3" s="1"/>
  <c r="F3146" i="3"/>
  <c r="O3146" i="3" s="1"/>
  <c r="F3147" i="3"/>
  <c r="O3147" i="3" s="1"/>
  <c r="F3148" i="3"/>
  <c r="O3148" i="3" s="1"/>
  <c r="F3149" i="3"/>
  <c r="O3149" i="3" s="1"/>
  <c r="F3150" i="3"/>
  <c r="O3150" i="3" s="1"/>
  <c r="F3151" i="3"/>
  <c r="O3151" i="3" s="1"/>
  <c r="F3152" i="3"/>
  <c r="O3152" i="3" s="1"/>
  <c r="F3153" i="3"/>
  <c r="O3153" i="3" s="1"/>
  <c r="F3154" i="3"/>
  <c r="O3154" i="3" s="1"/>
  <c r="F3155" i="3"/>
  <c r="O3155" i="3" s="1"/>
  <c r="F3156" i="3"/>
  <c r="O3156" i="3" s="1"/>
  <c r="F3157" i="3"/>
  <c r="O3157" i="3" s="1"/>
  <c r="F3158" i="3"/>
  <c r="O3158" i="3" s="1"/>
  <c r="F3159" i="3"/>
  <c r="O3159" i="3" s="1"/>
  <c r="F3160" i="3"/>
  <c r="O3160" i="3" s="1"/>
  <c r="F3161" i="3"/>
  <c r="O3161" i="3" s="1"/>
  <c r="F3162" i="3"/>
  <c r="O3162" i="3" s="1"/>
  <c r="F3163" i="3"/>
  <c r="O3163" i="3" s="1"/>
  <c r="F3164" i="3"/>
  <c r="O3164" i="3" s="1"/>
  <c r="F3165" i="3"/>
  <c r="O3165" i="3" s="1"/>
  <c r="F3166" i="3"/>
  <c r="O3166" i="3" s="1"/>
  <c r="F3167" i="3"/>
  <c r="O3167" i="3" s="1"/>
  <c r="F3168" i="3"/>
  <c r="O3168" i="3" s="1"/>
  <c r="F3169" i="3"/>
  <c r="O3169" i="3" s="1"/>
  <c r="F3170" i="3"/>
  <c r="O3170" i="3" s="1"/>
  <c r="F3171" i="3"/>
  <c r="O3171" i="3" s="1"/>
  <c r="F3172" i="3"/>
  <c r="O3172" i="3" s="1"/>
  <c r="F3173" i="3"/>
  <c r="O3173" i="3" s="1"/>
  <c r="F3174" i="3"/>
  <c r="O3174" i="3" s="1"/>
  <c r="F3175" i="3"/>
  <c r="O3175" i="3" s="1"/>
  <c r="F3176" i="3"/>
  <c r="O3176" i="3" s="1"/>
  <c r="F3177" i="3"/>
  <c r="O3177" i="3" s="1"/>
  <c r="F3178" i="3"/>
  <c r="O3178" i="3" s="1"/>
  <c r="F3179" i="3"/>
  <c r="O3179" i="3" s="1"/>
  <c r="F3180" i="3"/>
  <c r="O3180" i="3" s="1"/>
  <c r="F3181" i="3"/>
  <c r="O3181" i="3" s="1"/>
  <c r="F3182" i="3"/>
  <c r="O3182" i="3" s="1"/>
  <c r="F3183" i="3"/>
  <c r="O3183" i="3" s="1"/>
  <c r="F3184" i="3"/>
  <c r="O3184" i="3" s="1"/>
  <c r="F3185" i="3"/>
  <c r="O3185" i="3" s="1"/>
  <c r="F3186" i="3"/>
  <c r="O3186" i="3" s="1"/>
  <c r="F3187" i="3"/>
  <c r="O3187" i="3" s="1"/>
  <c r="F3188" i="3"/>
  <c r="O3188" i="3" s="1"/>
  <c r="F3189" i="3"/>
  <c r="O3189" i="3" s="1"/>
  <c r="F3190" i="3"/>
  <c r="O3190" i="3" s="1"/>
  <c r="F3191" i="3"/>
  <c r="O3191" i="3" s="1"/>
  <c r="F3192" i="3"/>
  <c r="O3192" i="3" s="1"/>
  <c r="F3193" i="3"/>
  <c r="O3193" i="3" s="1"/>
  <c r="F3194" i="3"/>
  <c r="O3194" i="3" s="1"/>
  <c r="F3195" i="3"/>
  <c r="O3195" i="3" s="1"/>
  <c r="F3196" i="3"/>
  <c r="O3196" i="3" s="1"/>
  <c r="F3197" i="3"/>
  <c r="O3197" i="3" s="1"/>
  <c r="F3198" i="3"/>
  <c r="O3198" i="3" s="1"/>
  <c r="F3199" i="3"/>
  <c r="O3199" i="3" s="1"/>
  <c r="F3200" i="3"/>
  <c r="O3200" i="3" s="1"/>
  <c r="F3201" i="3"/>
  <c r="O3201" i="3" s="1"/>
  <c r="F3202" i="3"/>
  <c r="O3202" i="3" s="1"/>
  <c r="F3203" i="3"/>
  <c r="O3203" i="3" s="1"/>
  <c r="F3204" i="3"/>
  <c r="O3204" i="3" s="1"/>
  <c r="F3205" i="3"/>
  <c r="O3205" i="3" s="1"/>
  <c r="F3206" i="3"/>
  <c r="O3206" i="3" s="1"/>
  <c r="F3207" i="3"/>
  <c r="O3207" i="3" s="1"/>
  <c r="F3208" i="3"/>
  <c r="O3208" i="3" s="1"/>
  <c r="F3209" i="3"/>
  <c r="O3209" i="3" s="1"/>
  <c r="F3210" i="3"/>
  <c r="O3210" i="3" s="1"/>
  <c r="F3211" i="3"/>
  <c r="O3211" i="3" s="1"/>
  <c r="F3212" i="3"/>
  <c r="O3212" i="3" s="1"/>
  <c r="F3213" i="3"/>
  <c r="O3213" i="3" s="1"/>
  <c r="F3214" i="3"/>
  <c r="O3214" i="3" s="1"/>
  <c r="F3215" i="3"/>
  <c r="O3215" i="3" s="1"/>
  <c r="F3216" i="3"/>
  <c r="O3216" i="3" s="1"/>
  <c r="F3217" i="3"/>
  <c r="O3217" i="3" s="1"/>
  <c r="F3218" i="3"/>
  <c r="O3218" i="3" s="1"/>
  <c r="F3219" i="3"/>
  <c r="O3219" i="3" s="1"/>
  <c r="F3220" i="3"/>
  <c r="O3220" i="3" s="1"/>
  <c r="F3221" i="3"/>
  <c r="O3221" i="3" s="1"/>
  <c r="F3222" i="3"/>
  <c r="O3222" i="3" s="1"/>
  <c r="F3223" i="3"/>
  <c r="O3223" i="3" s="1"/>
  <c r="F3224" i="3"/>
  <c r="O3224" i="3" s="1"/>
  <c r="F3225" i="3"/>
  <c r="O3225" i="3" s="1"/>
  <c r="F3226" i="3"/>
  <c r="O3226" i="3" s="1"/>
  <c r="F3227" i="3"/>
  <c r="O3227" i="3" s="1"/>
  <c r="F3228" i="3"/>
  <c r="O3228" i="3" s="1"/>
  <c r="F3229" i="3"/>
  <c r="O3229" i="3" s="1"/>
  <c r="F3230" i="3"/>
  <c r="O3230" i="3" s="1"/>
  <c r="F3231" i="3"/>
  <c r="O3231" i="3" s="1"/>
  <c r="F3232" i="3"/>
  <c r="O3232" i="3" s="1"/>
  <c r="F3233" i="3"/>
  <c r="O3233" i="3" s="1"/>
  <c r="F3234" i="3"/>
  <c r="O3234" i="3" s="1"/>
  <c r="F3235" i="3"/>
  <c r="O3235" i="3" s="1"/>
  <c r="F3236" i="3"/>
  <c r="O3236" i="3" s="1"/>
  <c r="F3237" i="3"/>
  <c r="O3237" i="3" s="1"/>
  <c r="F3238" i="3"/>
  <c r="O3238" i="3" s="1"/>
  <c r="F3239" i="3"/>
  <c r="O3239" i="3" s="1"/>
  <c r="F3240" i="3"/>
  <c r="O3240" i="3" s="1"/>
  <c r="F3241" i="3"/>
  <c r="O3241" i="3" s="1"/>
  <c r="F3242" i="3"/>
  <c r="O3242" i="3" s="1"/>
  <c r="F3243" i="3"/>
  <c r="O3243" i="3" s="1"/>
  <c r="F3244" i="3"/>
  <c r="O3244" i="3" s="1"/>
  <c r="F3245" i="3"/>
  <c r="O3245" i="3" s="1"/>
  <c r="F3246" i="3"/>
  <c r="O3246" i="3" s="1"/>
  <c r="F3247" i="3"/>
  <c r="O3247" i="3" s="1"/>
  <c r="F3248" i="3"/>
  <c r="O3248" i="3" s="1"/>
  <c r="F3249" i="3"/>
  <c r="O3249" i="3" s="1"/>
  <c r="F3250" i="3"/>
  <c r="O3250" i="3" s="1"/>
  <c r="F3251" i="3"/>
  <c r="O3251" i="3" s="1"/>
  <c r="F3252" i="3"/>
  <c r="O3252" i="3" s="1"/>
  <c r="F3253" i="3"/>
  <c r="O3253" i="3" s="1"/>
  <c r="F3254" i="3"/>
  <c r="O3254" i="3" s="1"/>
  <c r="F3255" i="3"/>
  <c r="O3255" i="3" s="1"/>
  <c r="F3256" i="3"/>
  <c r="O3256" i="3" s="1"/>
  <c r="F3257" i="3"/>
  <c r="O3257" i="3" s="1"/>
  <c r="F3258" i="3"/>
  <c r="O3258" i="3" s="1"/>
  <c r="F3259" i="3"/>
  <c r="O3259" i="3" s="1"/>
  <c r="F3260" i="3"/>
  <c r="O3260" i="3" s="1"/>
  <c r="F3261" i="3"/>
  <c r="O3261" i="3" s="1"/>
  <c r="F3262" i="3"/>
  <c r="O3262" i="3" s="1"/>
  <c r="F3263" i="3"/>
  <c r="O3263" i="3" s="1"/>
  <c r="F3264" i="3"/>
  <c r="O3264" i="3" s="1"/>
  <c r="F3265" i="3"/>
  <c r="O3265" i="3" s="1"/>
  <c r="F3266" i="3"/>
  <c r="O3266" i="3" s="1"/>
  <c r="F3267" i="3"/>
  <c r="O3267" i="3" s="1"/>
  <c r="F3268" i="3"/>
  <c r="O3268" i="3" s="1"/>
  <c r="F3269" i="3"/>
  <c r="O3269" i="3" s="1"/>
  <c r="F3270" i="3"/>
  <c r="O3270" i="3" s="1"/>
  <c r="F3271" i="3"/>
  <c r="O3271" i="3" s="1"/>
  <c r="F3272" i="3"/>
  <c r="O3272" i="3" s="1"/>
  <c r="F3273" i="3"/>
  <c r="O3273" i="3" s="1"/>
  <c r="F3274" i="3"/>
  <c r="O3274" i="3" s="1"/>
  <c r="F3275" i="3"/>
  <c r="O3275" i="3" s="1"/>
  <c r="F3276" i="3"/>
  <c r="O3276" i="3" s="1"/>
  <c r="F3277" i="3"/>
  <c r="O3277" i="3" s="1"/>
  <c r="F3278" i="3"/>
  <c r="O3278" i="3" s="1"/>
  <c r="F3279" i="3"/>
  <c r="O3279" i="3" s="1"/>
  <c r="F3280" i="3"/>
  <c r="O3280" i="3" s="1"/>
  <c r="F3281" i="3"/>
  <c r="O3281" i="3" s="1"/>
  <c r="F3282" i="3"/>
  <c r="O3282" i="3" s="1"/>
  <c r="F3283" i="3"/>
  <c r="O3283" i="3" s="1"/>
  <c r="F3284" i="3"/>
  <c r="O3284" i="3" s="1"/>
  <c r="F3285" i="3"/>
  <c r="O3285" i="3" s="1"/>
  <c r="F3286" i="3"/>
  <c r="O3286" i="3" s="1"/>
  <c r="F3287" i="3"/>
  <c r="O3287" i="3" s="1"/>
  <c r="F3288" i="3"/>
  <c r="O3288" i="3" s="1"/>
  <c r="F3289" i="3"/>
  <c r="O3289" i="3" s="1"/>
  <c r="F3290" i="3"/>
  <c r="O3290" i="3" s="1"/>
  <c r="F3291" i="3"/>
  <c r="O3291" i="3" s="1"/>
  <c r="F3292" i="3"/>
  <c r="O3292" i="3" s="1"/>
  <c r="F3293" i="3"/>
  <c r="O3293" i="3" s="1"/>
  <c r="F3294" i="3"/>
  <c r="O3294" i="3" s="1"/>
  <c r="F3295" i="3"/>
  <c r="O3295" i="3" s="1"/>
  <c r="F3296" i="3"/>
  <c r="O3296" i="3" s="1"/>
  <c r="F3297" i="3"/>
  <c r="O3297" i="3" s="1"/>
  <c r="F3298" i="3"/>
  <c r="O3298" i="3" s="1"/>
  <c r="F3299" i="3"/>
  <c r="O3299" i="3" s="1"/>
  <c r="F3300" i="3"/>
  <c r="O3300" i="3" s="1"/>
  <c r="F3301" i="3"/>
  <c r="O3301" i="3" s="1"/>
  <c r="F3302" i="3"/>
  <c r="O3302" i="3" s="1"/>
  <c r="F3303" i="3"/>
  <c r="O3303" i="3" s="1"/>
  <c r="F3304" i="3"/>
  <c r="O3304" i="3" s="1"/>
  <c r="F3305" i="3"/>
  <c r="O3305" i="3" s="1"/>
  <c r="F3306" i="3"/>
  <c r="O3306" i="3" s="1"/>
  <c r="F3307" i="3"/>
  <c r="O3307" i="3" s="1"/>
  <c r="F3308" i="3"/>
  <c r="O3308" i="3" s="1"/>
  <c r="F3309" i="3"/>
  <c r="O3309" i="3" s="1"/>
  <c r="F3310" i="3"/>
  <c r="O3310" i="3" s="1"/>
  <c r="F3311" i="3"/>
  <c r="O3311" i="3" s="1"/>
  <c r="F3312" i="3"/>
  <c r="O3312" i="3" s="1"/>
  <c r="F3313" i="3"/>
  <c r="O3313" i="3" s="1"/>
  <c r="F3314" i="3"/>
  <c r="O3314" i="3" s="1"/>
  <c r="F3315" i="3"/>
  <c r="O3315" i="3" s="1"/>
  <c r="F3316" i="3"/>
  <c r="O3316" i="3" s="1"/>
  <c r="F3317" i="3"/>
  <c r="O3317" i="3" s="1"/>
  <c r="F3318" i="3"/>
  <c r="O3318" i="3" s="1"/>
  <c r="F3319" i="3"/>
  <c r="O3319" i="3" s="1"/>
  <c r="F3320" i="3"/>
  <c r="O3320" i="3" s="1"/>
  <c r="F3321" i="3"/>
  <c r="O3321" i="3" s="1"/>
  <c r="F3322" i="3"/>
  <c r="O3322" i="3" s="1"/>
  <c r="F3323" i="3"/>
  <c r="O3323" i="3" s="1"/>
  <c r="F3324" i="3"/>
  <c r="O3324" i="3" s="1"/>
  <c r="F3325" i="3"/>
  <c r="O3325" i="3" s="1"/>
  <c r="F3326" i="3"/>
  <c r="O3326" i="3" s="1"/>
  <c r="F3327" i="3"/>
  <c r="O3327" i="3" s="1"/>
  <c r="F3328" i="3"/>
  <c r="O3328" i="3" s="1"/>
  <c r="F3329" i="3"/>
  <c r="O3329" i="3" s="1"/>
  <c r="F3330" i="3"/>
  <c r="O3330" i="3" s="1"/>
  <c r="F3331" i="3"/>
  <c r="O3331" i="3" s="1"/>
  <c r="F3332" i="3"/>
  <c r="O3332" i="3" s="1"/>
  <c r="F3333" i="3"/>
  <c r="O3333" i="3" s="1"/>
  <c r="F3334" i="3"/>
  <c r="O3334" i="3" s="1"/>
  <c r="F3335" i="3"/>
  <c r="O3335" i="3" s="1"/>
  <c r="F3336" i="3"/>
  <c r="O3336" i="3" s="1"/>
  <c r="F3337" i="3"/>
  <c r="O3337" i="3" s="1"/>
  <c r="F3338" i="3"/>
  <c r="O3338" i="3" s="1"/>
  <c r="F3339" i="3"/>
  <c r="O3339" i="3" s="1"/>
  <c r="F3340" i="3"/>
  <c r="O3340" i="3" s="1"/>
  <c r="F3341" i="3"/>
  <c r="O3341" i="3" s="1"/>
  <c r="F3342" i="3"/>
  <c r="O3342" i="3" s="1"/>
  <c r="F3343" i="3"/>
  <c r="O3343" i="3" s="1"/>
  <c r="F3344" i="3"/>
  <c r="O3344" i="3" s="1"/>
  <c r="F3345" i="3"/>
  <c r="O3345" i="3" s="1"/>
  <c r="F3346" i="3"/>
  <c r="O3346" i="3" s="1"/>
  <c r="F3347" i="3"/>
  <c r="O3347" i="3" s="1"/>
  <c r="F3348" i="3"/>
  <c r="O3348" i="3" s="1"/>
  <c r="F3349" i="3"/>
  <c r="O3349" i="3" s="1"/>
  <c r="F3350" i="3"/>
  <c r="O3350" i="3" s="1"/>
  <c r="F3351" i="3"/>
  <c r="O3351" i="3" s="1"/>
  <c r="F3352" i="3"/>
  <c r="O3352" i="3" s="1"/>
  <c r="F3353" i="3"/>
  <c r="O3353" i="3" s="1"/>
  <c r="F3354" i="3"/>
  <c r="O3354" i="3" s="1"/>
  <c r="F3355" i="3"/>
  <c r="O3355" i="3" s="1"/>
  <c r="F3356" i="3"/>
  <c r="O3356" i="3" s="1"/>
  <c r="F3357" i="3"/>
  <c r="O3357" i="3" s="1"/>
  <c r="F3358" i="3"/>
  <c r="O3358" i="3" s="1"/>
  <c r="F3359" i="3"/>
  <c r="O3359" i="3" s="1"/>
  <c r="F3360" i="3"/>
  <c r="O3360" i="3" s="1"/>
  <c r="F3361" i="3"/>
  <c r="O3361" i="3" s="1"/>
  <c r="F3362" i="3"/>
  <c r="O3362" i="3" s="1"/>
  <c r="F3363" i="3"/>
  <c r="O3363" i="3" s="1"/>
  <c r="F3364" i="3"/>
  <c r="O3364" i="3" s="1"/>
  <c r="F3365" i="3"/>
  <c r="O3365" i="3" s="1"/>
  <c r="F3366" i="3"/>
  <c r="O3366" i="3" s="1"/>
  <c r="F3367" i="3"/>
  <c r="O3367" i="3" s="1"/>
  <c r="F3368" i="3"/>
  <c r="O3368" i="3" s="1"/>
  <c r="F3369" i="3"/>
  <c r="O3369" i="3" s="1"/>
  <c r="F3370" i="3"/>
  <c r="O3370" i="3" s="1"/>
  <c r="F3371" i="3"/>
  <c r="O3371" i="3" s="1"/>
  <c r="F3372" i="3"/>
  <c r="O3372" i="3" s="1"/>
  <c r="F3373" i="3"/>
  <c r="O3373" i="3" s="1"/>
  <c r="F3374" i="3"/>
  <c r="O3374" i="3" s="1"/>
  <c r="F3375" i="3"/>
  <c r="O3375" i="3" s="1"/>
  <c r="F3376" i="3"/>
  <c r="O3376" i="3" s="1"/>
  <c r="F3377" i="3"/>
  <c r="O3377" i="3" s="1"/>
  <c r="F3378" i="3"/>
  <c r="O3378" i="3" s="1"/>
  <c r="F3379" i="3"/>
  <c r="O3379" i="3" s="1"/>
  <c r="F3380" i="3"/>
  <c r="O3380" i="3" s="1"/>
  <c r="F3381" i="3"/>
  <c r="O3381" i="3" s="1"/>
  <c r="F3382" i="3"/>
  <c r="O3382" i="3" s="1"/>
  <c r="F3383" i="3"/>
  <c r="O3383" i="3" s="1"/>
  <c r="F3384" i="3"/>
  <c r="O3384" i="3" s="1"/>
  <c r="F3385" i="3"/>
  <c r="O3385" i="3" s="1"/>
  <c r="F3386" i="3"/>
  <c r="O3386" i="3" s="1"/>
  <c r="F3387" i="3"/>
  <c r="O3387" i="3" s="1"/>
  <c r="F3388" i="3"/>
  <c r="O3388" i="3" s="1"/>
  <c r="F3389" i="3"/>
  <c r="O3389" i="3" s="1"/>
  <c r="F3390" i="3"/>
  <c r="O3390" i="3" s="1"/>
  <c r="F3391" i="3"/>
  <c r="O3391" i="3" s="1"/>
  <c r="F3392" i="3"/>
  <c r="O3392" i="3" s="1"/>
  <c r="F3393" i="3"/>
  <c r="O3393" i="3" s="1"/>
  <c r="F3394" i="3"/>
  <c r="O3394" i="3" s="1"/>
  <c r="F3395" i="3"/>
  <c r="O3395" i="3" s="1"/>
  <c r="F3396" i="3"/>
  <c r="O3396" i="3" s="1"/>
  <c r="F3397" i="3"/>
  <c r="O3397" i="3" s="1"/>
  <c r="F3398" i="3"/>
  <c r="O3398" i="3" s="1"/>
  <c r="F3399" i="3"/>
  <c r="O3399" i="3" s="1"/>
  <c r="F3400" i="3"/>
  <c r="O3400" i="3" s="1"/>
  <c r="F3401" i="3"/>
  <c r="O3401" i="3" s="1"/>
  <c r="F3402" i="3"/>
  <c r="O3402" i="3" s="1"/>
  <c r="F3403" i="3"/>
  <c r="O3403" i="3" s="1"/>
  <c r="F3404" i="3"/>
  <c r="O3404" i="3" s="1"/>
  <c r="F3405" i="3"/>
  <c r="O3405" i="3" s="1"/>
  <c r="F3406" i="3"/>
  <c r="O3406" i="3" s="1"/>
  <c r="F3407" i="3"/>
  <c r="O3407" i="3" s="1"/>
  <c r="F3408" i="3"/>
  <c r="O3408" i="3" s="1"/>
  <c r="F3409" i="3"/>
  <c r="O3409" i="3" s="1"/>
  <c r="F3410" i="3"/>
  <c r="O3410" i="3" s="1"/>
  <c r="F3411" i="3"/>
  <c r="O3411" i="3" s="1"/>
  <c r="F3412" i="3"/>
  <c r="O3412" i="3" s="1"/>
  <c r="F3413" i="3"/>
  <c r="O3413" i="3" s="1"/>
  <c r="F3414" i="3"/>
  <c r="O3414" i="3" s="1"/>
  <c r="F3415" i="3"/>
  <c r="O3415" i="3" s="1"/>
  <c r="F3416" i="3"/>
  <c r="O3416" i="3" s="1"/>
  <c r="F3417" i="3"/>
  <c r="O3417" i="3" s="1"/>
  <c r="F3418" i="3"/>
  <c r="O3418" i="3" s="1"/>
  <c r="F3419" i="3"/>
  <c r="O3419" i="3" s="1"/>
  <c r="F3420" i="3"/>
  <c r="O3420" i="3" s="1"/>
  <c r="F3421" i="3"/>
  <c r="O3421" i="3" s="1"/>
  <c r="F3422" i="3"/>
  <c r="O3422" i="3" s="1"/>
  <c r="F3423" i="3"/>
  <c r="O3423" i="3" s="1"/>
  <c r="F3424" i="3"/>
  <c r="O3424" i="3" s="1"/>
  <c r="F3425" i="3"/>
  <c r="O3425" i="3" s="1"/>
  <c r="F3426" i="3"/>
  <c r="O3426" i="3" s="1"/>
  <c r="F3427" i="3"/>
  <c r="O3427" i="3" s="1"/>
  <c r="F3428" i="3"/>
  <c r="O3428" i="3" s="1"/>
  <c r="F3429" i="3"/>
  <c r="O3429" i="3" s="1"/>
  <c r="F3430" i="3"/>
  <c r="O3430" i="3" s="1"/>
  <c r="F3431" i="3"/>
  <c r="O3431" i="3" s="1"/>
  <c r="F3432" i="3"/>
  <c r="O3432" i="3" s="1"/>
  <c r="F3433" i="3"/>
  <c r="O3433" i="3" s="1"/>
  <c r="F3434" i="3"/>
  <c r="O3434" i="3" s="1"/>
  <c r="F3435" i="3"/>
  <c r="O3435" i="3" s="1"/>
  <c r="F3436" i="3"/>
  <c r="O3436" i="3" s="1"/>
  <c r="F3437" i="3"/>
  <c r="O3437" i="3" s="1"/>
  <c r="F3438" i="3"/>
  <c r="O3438" i="3" s="1"/>
  <c r="F3439" i="3"/>
  <c r="O3439" i="3" s="1"/>
  <c r="F3440" i="3"/>
  <c r="O3440" i="3" s="1"/>
  <c r="F3441" i="3"/>
  <c r="O3441" i="3" s="1"/>
  <c r="F3442" i="3"/>
  <c r="O3442" i="3" s="1"/>
  <c r="F3443" i="3"/>
  <c r="O3443" i="3" s="1"/>
  <c r="F3444" i="3"/>
  <c r="O3444" i="3" s="1"/>
  <c r="F3445" i="3"/>
  <c r="O3445" i="3" s="1"/>
  <c r="F3446" i="3"/>
  <c r="O3446" i="3" s="1"/>
  <c r="F3447" i="3"/>
  <c r="O3447" i="3" s="1"/>
  <c r="F3448" i="3"/>
  <c r="O3448" i="3" s="1"/>
  <c r="F3449" i="3"/>
  <c r="O3449" i="3" s="1"/>
  <c r="F3450" i="3"/>
  <c r="O3450" i="3" s="1"/>
  <c r="F3451" i="3"/>
  <c r="O3451" i="3" s="1"/>
  <c r="F3452" i="3"/>
  <c r="O3452" i="3" s="1"/>
  <c r="F3453" i="3"/>
  <c r="O3453" i="3" s="1"/>
  <c r="F3454" i="3"/>
  <c r="O3454" i="3" s="1"/>
  <c r="F3455" i="3"/>
  <c r="O3455" i="3" s="1"/>
  <c r="F3456" i="3"/>
  <c r="O3456" i="3" s="1"/>
  <c r="F3457" i="3"/>
  <c r="O3457" i="3" s="1"/>
  <c r="F3458" i="3"/>
  <c r="O3458" i="3" s="1"/>
  <c r="F3459" i="3"/>
  <c r="O3459" i="3" s="1"/>
  <c r="F3460" i="3"/>
  <c r="O3460" i="3" s="1"/>
  <c r="F3461" i="3"/>
  <c r="O3461" i="3" s="1"/>
  <c r="F3462" i="3"/>
  <c r="O3462" i="3" s="1"/>
  <c r="F3463" i="3"/>
  <c r="O3463" i="3" s="1"/>
  <c r="F3464" i="3"/>
  <c r="O3464" i="3" s="1"/>
  <c r="F3465" i="3"/>
  <c r="O3465" i="3" s="1"/>
  <c r="F3466" i="3"/>
  <c r="O3466" i="3" s="1"/>
  <c r="F3467" i="3"/>
  <c r="O3467" i="3" s="1"/>
  <c r="F3468" i="3"/>
  <c r="O3468" i="3" s="1"/>
  <c r="F3469" i="3"/>
  <c r="O3469" i="3" s="1"/>
  <c r="F3470" i="3"/>
  <c r="O3470" i="3" s="1"/>
  <c r="F3471" i="3"/>
  <c r="O3471" i="3" s="1"/>
  <c r="F3472" i="3"/>
  <c r="O3472" i="3" s="1"/>
  <c r="F3473" i="3"/>
  <c r="O3473" i="3" s="1"/>
  <c r="F3474" i="3"/>
  <c r="O3474" i="3" s="1"/>
  <c r="F3475" i="3"/>
  <c r="O3475" i="3" s="1"/>
  <c r="F3476" i="3"/>
  <c r="O3476" i="3" s="1"/>
  <c r="F3477" i="3"/>
  <c r="O3477" i="3" s="1"/>
  <c r="F3478" i="3"/>
  <c r="O3478" i="3" s="1"/>
  <c r="F3479" i="3"/>
  <c r="O3479" i="3" s="1"/>
  <c r="F3480" i="3"/>
  <c r="O3480" i="3" s="1"/>
  <c r="F3481" i="3"/>
  <c r="O3481" i="3" s="1"/>
  <c r="F3482" i="3"/>
  <c r="O3482" i="3" s="1"/>
  <c r="F3483" i="3"/>
  <c r="O3483" i="3" s="1"/>
  <c r="F3484" i="3"/>
  <c r="O3484" i="3" s="1"/>
  <c r="F3485" i="3"/>
  <c r="O3485" i="3" s="1"/>
  <c r="F3486" i="3"/>
  <c r="O3486" i="3" s="1"/>
  <c r="F3487" i="3"/>
  <c r="O3487" i="3" s="1"/>
  <c r="F3488" i="3"/>
  <c r="O3488" i="3" s="1"/>
  <c r="F3489" i="3"/>
  <c r="O3489" i="3" s="1"/>
  <c r="F3490" i="3"/>
  <c r="O3490" i="3" s="1"/>
  <c r="F3491" i="3"/>
  <c r="O3491" i="3" s="1"/>
  <c r="F3492" i="3"/>
  <c r="O3492" i="3" s="1"/>
  <c r="F3493" i="3"/>
  <c r="O3493" i="3" s="1"/>
  <c r="F3494" i="3"/>
  <c r="O3494" i="3" s="1"/>
  <c r="F3495" i="3"/>
  <c r="O3495" i="3" s="1"/>
  <c r="F3496" i="3"/>
  <c r="O3496" i="3" s="1"/>
  <c r="F3497" i="3"/>
  <c r="O3497" i="3" s="1"/>
  <c r="F3498" i="3"/>
  <c r="O3498" i="3" s="1"/>
  <c r="F3499" i="3"/>
  <c r="O3499" i="3" s="1"/>
  <c r="F3500" i="3"/>
  <c r="O3500" i="3" s="1"/>
  <c r="F3501" i="3"/>
  <c r="O3501" i="3" s="1"/>
  <c r="F3502" i="3"/>
  <c r="O3502" i="3" s="1"/>
  <c r="F3503" i="3"/>
  <c r="O3503" i="3" s="1"/>
  <c r="F3504" i="3"/>
  <c r="O3504" i="3" s="1"/>
  <c r="F3505" i="3"/>
  <c r="O3505" i="3" s="1"/>
  <c r="F3506" i="3"/>
  <c r="O3506" i="3" s="1"/>
  <c r="F3507" i="3"/>
  <c r="O3507" i="3" s="1"/>
  <c r="F3508" i="3"/>
  <c r="O3508" i="3" s="1"/>
  <c r="F3509" i="3"/>
  <c r="O3509" i="3" s="1"/>
  <c r="F3510" i="3"/>
  <c r="O3510" i="3" s="1"/>
  <c r="F3511" i="3"/>
  <c r="O3511" i="3" s="1"/>
  <c r="F3512" i="3"/>
  <c r="O3512" i="3" s="1"/>
  <c r="F3513" i="3"/>
  <c r="O3513" i="3" s="1"/>
  <c r="F3514" i="3"/>
  <c r="O3514" i="3" s="1"/>
  <c r="F3515" i="3"/>
  <c r="O3515" i="3" s="1"/>
  <c r="F3516" i="3"/>
  <c r="O3516" i="3" s="1"/>
  <c r="F3517" i="3"/>
  <c r="O3517" i="3" s="1"/>
  <c r="F3518" i="3"/>
  <c r="O3518" i="3" s="1"/>
  <c r="F3519" i="3"/>
  <c r="O3519" i="3" s="1"/>
  <c r="F3520" i="3"/>
  <c r="O3520" i="3" s="1"/>
  <c r="F3521" i="3"/>
  <c r="O3521" i="3" s="1"/>
  <c r="F3522" i="3"/>
  <c r="O3522" i="3" s="1"/>
  <c r="F3523" i="3"/>
  <c r="O3523" i="3" s="1"/>
  <c r="F3524" i="3"/>
  <c r="O3524" i="3" s="1"/>
  <c r="F3525" i="3"/>
  <c r="O3525" i="3" s="1"/>
  <c r="F3526" i="3"/>
  <c r="O3526" i="3" s="1"/>
  <c r="F3527" i="3"/>
  <c r="O3527" i="3" s="1"/>
  <c r="F3528" i="3"/>
  <c r="O3528" i="3" s="1"/>
  <c r="F3529" i="3"/>
  <c r="O3529" i="3" s="1"/>
  <c r="F3530" i="3"/>
  <c r="O3530" i="3" s="1"/>
  <c r="F3531" i="3"/>
  <c r="O3531" i="3" s="1"/>
  <c r="F3532" i="3"/>
  <c r="O3532" i="3" s="1"/>
  <c r="F3533" i="3"/>
  <c r="O3533" i="3" s="1"/>
  <c r="F3534" i="3"/>
  <c r="O3534" i="3" s="1"/>
  <c r="F3535" i="3"/>
  <c r="O3535" i="3" s="1"/>
  <c r="F3536" i="3"/>
  <c r="O3536" i="3" s="1"/>
  <c r="F3537" i="3"/>
  <c r="O3537" i="3" s="1"/>
  <c r="F3538" i="3"/>
  <c r="O3538" i="3" s="1"/>
  <c r="F3539" i="3"/>
  <c r="O3539" i="3" s="1"/>
  <c r="F3540" i="3"/>
  <c r="O3540" i="3" s="1"/>
  <c r="F3541" i="3"/>
  <c r="O3541" i="3" s="1"/>
  <c r="F3542" i="3"/>
  <c r="O3542" i="3" s="1"/>
  <c r="F3543" i="3"/>
  <c r="O3543" i="3" s="1"/>
  <c r="F3544" i="3"/>
  <c r="O3544" i="3" s="1"/>
  <c r="F3545" i="3"/>
  <c r="O3545" i="3" s="1"/>
  <c r="F3546" i="3"/>
  <c r="O3546" i="3" s="1"/>
  <c r="F3547" i="3"/>
  <c r="O3547" i="3" s="1"/>
  <c r="F3548" i="3"/>
  <c r="O3548" i="3" s="1"/>
  <c r="F3549" i="3"/>
  <c r="O3549" i="3" s="1"/>
  <c r="F3550" i="3"/>
  <c r="O3550" i="3" s="1"/>
  <c r="F3551" i="3"/>
  <c r="O3551" i="3" s="1"/>
  <c r="F3552" i="3"/>
  <c r="O3552" i="3" s="1"/>
  <c r="F3553" i="3"/>
  <c r="O3553" i="3" s="1"/>
  <c r="F3554" i="3"/>
  <c r="O3554" i="3" s="1"/>
  <c r="F3555" i="3"/>
  <c r="O3555" i="3" s="1"/>
  <c r="F3556" i="3"/>
  <c r="O3556" i="3" s="1"/>
  <c r="F3557" i="3"/>
  <c r="O3557" i="3" s="1"/>
  <c r="F3558" i="3"/>
  <c r="O3558" i="3" s="1"/>
  <c r="F3559" i="3"/>
  <c r="O3559" i="3" s="1"/>
  <c r="F3560" i="3"/>
  <c r="O3560" i="3" s="1"/>
  <c r="F3561" i="3"/>
  <c r="O3561" i="3" s="1"/>
  <c r="F3562" i="3"/>
  <c r="O3562" i="3" s="1"/>
  <c r="F3563" i="3"/>
  <c r="O3563" i="3" s="1"/>
  <c r="F3564" i="3"/>
  <c r="O3564" i="3" s="1"/>
  <c r="F3565" i="3"/>
  <c r="O3565" i="3" s="1"/>
  <c r="F3566" i="3"/>
  <c r="O3566" i="3" s="1"/>
  <c r="F3567" i="3"/>
  <c r="O3567" i="3" s="1"/>
  <c r="F3568" i="3"/>
  <c r="O3568" i="3" s="1"/>
  <c r="F3569" i="3"/>
  <c r="O3569" i="3" s="1"/>
  <c r="F3570" i="3"/>
  <c r="O3570" i="3" s="1"/>
  <c r="F3571" i="3"/>
  <c r="O3571" i="3" s="1"/>
  <c r="F3572" i="3"/>
  <c r="O3572" i="3" s="1"/>
  <c r="F3573" i="3"/>
  <c r="O3573" i="3" s="1"/>
  <c r="F3574" i="3"/>
  <c r="O3574" i="3" s="1"/>
  <c r="F3575" i="3"/>
  <c r="O3575" i="3" s="1"/>
  <c r="F3576" i="3"/>
  <c r="O3576" i="3" s="1"/>
  <c r="F3577" i="3"/>
  <c r="O3577" i="3" s="1"/>
  <c r="F3578" i="3"/>
  <c r="O3578" i="3" s="1"/>
  <c r="F3579" i="3"/>
  <c r="O3579" i="3" s="1"/>
  <c r="F3580" i="3"/>
  <c r="O3580" i="3" s="1"/>
  <c r="F3581" i="3"/>
  <c r="O3581" i="3" s="1"/>
  <c r="F3582" i="3"/>
  <c r="O3582" i="3" s="1"/>
  <c r="F3583" i="3"/>
  <c r="O3583" i="3" s="1"/>
  <c r="F3584" i="3"/>
  <c r="O3584" i="3" s="1"/>
  <c r="F3585" i="3"/>
  <c r="O3585" i="3" s="1"/>
  <c r="F3586" i="3"/>
  <c r="O3586" i="3" s="1"/>
  <c r="F3587" i="3"/>
  <c r="O3587" i="3" s="1"/>
  <c r="F3588" i="3"/>
  <c r="O3588" i="3" s="1"/>
  <c r="F3589" i="3"/>
  <c r="O3589" i="3" s="1"/>
  <c r="F3590" i="3"/>
  <c r="O3590" i="3" s="1"/>
  <c r="F3591" i="3"/>
  <c r="O3591" i="3" s="1"/>
  <c r="F3592" i="3"/>
  <c r="O3592" i="3" s="1"/>
  <c r="F3593" i="3"/>
  <c r="O3593" i="3" s="1"/>
  <c r="F3594" i="3"/>
  <c r="O3594" i="3" s="1"/>
  <c r="F3595" i="3"/>
  <c r="O3595" i="3" s="1"/>
  <c r="F3596" i="3"/>
  <c r="O3596" i="3" s="1"/>
  <c r="F3597" i="3"/>
  <c r="O3597" i="3" s="1"/>
  <c r="F3598" i="3"/>
  <c r="O3598" i="3" s="1"/>
  <c r="F3599" i="3"/>
  <c r="O3599" i="3" s="1"/>
  <c r="F3600" i="3"/>
  <c r="O3600" i="3" s="1"/>
  <c r="F3601" i="3"/>
  <c r="O3601" i="3" s="1"/>
  <c r="F3602" i="3"/>
  <c r="O3602" i="3" s="1"/>
  <c r="F3603" i="3"/>
  <c r="O3603" i="3" s="1"/>
  <c r="F3604" i="3"/>
  <c r="O3604" i="3" s="1"/>
  <c r="F3605" i="3"/>
  <c r="O3605" i="3" s="1"/>
  <c r="F3606" i="3"/>
  <c r="O3606" i="3" s="1"/>
  <c r="F3607" i="3"/>
  <c r="O3607" i="3" s="1"/>
  <c r="F3608" i="3"/>
  <c r="O3608" i="3" s="1"/>
  <c r="F3609" i="3"/>
  <c r="O3609" i="3" s="1"/>
  <c r="F3610" i="3"/>
  <c r="O3610" i="3" s="1"/>
  <c r="F3611" i="3"/>
  <c r="O3611" i="3" s="1"/>
  <c r="F3612" i="3"/>
  <c r="O3612" i="3" s="1"/>
  <c r="F3613" i="3"/>
  <c r="O3613" i="3" s="1"/>
  <c r="F3614" i="3"/>
  <c r="O3614" i="3" s="1"/>
  <c r="F3615" i="3"/>
  <c r="O3615" i="3" s="1"/>
  <c r="F3616" i="3"/>
  <c r="O3616" i="3" s="1"/>
  <c r="F3617" i="3"/>
  <c r="O3617" i="3" s="1"/>
  <c r="F3618" i="3"/>
  <c r="O3618" i="3" s="1"/>
  <c r="F3619" i="3"/>
  <c r="O3619" i="3" s="1"/>
  <c r="F3620" i="3"/>
  <c r="O3620" i="3" s="1"/>
  <c r="F3621" i="3"/>
  <c r="O3621" i="3" s="1"/>
  <c r="F3622" i="3"/>
  <c r="O3622" i="3" s="1"/>
  <c r="F3623" i="3"/>
  <c r="O3623" i="3" s="1"/>
  <c r="F3624" i="3"/>
  <c r="O3624" i="3" s="1"/>
  <c r="F3625" i="3"/>
  <c r="O3625" i="3" s="1"/>
  <c r="F3626" i="3"/>
  <c r="O3626" i="3" s="1"/>
  <c r="F3627" i="3"/>
  <c r="O3627" i="3" s="1"/>
  <c r="F3628" i="3"/>
  <c r="O3628" i="3" s="1"/>
  <c r="F3629" i="3"/>
  <c r="O3629" i="3" s="1"/>
  <c r="F3630" i="3"/>
  <c r="O3630" i="3" s="1"/>
  <c r="F3631" i="3"/>
  <c r="O3631" i="3" s="1"/>
  <c r="F3632" i="3"/>
  <c r="O3632" i="3" s="1"/>
  <c r="F3633" i="3"/>
  <c r="O3633" i="3" s="1"/>
  <c r="F3634" i="3"/>
  <c r="O3634" i="3" s="1"/>
  <c r="F3635" i="3"/>
  <c r="O3635" i="3" s="1"/>
  <c r="F3636" i="3"/>
  <c r="O3636" i="3" s="1"/>
  <c r="F3637" i="3"/>
  <c r="O3637" i="3" s="1"/>
  <c r="F3638" i="3"/>
  <c r="O3638" i="3" s="1"/>
  <c r="F3639" i="3"/>
  <c r="O3639" i="3" s="1"/>
  <c r="F3640" i="3"/>
  <c r="O3640" i="3" s="1"/>
  <c r="F3641" i="3"/>
  <c r="O3641" i="3" s="1"/>
  <c r="F3642" i="3"/>
  <c r="O3642" i="3" s="1"/>
  <c r="F3643" i="3"/>
  <c r="O3643" i="3" s="1"/>
  <c r="F3644" i="3"/>
  <c r="O3644" i="3" s="1"/>
  <c r="F3645" i="3"/>
  <c r="O3645" i="3" s="1"/>
  <c r="F3646" i="3"/>
  <c r="O3646" i="3" s="1"/>
  <c r="F3647" i="3"/>
  <c r="O3647" i="3" s="1"/>
  <c r="F3648" i="3"/>
  <c r="O3648" i="3" s="1"/>
  <c r="F3649" i="3"/>
  <c r="O3649" i="3" s="1"/>
  <c r="F3650" i="3"/>
  <c r="O3650" i="3" s="1"/>
  <c r="F3651" i="3"/>
  <c r="O3651" i="3" s="1"/>
  <c r="F3652" i="3"/>
  <c r="O3652" i="3" s="1"/>
  <c r="F3653" i="3"/>
  <c r="O3653" i="3" s="1"/>
  <c r="F3654" i="3"/>
  <c r="O3654" i="3" s="1"/>
  <c r="F3655" i="3"/>
  <c r="O3655" i="3" s="1"/>
  <c r="F3656" i="3"/>
  <c r="O3656" i="3" s="1"/>
  <c r="F3657" i="3"/>
  <c r="O3657" i="3" s="1"/>
  <c r="F3658" i="3"/>
  <c r="O3658" i="3" s="1"/>
  <c r="F3659" i="3"/>
  <c r="O3659" i="3" s="1"/>
  <c r="F3660" i="3"/>
  <c r="O3660" i="3" s="1"/>
  <c r="F3661" i="3"/>
  <c r="O3661" i="3" s="1"/>
  <c r="F3662" i="3"/>
  <c r="O3662" i="3" s="1"/>
  <c r="F3663" i="3"/>
  <c r="O3663" i="3" s="1"/>
  <c r="F3664" i="3"/>
  <c r="O3664" i="3" s="1"/>
  <c r="F3665" i="3"/>
  <c r="O3665" i="3" s="1"/>
  <c r="F3666" i="3"/>
  <c r="O3666" i="3" s="1"/>
  <c r="F3667" i="3"/>
  <c r="O3667" i="3" s="1"/>
  <c r="F3668" i="3"/>
  <c r="O3668" i="3" s="1"/>
  <c r="F3669" i="3"/>
  <c r="O3669" i="3" s="1"/>
  <c r="F3670" i="3"/>
  <c r="O3670" i="3" s="1"/>
  <c r="F3671" i="3"/>
  <c r="O3671" i="3" s="1"/>
  <c r="F3672" i="3"/>
  <c r="O3672" i="3" s="1"/>
  <c r="F3673" i="3"/>
  <c r="O3673" i="3" s="1"/>
  <c r="F3674" i="3"/>
  <c r="O3674" i="3" s="1"/>
  <c r="F3675" i="3"/>
  <c r="O3675" i="3" s="1"/>
  <c r="F3676" i="3"/>
  <c r="O3676" i="3" s="1"/>
  <c r="F3677" i="3"/>
  <c r="O3677" i="3" s="1"/>
  <c r="F3678" i="3"/>
  <c r="O3678" i="3" s="1"/>
  <c r="F3679" i="3"/>
  <c r="O3679" i="3" s="1"/>
  <c r="F3680" i="3"/>
  <c r="O3680" i="3" s="1"/>
  <c r="F3681" i="3"/>
  <c r="O3681" i="3" s="1"/>
  <c r="F3682" i="3"/>
  <c r="O3682" i="3" s="1"/>
  <c r="F3683" i="3"/>
  <c r="O3683" i="3" s="1"/>
  <c r="F3684" i="3"/>
  <c r="O3684" i="3" s="1"/>
  <c r="F3685" i="3"/>
  <c r="O3685" i="3" s="1"/>
  <c r="F3686" i="3"/>
  <c r="O3686" i="3" s="1"/>
  <c r="F3687" i="3"/>
  <c r="O3687" i="3" s="1"/>
  <c r="F3688" i="3"/>
  <c r="O3688" i="3" s="1"/>
  <c r="F3689" i="3"/>
  <c r="O3689" i="3" s="1"/>
  <c r="F3690" i="3"/>
  <c r="O3690" i="3" s="1"/>
  <c r="F3691" i="3"/>
  <c r="O3691" i="3" s="1"/>
  <c r="F3692" i="3"/>
  <c r="O3692" i="3" s="1"/>
  <c r="F3693" i="3"/>
  <c r="O3693" i="3" s="1"/>
  <c r="F3694" i="3"/>
  <c r="O3694" i="3" s="1"/>
  <c r="F3695" i="3"/>
  <c r="O3695" i="3" s="1"/>
  <c r="F3696" i="3"/>
  <c r="O3696" i="3" s="1"/>
  <c r="F3697" i="3"/>
  <c r="O3697" i="3" s="1"/>
  <c r="F3698" i="3"/>
  <c r="O3698" i="3" s="1"/>
  <c r="F3699" i="3"/>
  <c r="O3699" i="3" s="1"/>
  <c r="F3700" i="3"/>
  <c r="O3700" i="3" s="1"/>
  <c r="F3701" i="3"/>
  <c r="O3701" i="3" s="1"/>
  <c r="F3702" i="3"/>
  <c r="O3702" i="3" s="1"/>
  <c r="F3703" i="3"/>
  <c r="O3703" i="3" s="1"/>
  <c r="F3704" i="3"/>
  <c r="O3704" i="3" s="1"/>
  <c r="F3705" i="3"/>
  <c r="O3705" i="3" s="1"/>
  <c r="F3706" i="3"/>
  <c r="O3706" i="3" s="1"/>
  <c r="F3707" i="3"/>
  <c r="O3707" i="3" s="1"/>
  <c r="F3708" i="3"/>
  <c r="O3708" i="3" s="1"/>
  <c r="F3709" i="3"/>
  <c r="O3709" i="3" s="1"/>
  <c r="F3710" i="3"/>
  <c r="O3710" i="3" s="1"/>
  <c r="F3711" i="3"/>
  <c r="O3711" i="3" s="1"/>
  <c r="F3712" i="3"/>
  <c r="O3712" i="3" s="1"/>
  <c r="F3713" i="3"/>
  <c r="O3713" i="3" s="1"/>
  <c r="F3714" i="3"/>
  <c r="O3714" i="3" s="1"/>
  <c r="F3715" i="3"/>
  <c r="O3715" i="3" s="1"/>
  <c r="F3716" i="3"/>
  <c r="O3716" i="3" s="1"/>
  <c r="F3717" i="3"/>
  <c r="O3717" i="3" s="1"/>
  <c r="F3718" i="3"/>
  <c r="O3718" i="3" s="1"/>
  <c r="F3719" i="3"/>
  <c r="O3719" i="3" s="1"/>
  <c r="F3720" i="3"/>
  <c r="O3720" i="3" s="1"/>
  <c r="F3721" i="3"/>
  <c r="O3721" i="3" s="1"/>
  <c r="F3722" i="3"/>
  <c r="O3722" i="3" s="1"/>
  <c r="F3723" i="3"/>
  <c r="O3723" i="3" s="1"/>
  <c r="F3724" i="3"/>
  <c r="O3724" i="3" s="1"/>
  <c r="F3725" i="3"/>
  <c r="O3725" i="3" s="1"/>
  <c r="F3726" i="3"/>
  <c r="O3726" i="3" s="1"/>
  <c r="F3727" i="3"/>
  <c r="O3727" i="3" s="1"/>
  <c r="F3728" i="3"/>
  <c r="O3728" i="3" s="1"/>
  <c r="F3729" i="3"/>
  <c r="O3729" i="3" s="1"/>
  <c r="F3730" i="3"/>
  <c r="O3730" i="3" s="1"/>
  <c r="F3731" i="3"/>
  <c r="O3731" i="3" s="1"/>
  <c r="F3732" i="3"/>
  <c r="O3732" i="3" s="1"/>
  <c r="F3733" i="3"/>
  <c r="O3733" i="3" s="1"/>
  <c r="F3734" i="3"/>
  <c r="O3734" i="3" s="1"/>
  <c r="F3735" i="3"/>
  <c r="O3735" i="3" s="1"/>
  <c r="F3736" i="3"/>
  <c r="O3736" i="3" s="1"/>
  <c r="F3737" i="3"/>
  <c r="O3737" i="3" s="1"/>
  <c r="F3738" i="3"/>
  <c r="O3738" i="3" s="1"/>
  <c r="F3739" i="3"/>
  <c r="O3739" i="3" s="1"/>
  <c r="F3740" i="3"/>
  <c r="O3740" i="3" s="1"/>
  <c r="F3741" i="3"/>
  <c r="O3741" i="3" s="1"/>
  <c r="F3742" i="3"/>
  <c r="O3742" i="3" s="1"/>
  <c r="F3743" i="3"/>
  <c r="O3743" i="3" s="1"/>
  <c r="F3744" i="3"/>
  <c r="O3744" i="3" s="1"/>
  <c r="F3745" i="3"/>
  <c r="O3745" i="3" s="1"/>
  <c r="F3746" i="3"/>
  <c r="O3746" i="3" s="1"/>
  <c r="F3747" i="3"/>
  <c r="O3747" i="3" s="1"/>
  <c r="F3748" i="3"/>
  <c r="O3748" i="3" s="1"/>
  <c r="F3749" i="3"/>
  <c r="O3749" i="3" s="1"/>
  <c r="F3750" i="3"/>
  <c r="O3750" i="3" s="1"/>
  <c r="F3751" i="3"/>
  <c r="O3751" i="3" s="1"/>
  <c r="F3752" i="3"/>
  <c r="O3752" i="3" s="1"/>
  <c r="F3753" i="3"/>
  <c r="O3753" i="3" s="1"/>
  <c r="F3754" i="3"/>
  <c r="O3754" i="3" s="1"/>
  <c r="F3755" i="3"/>
  <c r="O3755" i="3" s="1"/>
  <c r="F3756" i="3"/>
  <c r="O3756" i="3" s="1"/>
  <c r="F3757" i="3"/>
  <c r="O3757" i="3" s="1"/>
  <c r="F3758" i="3"/>
  <c r="O3758" i="3" s="1"/>
  <c r="F3759" i="3"/>
  <c r="O3759" i="3" s="1"/>
  <c r="F3760" i="3"/>
  <c r="O3760" i="3" s="1"/>
  <c r="F3761" i="3"/>
  <c r="O3761" i="3" s="1"/>
  <c r="F3762" i="3"/>
  <c r="O3762" i="3" s="1"/>
  <c r="F3763" i="3"/>
  <c r="O3763" i="3" s="1"/>
  <c r="F3764" i="3"/>
  <c r="O3764" i="3" s="1"/>
  <c r="F3765" i="3"/>
  <c r="O3765" i="3" s="1"/>
  <c r="F3766" i="3"/>
  <c r="O3766" i="3" s="1"/>
  <c r="F3767" i="3"/>
  <c r="O3767" i="3" s="1"/>
  <c r="F3768" i="3"/>
  <c r="O3768" i="3" s="1"/>
  <c r="F3769" i="3"/>
  <c r="O3769" i="3" s="1"/>
  <c r="F3770" i="3"/>
  <c r="O3770" i="3" s="1"/>
  <c r="F3771" i="3"/>
  <c r="O3771" i="3" s="1"/>
  <c r="F3772" i="3"/>
  <c r="O3772" i="3" s="1"/>
  <c r="F3773" i="3"/>
  <c r="O3773" i="3" s="1"/>
  <c r="F3774" i="3"/>
  <c r="O3774" i="3" s="1"/>
  <c r="F3775" i="3"/>
  <c r="O3775" i="3" s="1"/>
  <c r="F3776" i="3"/>
  <c r="O3776" i="3" s="1"/>
  <c r="F3777" i="3"/>
  <c r="O3777" i="3" s="1"/>
  <c r="F3778" i="3"/>
  <c r="O3778" i="3" s="1"/>
  <c r="F3779" i="3"/>
  <c r="O3779" i="3" s="1"/>
  <c r="F3780" i="3"/>
  <c r="O3780" i="3" s="1"/>
  <c r="F3781" i="3"/>
  <c r="O3781" i="3" s="1"/>
  <c r="F3782" i="3"/>
  <c r="O3782" i="3" s="1"/>
  <c r="F3783" i="3"/>
  <c r="O3783" i="3" s="1"/>
  <c r="F3784" i="3"/>
  <c r="O3784" i="3" s="1"/>
  <c r="F3785" i="3"/>
  <c r="O3785" i="3" s="1"/>
  <c r="F3786" i="3"/>
  <c r="O3786" i="3" s="1"/>
  <c r="F3787" i="3"/>
  <c r="O3787" i="3" s="1"/>
  <c r="F3788" i="3"/>
  <c r="O3788" i="3" s="1"/>
  <c r="F3789" i="3"/>
  <c r="O3789" i="3" s="1"/>
  <c r="F3790" i="3"/>
  <c r="O3790" i="3" s="1"/>
  <c r="F3791" i="3"/>
  <c r="O3791" i="3" s="1"/>
  <c r="F3792" i="3"/>
  <c r="O3792" i="3" s="1"/>
  <c r="F3793" i="3"/>
  <c r="O3793" i="3" s="1"/>
  <c r="F3794" i="3"/>
  <c r="O3794" i="3" s="1"/>
  <c r="F3795" i="3"/>
  <c r="O3795" i="3" s="1"/>
  <c r="F3796" i="3"/>
  <c r="O3796" i="3" s="1"/>
  <c r="F3797" i="3"/>
  <c r="O3797" i="3" s="1"/>
  <c r="F3798" i="3"/>
  <c r="O3798" i="3" s="1"/>
  <c r="F3799" i="3"/>
  <c r="O3799" i="3" s="1"/>
  <c r="F3800" i="3"/>
  <c r="O3800" i="3" s="1"/>
  <c r="F3801" i="3"/>
  <c r="O3801" i="3" s="1"/>
  <c r="F3802" i="3"/>
  <c r="O3802" i="3" s="1"/>
  <c r="F3803" i="3"/>
  <c r="O3803" i="3" s="1"/>
  <c r="F3804" i="3"/>
  <c r="O3804" i="3" s="1"/>
  <c r="F3805" i="3"/>
  <c r="O3805" i="3" s="1"/>
  <c r="F3806" i="3"/>
  <c r="O3806" i="3" s="1"/>
  <c r="F3807" i="3"/>
  <c r="O3807" i="3" s="1"/>
  <c r="F3808" i="3"/>
  <c r="O3808" i="3" s="1"/>
  <c r="F3809" i="3"/>
  <c r="O3809" i="3" s="1"/>
  <c r="F3810" i="3"/>
  <c r="O3810" i="3" s="1"/>
  <c r="F3811" i="3"/>
  <c r="O3811" i="3" s="1"/>
  <c r="F3812" i="3"/>
  <c r="O3812" i="3" s="1"/>
  <c r="F3813" i="3"/>
  <c r="O3813" i="3" s="1"/>
  <c r="F3814" i="3"/>
  <c r="O3814" i="3" s="1"/>
  <c r="F3815" i="3"/>
  <c r="O3815" i="3" s="1"/>
  <c r="F3816" i="3"/>
  <c r="O3816" i="3" s="1"/>
  <c r="F3817" i="3"/>
  <c r="O3817" i="3" s="1"/>
  <c r="F3818" i="3"/>
  <c r="O3818" i="3" s="1"/>
  <c r="F3819" i="3"/>
  <c r="O3819" i="3" s="1"/>
  <c r="F3820" i="3"/>
  <c r="O3820" i="3" s="1"/>
  <c r="F3821" i="3"/>
  <c r="O3821" i="3" s="1"/>
  <c r="F3822" i="3"/>
  <c r="O3822" i="3" s="1"/>
  <c r="F3823" i="3"/>
  <c r="O3823" i="3" s="1"/>
  <c r="F3824" i="3"/>
  <c r="O3824" i="3" s="1"/>
  <c r="F3825" i="3"/>
  <c r="O3825" i="3" s="1"/>
  <c r="F3826" i="3"/>
  <c r="O3826" i="3" s="1"/>
  <c r="F3827" i="3"/>
  <c r="O3827" i="3" s="1"/>
  <c r="F3828" i="3"/>
  <c r="O3828" i="3" s="1"/>
  <c r="F3829" i="3"/>
  <c r="O3829" i="3" s="1"/>
  <c r="F3830" i="3"/>
  <c r="O3830" i="3" s="1"/>
  <c r="F3831" i="3"/>
  <c r="O3831" i="3" s="1"/>
  <c r="F3832" i="3"/>
  <c r="O3832" i="3" s="1"/>
  <c r="F3833" i="3"/>
  <c r="O3833" i="3" s="1"/>
  <c r="F3834" i="3"/>
  <c r="O3834" i="3" s="1"/>
  <c r="F3835" i="3"/>
  <c r="O3835" i="3" s="1"/>
  <c r="F3836" i="3"/>
  <c r="O3836" i="3" s="1"/>
  <c r="F3837" i="3"/>
  <c r="O3837" i="3" s="1"/>
  <c r="F3838" i="3"/>
  <c r="O3838" i="3" s="1"/>
  <c r="F3839" i="3"/>
  <c r="O3839" i="3" s="1"/>
  <c r="F3840" i="3"/>
  <c r="O3840" i="3" s="1"/>
  <c r="F3841" i="3"/>
  <c r="O3841" i="3" s="1"/>
  <c r="F3842" i="3"/>
  <c r="O3842" i="3" s="1"/>
  <c r="F3843" i="3"/>
  <c r="O3843" i="3" s="1"/>
  <c r="F3844" i="3"/>
  <c r="O3844" i="3" s="1"/>
  <c r="F3845" i="3"/>
  <c r="O3845" i="3" s="1"/>
  <c r="F3846" i="3"/>
  <c r="O3846" i="3" s="1"/>
  <c r="F3847" i="3"/>
  <c r="O3847" i="3" s="1"/>
  <c r="F3848" i="3"/>
  <c r="O3848" i="3" s="1"/>
  <c r="F3849" i="3"/>
  <c r="O3849" i="3" s="1"/>
  <c r="F3850" i="3"/>
  <c r="O3850" i="3" s="1"/>
  <c r="F3851" i="3"/>
  <c r="O3851" i="3" s="1"/>
  <c r="F3852" i="3"/>
  <c r="O3852" i="3" s="1"/>
  <c r="F3853" i="3"/>
  <c r="O3853" i="3" s="1"/>
  <c r="F3854" i="3"/>
  <c r="O3854" i="3" s="1"/>
  <c r="F3855" i="3"/>
  <c r="O3855" i="3" s="1"/>
  <c r="F3856" i="3"/>
  <c r="O3856" i="3" s="1"/>
  <c r="F3857" i="3"/>
  <c r="O3857" i="3" s="1"/>
  <c r="F3858" i="3"/>
  <c r="O3858" i="3" s="1"/>
  <c r="F3859" i="3"/>
  <c r="O3859" i="3" s="1"/>
  <c r="F3860" i="3"/>
  <c r="O3860" i="3" s="1"/>
  <c r="F3861" i="3"/>
  <c r="O3861" i="3" s="1"/>
  <c r="F3862" i="3"/>
  <c r="O3862" i="3" s="1"/>
  <c r="F3863" i="3"/>
  <c r="O3863" i="3" s="1"/>
  <c r="F3864" i="3"/>
  <c r="O3864" i="3" s="1"/>
  <c r="F3865" i="3"/>
  <c r="O3865" i="3" s="1"/>
  <c r="F3866" i="3"/>
  <c r="O3866" i="3" s="1"/>
  <c r="F3867" i="3"/>
  <c r="O3867" i="3" s="1"/>
  <c r="F3868" i="3"/>
  <c r="O3868" i="3" s="1"/>
  <c r="F3869" i="3"/>
  <c r="O3869" i="3" s="1"/>
  <c r="F3870" i="3"/>
  <c r="O3870" i="3" s="1"/>
  <c r="F3871" i="3"/>
  <c r="O3871" i="3" s="1"/>
  <c r="F3872" i="3"/>
  <c r="O3872" i="3" s="1"/>
  <c r="F3873" i="3"/>
  <c r="O3873" i="3" s="1"/>
  <c r="F3874" i="3"/>
  <c r="O3874" i="3" s="1"/>
  <c r="F3875" i="3"/>
  <c r="O3875" i="3" s="1"/>
  <c r="F3876" i="3"/>
  <c r="O3876" i="3" s="1"/>
  <c r="F3877" i="3"/>
  <c r="O3877" i="3" s="1"/>
  <c r="F3878" i="3"/>
  <c r="O3878" i="3" s="1"/>
  <c r="F3879" i="3"/>
  <c r="O3879" i="3" s="1"/>
  <c r="F3880" i="3"/>
  <c r="O3880" i="3" s="1"/>
  <c r="F3881" i="3"/>
  <c r="O3881" i="3" s="1"/>
  <c r="F3882" i="3"/>
  <c r="O3882" i="3" s="1"/>
  <c r="F3883" i="3"/>
  <c r="O3883" i="3" s="1"/>
  <c r="F3884" i="3"/>
  <c r="O3884" i="3" s="1"/>
  <c r="F3885" i="3"/>
  <c r="O3885" i="3" s="1"/>
  <c r="F3886" i="3"/>
  <c r="O3886" i="3" s="1"/>
  <c r="F3887" i="3"/>
  <c r="O3887" i="3" s="1"/>
  <c r="F3888" i="3"/>
  <c r="O3888" i="3" s="1"/>
  <c r="F3889" i="3"/>
  <c r="O3889" i="3" s="1"/>
  <c r="F3890" i="3"/>
  <c r="O3890" i="3" s="1"/>
  <c r="F3891" i="3"/>
  <c r="O3891" i="3" s="1"/>
  <c r="F3892" i="3"/>
  <c r="O3892" i="3" s="1"/>
  <c r="F3893" i="3"/>
  <c r="O3893" i="3" s="1"/>
  <c r="F3894" i="3"/>
  <c r="O3894" i="3" s="1"/>
  <c r="F3895" i="3"/>
  <c r="O3895" i="3" s="1"/>
  <c r="F3896" i="3"/>
  <c r="O3896" i="3" s="1"/>
  <c r="F3897" i="3"/>
  <c r="O3897" i="3" s="1"/>
  <c r="F3898" i="3"/>
  <c r="O3898" i="3" s="1"/>
  <c r="F3899" i="3"/>
  <c r="O3899" i="3" s="1"/>
  <c r="F3900" i="3"/>
  <c r="O3900" i="3" s="1"/>
  <c r="F3901" i="3"/>
  <c r="O3901" i="3" s="1"/>
  <c r="F3902" i="3"/>
  <c r="O3902" i="3" s="1"/>
  <c r="F3903" i="3"/>
  <c r="O3903" i="3" s="1"/>
  <c r="F3904" i="3"/>
  <c r="O3904" i="3" s="1"/>
  <c r="F3905" i="3"/>
  <c r="O3905" i="3" s="1"/>
  <c r="F3906" i="3"/>
  <c r="O3906" i="3" s="1"/>
  <c r="F3907" i="3"/>
  <c r="O3907" i="3" s="1"/>
  <c r="F3908" i="3"/>
  <c r="O3908" i="3" s="1"/>
  <c r="F3909" i="3"/>
  <c r="O3909" i="3" s="1"/>
  <c r="F3910" i="3"/>
  <c r="O3910" i="3" s="1"/>
  <c r="F3911" i="3"/>
  <c r="O3911" i="3" s="1"/>
  <c r="F3912" i="3"/>
  <c r="O3912" i="3" s="1"/>
  <c r="F3913" i="3"/>
  <c r="O3913" i="3" s="1"/>
  <c r="F3914" i="3"/>
  <c r="O3914" i="3" s="1"/>
  <c r="F3915" i="3"/>
  <c r="O3915" i="3" s="1"/>
  <c r="F3916" i="3"/>
  <c r="O3916" i="3" s="1"/>
  <c r="F3917" i="3"/>
  <c r="O3917" i="3" s="1"/>
  <c r="F3918" i="3"/>
  <c r="O3918" i="3" s="1"/>
  <c r="F3919" i="3"/>
  <c r="O3919" i="3" s="1"/>
  <c r="F3920" i="3"/>
  <c r="O3920" i="3" s="1"/>
  <c r="F3921" i="3"/>
  <c r="O3921" i="3" s="1"/>
  <c r="F3922" i="3"/>
  <c r="O3922" i="3" s="1"/>
  <c r="F3923" i="3"/>
  <c r="O3923" i="3" s="1"/>
  <c r="F3924" i="3"/>
  <c r="O3924" i="3" s="1"/>
  <c r="F3925" i="3"/>
  <c r="O3925" i="3" s="1"/>
  <c r="F3926" i="3"/>
  <c r="O3926" i="3" s="1"/>
  <c r="F3927" i="3"/>
  <c r="O3927" i="3" s="1"/>
  <c r="F3928" i="3"/>
  <c r="O3928" i="3" s="1"/>
  <c r="F3929" i="3"/>
  <c r="O3929" i="3" s="1"/>
  <c r="F3930" i="3"/>
  <c r="O3930" i="3" s="1"/>
  <c r="F3931" i="3"/>
  <c r="O3931" i="3" s="1"/>
  <c r="F3932" i="3"/>
  <c r="O3932" i="3" s="1"/>
  <c r="F3933" i="3"/>
  <c r="O3933" i="3" s="1"/>
  <c r="F3934" i="3"/>
  <c r="O3934" i="3" s="1"/>
  <c r="F3935" i="3"/>
  <c r="O3935" i="3" s="1"/>
  <c r="F3936" i="3"/>
  <c r="O3936" i="3" s="1"/>
  <c r="F3937" i="3"/>
  <c r="O3937" i="3" s="1"/>
  <c r="F3938" i="3"/>
  <c r="O3938" i="3" s="1"/>
  <c r="F3939" i="3"/>
  <c r="O3939" i="3" s="1"/>
  <c r="F3940" i="3"/>
  <c r="O3940" i="3" s="1"/>
  <c r="F3941" i="3"/>
  <c r="O3941" i="3" s="1"/>
  <c r="F3942" i="3"/>
  <c r="O3942" i="3" s="1"/>
  <c r="F3943" i="3"/>
  <c r="O3943" i="3" s="1"/>
  <c r="F3944" i="3"/>
  <c r="O3944" i="3" s="1"/>
  <c r="F3945" i="3"/>
  <c r="O3945" i="3" s="1"/>
  <c r="F3946" i="3"/>
  <c r="O3946" i="3" s="1"/>
  <c r="F3947" i="3"/>
  <c r="O3947" i="3" s="1"/>
  <c r="F3948" i="3"/>
  <c r="O3948" i="3" s="1"/>
  <c r="F3949" i="3"/>
  <c r="O3949" i="3" s="1"/>
  <c r="F3950" i="3"/>
  <c r="O3950" i="3" s="1"/>
  <c r="F3951" i="3"/>
  <c r="O3951" i="3" s="1"/>
  <c r="F3952" i="3"/>
  <c r="O3952" i="3" s="1"/>
  <c r="F3953" i="3"/>
  <c r="O3953" i="3" s="1"/>
  <c r="F3954" i="3"/>
  <c r="O3954" i="3" s="1"/>
  <c r="F3955" i="3"/>
  <c r="O3955" i="3" s="1"/>
  <c r="F3956" i="3"/>
  <c r="O3956" i="3" s="1"/>
  <c r="F3957" i="3"/>
  <c r="O3957" i="3" s="1"/>
  <c r="F3958" i="3"/>
  <c r="O3958" i="3" s="1"/>
  <c r="F3959" i="3"/>
  <c r="O3959" i="3" s="1"/>
  <c r="F3960" i="3"/>
  <c r="O3960" i="3" s="1"/>
  <c r="F3961" i="3"/>
  <c r="O3961" i="3" s="1"/>
  <c r="F3962" i="3"/>
  <c r="O3962" i="3" s="1"/>
  <c r="F3963" i="3"/>
  <c r="O3963" i="3" s="1"/>
  <c r="F3964" i="3"/>
  <c r="O3964" i="3" s="1"/>
  <c r="F3965" i="3"/>
  <c r="O3965" i="3" s="1"/>
  <c r="F3966" i="3"/>
  <c r="O3966" i="3" s="1"/>
  <c r="F3967" i="3"/>
  <c r="O3967" i="3" s="1"/>
  <c r="F3968" i="3"/>
  <c r="O3968" i="3" s="1"/>
  <c r="F3969" i="3"/>
  <c r="O3969" i="3" s="1"/>
  <c r="F3970" i="3"/>
  <c r="O3970" i="3" s="1"/>
  <c r="F3971" i="3"/>
  <c r="O3971" i="3" s="1"/>
  <c r="F3972" i="3"/>
  <c r="O3972" i="3" s="1"/>
  <c r="F3973" i="3"/>
  <c r="O3973" i="3" s="1"/>
  <c r="F3974" i="3"/>
  <c r="O3974" i="3" s="1"/>
  <c r="F3975" i="3"/>
  <c r="O3975" i="3" s="1"/>
  <c r="F3976" i="3"/>
  <c r="O3976" i="3" s="1"/>
  <c r="F3977" i="3"/>
  <c r="O3977" i="3" s="1"/>
  <c r="F3978" i="3"/>
  <c r="O3978" i="3" s="1"/>
  <c r="F3979" i="3"/>
  <c r="O3979" i="3" s="1"/>
  <c r="F3980" i="3"/>
  <c r="O3980" i="3" s="1"/>
  <c r="F3981" i="3"/>
  <c r="O3981" i="3" s="1"/>
  <c r="F3982" i="3"/>
  <c r="O3982" i="3" s="1"/>
  <c r="F3983" i="3"/>
  <c r="O3983" i="3" s="1"/>
  <c r="F3984" i="3"/>
  <c r="O3984" i="3" s="1"/>
  <c r="F3985" i="3"/>
  <c r="O3985" i="3" s="1"/>
  <c r="F3986" i="3"/>
  <c r="O3986" i="3" s="1"/>
  <c r="F3987" i="3"/>
  <c r="O3987" i="3" s="1"/>
  <c r="F3988" i="3"/>
  <c r="O3988" i="3" s="1"/>
  <c r="F3989" i="3"/>
  <c r="O3989" i="3" s="1"/>
  <c r="F3990" i="3"/>
  <c r="O3990" i="3" s="1"/>
  <c r="F3991" i="3"/>
  <c r="O3991" i="3" s="1"/>
  <c r="F3992" i="3"/>
  <c r="O3992" i="3" s="1"/>
  <c r="F3993" i="3"/>
  <c r="O3993" i="3" s="1"/>
  <c r="F3994" i="3"/>
  <c r="O3994" i="3" s="1"/>
  <c r="F3995" i="3"/>
  <c r="O3995" i="3" s="1"/>
  <c r="F3996" i="3"/>
  <c r="O3996" i="3" s="1"/>
  <c r="F3997" i="3"/>
  <c r="O3997" i="3" s="1"/>
  <c r="F3998" i="3"/>
  <c r="O3998" i="3" s="1"/>
  <c r="F3999" i="3"/>
  <c r="O3999" i="3" s="1"/>
  <c r="F4000" i="3"/>
  <c r="O4000" i="3" s="1"/>
  <c r="F4001" i="3"/>
  <c r="O4001" i="3" s="1"/>
  <c r="F4002" i="3"/>
  <c r="O4002" i="3" s="1"/>
  <c r="F4003" i="3"/>
  <c r="O4003" i="3" s="1"/>
  <c r="F4004" i="3"/>
  <c r="O4004" i="3" s="1"/>
  <c r="F4005" i="3"/>
  <c r="O4005" i="3" s="1"/>
  <c r="F4006" i="3"/>
  <c r="O4006" i="3" s="1"/>
  <c r="F4007" i="3"/>
  <c r="O4007" i="3" s="1"/>
  <c r="F4008" i="3"/>
  <c r="O4008" i="3" s="1"/>
  <c r="F4009" i="3"/>
  <c r="O4009" i="3" s="1"/>
  <c r="F4010" i="3"/>
  <c r="O4010" i="3" s="1"/>
  <c r="F4011" i="3"/>
  <c r="O4011" i="3" s="1"/>
  <c r="F4012" i="3"/>
  <c r="O4012" i="3" s="1"/>
  <c r="F4013" i="3"/>
  <c r="O4013" i="3" s="1"/>
  <c r="F4014" i="3"/>
  <c r="O4014" i="3" s="1"/>
  <c r="F4015" i="3"/>
  <c r="O4015" i="3" s="1"/>
  <c r="F4016" i="3"/>
  <c r="O4016" i="3" s="1"/>
  <c r="F4017" i="3"/>
  <c r="O4017" i="3" s="1"/>
  <c r="F4018" i="3"/>
  <c r="O4018" i="3" s="1"/>
  <c r="F4019" i="3"/>
  <c r="O4019" i="3" s="1"/>
  <c r="F4020" i="3"/>
  <c r="O4020" i="3" s="1"/>
  <c r="F4021" i="3"/>
  <c r="O4021" i="3" s="1"/>
  <c r="F4022" i="3"/>
  <c r="O4022" i="3" s="1"/>
  <c r="F4023" i="3"/>
  <c r="O4023" i="3" s="1"/>
  <c r="F4024" i="3"/>
  <c r="O4024" i="3" s="1"/>
  <c r="F4025" i="3"/>
  <c r="O4025" i="3" s="1"/>
  <c r="F4026" i="3"/>
  <c r="O4026" i="3" s="1"/>
  <c r="F4027" i="3"/>
  <c r="O4027" i="3" s="1"/>
  <c r="F4028" i="3"/>
  <c r="O4028" i="3" s="1"/>
  <c r="F4029" i="3"/>
  <c r="O4029" i="3" s="1"/>
  <c r="F4030" i="3"/>
  <c r="O4030" i="3" s="1"/>
  <c r="F4031" i="3"/>
  <c r="O4031" i="3" s="1"/>
  <c r="F4032" i="3"/>
  <c r="O4032" i="3" s="1"/>
  <c r="F4033" i="3"/>
  <c r="O4033" i="3" s="1"/>
  <c r="F4034" i="3"/>
  <c r="O4034" i="3" s="1"/>
  <c r="F4035" i="3"/>
  <c r="O4035" i="3" s="1"/>
  <c r="F4036" i="3"/>
  <c r="O4036" i="3" s="1"/>
  <c r="F4037" i="3"/>
  <c r="O4037" i="3" s="1"/>
  <c r="F4038" i="3"/>
  <c r="O4038" i="3" s="1"/>
  <c r="F4039" i="3"/>
  <c r="O4039" i="3" s="1"/>
  <c r="F4040" i="3"/>
  <c r="O4040" i="3" s="1"/>
  <c r="F4041" i="3"/>
  <c r="O4041" i="3" s="1"/>
  <c r="F4042" i="3"/>
  <c r="O4042" i="3" s="1"/>
  <c r="F4043" i="3"/>
  <c r="O4043" i="3" s="1"/>
  <c r="F4044" i="3"/>
  <c r="O4044" i="3" s="1"/>
  <c r="F4045" i="3"/>
  <c r="O4045" i="3" s="1"/>
  <c r="F4046" i="3"/>
  <c r="O4046" i="3" s="1"/>
  <c r="F4047" i="3"/>
  <c r="O4047" i="3" s="1"/>
  <c r="F4048" i="3"/>
  <c r="O4048" i="3" s="1"/>
  <c r="F4049" i="3"/>
  <c r="O4049" i="3" s="1"/>
  <c r="F4050" i="3"/>
  <c r="O4050" i="3" s="1"/>
  <c r="F4051" i="3"/>
  <c r="O4051" i="3" s="1"/>
  <c r="F4052" i="3"/>
  <c r="O4052" i="3" s="1"/>
  <c r="F4053" i="3"/>
  <c r="O4053" i="3" s="1"/>
  <c r="F4054" i="3"/>
  <c r="O4054" i="3" s="1"/>
  <c r="F4055" i="3"/>
  <c r="O4055" i="3" s="1"/>
  <c r="F4056" i="3"/>
  <c r="O4056" i="3" s="1"/>
  <c r="F4057" i="3"/>
  <c r="O4057" i="3" s="1"/>
  <c r="F4058" i="3"/>
  <c r="O4058" i="3" s="1"/>
  <c r="F4059" i="3"/>
  <c r="O4059" i="3" s="1"/>
  <c r="F4060" i="3"/>
  <c r="O4060" i="3" s="1"/>
  <c r="F4061" i="3"/>
  <c r="O4061" i="3" s="1"/>
  <c r="F4062" i="3"/>
  <c r="O4062" i="3" s="1"/>
  <c r="F4063" i="3"/>
  <c r="O4063" i="3" s="1"/>
  <c r="F4064" i="3"/>
  <c r="O4064" i="3" s="1"/>
  <c r="F4065" i="3"/>
  <c r="O4065" i="3" s="1"/>
  <c r="F4066" i="3"/>
  <c r="O4066" i="3" s="1"/>
  <c r="F4067" i="3"/>
  <c r="O4067" i="3" s="1"/>
  <c r="F4068" i="3"/>
  <c r="O4068" i="3" s="1"/>
  <c r="F4069" i="3"/>
  <c r="O4069" i="3" s="1"/>
  <c r="F4070" i="3"/>
  <c r="O4070" i="3" s="1"/>
  <c r="F4071" i="3"/>
  <c r="O4071" i="3" s="1"/>
  <c r="F4072" i="3"/>
  <c r="O4072" i="3" s="1"/>
  <c r="F4073" i="3"/>
  <c r="O4073" i="3" s="1"/>
  <c r="F4074" i="3"/>
  <c r="O4074" i="3" s="1"/>
  <c r="F4075" i="3"/>
  <c r="O4075" i="3" s="1"/>
  <c r="F4076" i="3"/>
  <c r="O4076" i="3" s="1"/>
  <c r="F4077" i="3"/>
  <c r="O4077" i="3" s="1"/>
  <c r="F4078" i="3"/>
  <c r="O4078" i="3" s="1"/>
  <c r="F4079" i="3"/>
  <c r="O4079" i="3" s="1"/>
  <c r="F4080" i="3"/>
  <c r="O4080" i="3" s="1"/>
  <c r="F4081" i="3"/>
  <c r="O4081" i="3" s="1"/>
  <c r="F4082" i="3"/>
  <c r="O4082" i="3" s="1"/>
  <c r="F4083" i="3"/>
  <c r="O4083" i="3" s="1"/>
  <c r="F4084" i="3"/>
  <c r="O4084" i="3" s="1"/>
  <c r="F4085" i="3"/>
  <c r="O4085" i="3" s="1"/>
  <c r="F4086" i="3"/>
  <c r="O4086" i="3" s="1"/>
  <c r="F4087" i="3"/>
  <c r="O4087" i="3" s="1"/>
  <c r="F4088" i="3"/>
  <c r="O4088" i="3" s="1"/>
  <c r="F4089" i="3"/>
  <c r="O4089" i="3" s="1"/>
  <c r="F4090" i="3"/>
  <c r="O4090" i="3" s="1"/>
  <c r="F4091" i="3"/>
  <c r="O4091" i="3" s="1"/>
  <c r="F4092" i="3"/>
  <c r="O4092" i="3" s="1"/>
  <c r="F4093" i="3"/>
  <c r="O4093" i="3" s="1"/>
  <c r="F4094" i="3"/>
  <c r="O4094" i="3" s="1"/>
  <c r="F4095" i="3"/>
  <c r="O4095" i="3" s="1"/>
  <c r="F4096" i="3"/>
  <c r="O4096" i="3" s="1"/>
  <c r="F4097" i="3"/>
  <c r="O4097" i="3" s="1"/>
  <c r="F4098" i="3"/>
  <c r="O4098" i="3" s="1"/>
  <c r="F4099" i="3"/>
  <c r="O4099" i="3" s="1"/>
  <c r="F4100" i="3"/>
  <c r="O4100" i="3" s="1"/>
  <c r="F4101" i="3"/>
  <c r="O4101" i="3" s="1"/>
  <c r="F4102" i="3"/>
  <c r="O4102" i="3" s="1"/>
  <c r="F4103" i="3"/>
  <c r="O4103" i="3" s="1"/>
  <c r="F4104" i="3"/>
  <c r="O4104" i="3" s="1"/>
  <c r="F4105" i="3"/>
  <c r="O4105" i="3" s="1"/>
  <c r="F4106" i="3"/>
  <c r="O4106" i="3" s="1"/>
  <c r="F4107" i="3"/>
  <c r="O4107" i="3" s="1"/>
  <c r="F4108" i="3"/>
  <c r="O4108" i="3" s="1"/>
  <c r="F4109" i="3"/>
  <c r="O4109" i="3" s="1"/>
  <c r="F4110" i="3"/>
  <c r="O4110" i="3" s="1"/>
  <c r="F4111" i="3"/>
  <c r="O4111" i="3" s="1"/>
  <c r="F4112" i="3"/>
  <c r="O4112" i="3" s="1"/>
  <c r="F4113" i="3"/>
  <c r="O4113" i="3" s="1"/>
  <c r="F4114" i="3"/>
  <c r="O4114" i="3" s="1"/>
  <c r="F4115" i="3"/>
  <c r="O4115" i="3" s="1"/>
  <c r="F4116" i="3"/>
  <c r="O4116" i="3" s="1"/>
  <c r="F4117" i="3"/>
  <c r="O4117" i="3" s="1"/>
  <c r="F4118" i="3"/>
  <c r="O4118" i="3" s="1"/>
  <c r="F4119" i="3"/>
  <c r="O4119" i="3" s="1"/>
  <c r="F4120" i="3"/>
  <c r="O4120" i="3" s="1"/>
  <c r="F4121" i="3"/>
  <c r="O4121" i="3" s="1"/>
  <c r="F4122" i="3"/>
  <c r="O4122" i="3" s="1"/>
  <c r="F4123" i="3"/>
  <c r="O4123" i="3" s="1"/>
  <c r="F4124" i="3"/>
  <c r="O4124" i="3" s="1"/>
  <c r="F4125" i="3"/>
  <c r="O4125" i="3" s="1"/>
  <c r="F4126" i="3"/>
  <c r="O4126" i="3" s="1"/>
  <c r="F4127" i="3"/>
  <c r="O4127" i="3" s="1"/>
  <c r="F4128" i="3"/>
  <c r="O4128" i="3" s="1"/>
  <c r="F4129" i="3"/>
  <c r="O4129" i="3" s="1"/>
  <c r="F4130" i="3"/>
  <c r="O4130" i="3" s="1"/>
  <c r="F4131" i="3"/>
  <c r="O4131" i="3" s="1"/>
  <c r="F4132" i="3"/>
  <c r="O4132" i="3" s="1"/>
  <c r="F4133" i="3"/>
  <c r="O4133" i="3" s="1"/>
  <c r="F4134" i="3"/>
  <c r="O4134" i="3" s="1"/>
  <c r="F4135" i="3"/>
  <c r="O4135" i="3" s="1"/>
  <c r="F4136" i="3"/>
  <c r="O4136" i="3" s="1"/>
  <c r="F4137" i="3"/>
  <c r="O4137" i="3" s="1"/>
  <c r="F4138" i="3"/>
  <c r="O4138" i="3" s="1"/>
  <c r="F4139" i="3"/>
  <c r="O4139" i="3" s="1"/>
  <c r="F4140" i="3"/>
  <c r="O4140" i="3" s="1"/>
  <c r="F4141" i="3"/>
  <c r="O4141" i="3" s="1"/>
  <c r="F4142" i="3"/>
  <c r="O4142" i="3" s="1"/>
  <c r="F4143" i="3"/>
  <c r="O4143" i="3" s="1"/>
  <c r="F4144" i="3"/>
  <c r="O4144" i="3" s="1"/>
  <c r="F4145" i="3"/>
  <c r="O4145" i="3" s="1"/>
  <c r="F4146" i="3"/>
  <c r="O4146" i="3" s="1"/>
  <c r="F4147" i="3"/>
  <c r="O4147" i="3" s="1"/>
  <c r="F4148" i="3"/>
  <c r="O4148" i="3" s="1"/>
  <c r="F4149" i="3"/>
  <c r="O4149" i="3" s="1"/>
  <c r="F4150" i="3"/>
  <c r="O4150" i="3" s="1"/>
  <c r="F4151" i="3"/>
  <c r="O4151" i="3" s="1"/>
  <c r="F4152" i="3"/>
  <c r="O4152" i="3" s="1"/>
  <c r="F4153" i="3"/>
  <c r="O4153" i="3" s="1"/>
  <c r="F4154" i="3"/>
  <c r="O4154" i="3" s="1"/>
  <c r="F4155" i="3"/>
  <c r="O4155" i="3" s="1"/>
  <c r="F4156" i="3"/>
  <c r="O4156" i="3" s="1"/>
  <c r="F4157" i="3"/>
  <c r="O4157" i="3" s="1"/>
  <c r="F4158" i="3"/>
  <c r="O4158" i="3" s="1"/>
  <c r="F4159" i="3"/>
  <c r="O4159" i="3" s="1"/>
  <c r="F4160" i="3"/>
  <c r="O4160" i="3" s="1"/>
  <c r="F4161" i="3"/>
  <c r="O4161" i="3" s="1"/>
  <c r="F4162" i="3"/>
  <c r="O4162" i="3" s="1"/>
  <c r="F4163" i="3"/>
  <c r="O4163" i="3" s="1"/>
  <c r="F4164" i="3"/>
  <c r="O4164" i="3" s="1"/>
  <c r="F4165" i="3"/>
  <c r="O4165" i="3" s="1"/>
  <c r="F4166" i="3"/>
  <c r="O4166" i="3" s="1"/>
  <c r="F4167" i="3"/>
  <c r="O4167" i="3" s="1"/>
  <c r="F4168" i="3"/>
  <c r="O4168" i="3" s="1"/>
  <c r="F4169" i="3"/>
  <c r="O4169" i="3" s="1"/>
  <c r="F4170" i="3"/>
  <c r="O4170" i="3" s="1"/>
  <c r="F4171" i="3"/>
  <c r="O4171" i="3" s="1"/>
  <c r="F4172" i="3"/>
  <c r="O4172" i="3" s="1"/>
  <c r="F4173" i="3"/>
  <c r="O4173" i="3" s="1"/>
  <c r="F4174" i="3"/>
  <c r="O4174" i="3" s="1"/>
  <c r="F4175" i="3"/>
  <c r="O4175" i="3" s="1"/>
  <c r="F4176" i="3"/>
  <c r="O4176" i="3" s="1"/>
  <c r="F4177" i="3"/>
  <c r="O4177" i="3" s="1"/>
  <c r="F4178" i="3"/>
  <c r="O4178" i="3" s="1"/>
  <c r="F4179" i="3"/>
  <c r="O4179" i="3" s="1"/>
  <c r="F4180" i="3"/>
  <c r="O4180" i="3" s="1"/>
  <c r="F4181" i="3"/>
  <c r="O4181" i="3" s="1"/>
  <c r="F4182" i="3"/>
  <c r="O4182" i="3" s="1"/>
  <c r="F4183" i="3"/>
  <c r="O4183" i="3" s="1"/>
  <c r="F4184" i="3"/>
  <c r="O4184" i="3" s="1"/>
  <c r="F4185" i="3"/>
  <c r="O4185" i="3" s="1"/>
  <c r="F4186" i="3"/>
  <c r="O4186" i="3" s="1"/>
  <c r="F4187" i="3"/>
  <c r="O4187" i="3" s="1"/>
  <c r="F4188" i="3"/>
  <c r="O4188" i="3" s="1"/>
  <c r="F4189" i="3"/>
  <c r="O4189" i="3" s="1"/>
  <c r="F4190" i="3"/>
  <c r="O4190" i="3" s="1"/>
  <c r="F4191" i="3"/>
  <c r="O4191" i="3" s="1"/>
  <c r="F4192" i="3"/>
  <c r="O4192" i="3" s="1"/>
  <c r="F4193" i="3"/>
  <c r="O4193" i="3" s="1"/>
  <c r="F4194" i="3"/>
  <c r="O4194" i="3" s="1"/>
  <c r="F4195" i="3"/>
  <c r="O4195" i="3" s="1"/>
  <c r="F4196" i="3"/>
  <c r="O4196" i="3" s="1"/>
  <c r="F4197" i="3"/>
  <c r="O4197" i="3" s="1"/>
  <c r="F4198" i="3"/>
  <c r="O4198" i="3" s="1"/>
  <c r="F4199" i="3"/>
  <c r="O4199" i="3" s="1"/>
  <c r="F4200" i="3"/>
  <c r="O4200" i="3" s="1"/>
  <c r="F4201" i="3"/>
  <c r="O4201" i="3" s="1"/>
  <c r="F4202" i="3"/>
  <c r="O4202" i="3" s="1"/>
  <c r="F4203" i="3"/>
  <c r="O4203" i="3" s="1"/>
  <c r="F4204" i="3"/>
  <c r="O4204" i="3" s="1"/>
  <c r="F4205" i="3"/>
  <c r="O4205" i="3" s="1"/>
  <c r="F4206" i="3"/>
  <c r="O4206" i="3" s="1"/>
  <c r="F4207" i="3"/>
  <c r="O4207" i="3" s="1"/>
  <c r="F4208" i="3"/>
  <c r="O4208" i="3" s="1"/>
  <c r="F4209" i="3"/>
  <c r="O4209" i="3" s="1"/>
  <c r="F4210" i="3"/>
  <c r="O4210" i="3" s="1"/>
  <c r="F4211" i="3"/>
  <c r="O4211" i="3" s="1"/>
  <c r="F4212" i="3"/>
  <c r="O4212" i="3" s="1"/>
  <c r="F4213" i="3"/>
  <c r="O4213" i="3" s="1"/>
  <c r="F4214" i="3"/>
  <c r="O4214" i="3" s="1"/>
  <c r="F4215" i="3"/>
  <c r="O4215" i="3" s="1"/>
  <c r="F4216" i="3"/>
  <c r="O4216" i="3" s="1"/>
  <c r="F4217" i="3"/>
  <c r="O4217" i="3" s="1"/>
  <c r="F4218" i="3"/>
  <c r="O4218" i="3" s="1"/>
  <c r="F4219" i="3"/>
  <c r="O4219" i="3" s="1"/>
  <c r="F4220" i="3"/>
  <c r="O4220" i="3" s="1"/>
  <c r="F4221" i="3"/>
  <c r="O4221" i="3" s="1"/>
  <c r="F4222" i="3"/>
  <c r="O4222" i="3" s="1"/>
  <c r="F4223" i="3"/>
  <c r="O4223" i="3" s="1"/>
  <c r="F4224" i="3"/>
  <c r="O4224" i="3" s="1"/>
  <c r="F4225" i="3"/>
  <c r="O4225" i="3" s="1"/>
  <c r="F4226" i="3"/>
  <c r="O4226" i="3" s="1"/>
  <c r="F4227" i="3"/>
  <c r="O4227" i="3" s="1"/>
  <c r="F4228" i="3"/>
  <c r="O4228" i="3" s="1"/>
  <c r="F4229" i="3"/>
  <c r="O4229" i="3" s="1"/>
  <c r="F4230" i="3"/>
  <c r="O4230" i="3" s="1"/>
  <c r="F4231" i="3"/>
  <c r="O4231" i="3" s="1"/>
  <c r="F4232" i="3"/>
  <c r="O4232" i="3" s="1"/>
  <c r="F4233" i="3"/>
  <c r="O4233" i="3" s="1"/>
  <c r="F4234" i="3"/>
  <c r="O4234" i="3" s="1"/>
  <c r="F4235" i="3"/>
  <c r="O4235" i="3" s="1"/>
  <c r="F4236" i="3"/>
  <c r="O4236" i="3" s="1"/>
  <c r="F4237" i="3"/>
  <c r="O4237" i="3" s="1"/>
  <c r="F4238" i="3"/>
  <c r="O4238" i="3" s="1"/>
  <c r="F4239" i="3"/>
  <c r="O4239" i="3" s="1"/>
  <c r="F4240" i="3"/>
  <c r="O4240" i="3" s="1"/>
  <c r="F4241" i="3"/>
  <c r="O4241" i="3" s="1"/>
  <c r="F4242" i="3"/>
  <c r="O4242" i="3" s="1"/>
  <c r="F4243" i="3"/>
  <c r="O4243" i="3" s="1"/>
  <c r="F4244" i="3"/>
  <c r="O4244" i="3" s="1"/>
  <c r="F4245" i="3"/>
  <c r="O4245" i="3" s="1"/>
  <c r="F4246" i="3"/>
  <c r="O4246" i="3" s="1"/>
  <c r="F4247" i="3"/>
  <c r="O4247" i="3" s="1"/>
  <c r="F4248" i="3"/>
  <c r="O4248" i="3" s="1"/>
  <c r="F4249" i="3"/>
  <c r="O4249" i="3" s="1"/>
  <c r="F4250" i="3"/>
  <c r="O4250" i="3" s="1"/>
  <c r="F4251" i="3"/>
  <c r="O4251" i="3" s="1"/>
  <c r="F4252" i="3"/>
  <c r="O4252" i="3" s="1"/>
  <c r="F4253" i="3"/>
  <c r="O4253" i="3" s="1"/>
  <c r="F4254" i="3"/>
  <c r="O4254" i="3" s="1"/>
  <c r="F4255" i="3"/>
  <c r="O4255" i="3" s="1"/>
  <c r="F4256" i="3"/>
  <c r="O4256" i="3" s="1"/>
  <c r="F4257" i="3"/>
  <c r="O4257" i="3" s="1"/>
  <c r="F4258" i="3"/>
  <c r="O4258" i="3" s="1"/>
  <c r="F4259" i="3"/>
  <c r="O4259" i="3" s="1"/>
  <c r="F4260" i="3"/>
  <c r="O4260" i="3" s="1"/>
  <c r="F4261" i="3"/>
  <c r="O4261" i="3" s="1"/>
  <c r="F4262" i="3"/>
  <c r="O4262" i="3" s="1"/>
  <c r="F4263" i="3"/>
  <c r="O4263" i="3" s="1"/>
  <c r="F4264" i="3"/>
  <c r="O4264" i="3" s="1"/>
  <c r="F4265" i="3"/>
  <c r="O4265" i="3" s="1"/>
  <c r="F4266" i="3"/>
  <c r="O4266" i="3" s="1"/>
  <c r="F4267" i="3"/>
  <c r="O4267" i="3" s="1"/>
  <c r="F4268" i="3"/>
  <c r="O4268" i="3" s="1"/>
  <c r="F4269" i="3"/>
  <c r="O4269" i="3" s="1"/>
  <c r="F4270" i="3"/>
  <c r="O4270" i="3" s="1"/>
  <c r="F4271" i="3"/>
  <c r="O4271" i="3" s="1"/>
  <c r="F4272" i="3"/>
  <c r="O4272" i="3" s="1"/>
  <c r="F4273" i="3"/>
  <c r="O4273" i="3" s="1"/>
  <c r="F4274" i="3"/>
  <c r="O4274" i="3" s="1"/>
  <c r="F4275" i="3"/>
  <c r="O4275" i="3" s="1"/>
  <c r="F4276" i="3"/>
  <c r="O4276" i="3" s="1"/>
  <c r="F4277" i="3"/>
  <c r="O4277" i="3" s="1"/>
  <c r="F4278" i="3"/>
  <c r="O4278" i="3" s="1"/>
  <c r="F4279" i="3"/>
  <c r="O4279" i="3" s="1"/>
  <c r="F4280" i="3"/>
  <c r="O4280" i="3" s="1"/>
  <c r="F4281" i="3"/>
  <c r="O4281" i="3" s="1"/>
  <c r="F4282" i="3"/>
  <c r="O4282" i="3" s="1"/>
  <c r="F4283" i="3"/>
  <c r="O4283" i="3" s="1"/>
  <c r="F4284" i="3"/>
  <c r="O4284" i="3" s="1"/>
  <c r="F4285" i="3"/>
  <c r="O4285" i="3" s="1"/>
  <c r="F4286" i="3"/>
  <c r="O4286" i="3" s="1"/>
  <c r="F4287" i="3"/>
  <c r="O4287" i="3" s="1"/>
  <c r="F4288" i="3"/>
  <c r="O4288" i="3" s="1"/>
  <c r="F4289" i="3"/>
  <c r="O4289" i="3" s="1"/>
  <c r="F4290" i="3"/>
  <c r="O4290" i="3" s="1"/>
  <c r="F4291" i="3"/>
  <c r="O4291" i="3" s="1"/>
  <c r="F4292" i="3"/>
  <c r="O4292" i="3" s="1"/>
  <c r="F4293" i="3"/>
  <c r="O4293" i="3" s="1"/>
  <c r="F4294" i="3"/>
  <c r="O4294" i="3" s="1"/>
  <c r="F4295" i="3"/>
  <c r="O4295" i="3" s="1"/>
  <c r="F4296" i="3"/>
  <c r="O4296" i="3" s="1"/>
  <c r="F4297" i="3"/>
  <c r="O4297" i="3" s="1"/>
  <c r="F4298" i="3"/>
  <c r="O4298" i="3" s="1"/>
  <c r="F4299" i="3"/>
  <c r="O4299" i="3" s="1"/>
  <c r="F4300" i="3"/>
  <c r="O4300" i="3" s="1"/>
  <c r="F4301" i="3"/>
  <c r="O4301" i="3" s="1"/>
  <c r="F4302" i="3"/>
  <c r="O4302" i="3" s="1"/>
  <c r="F4303" i="3"/>
  <c r="O4303" i="3" s="1"/>
  <c r="F4304" i="3"/>
  <c r="O4304" i="3" s="1"/>
  <c r="F4305" i="3"/>
  <c r="O4305" i="3" s="1"/>
  <c r="F4306" i="3"/>
  <c r="O4306" i="3" s="1"/>
  <c r="F4307" i="3"/>
  <c r="O4307" i="3" s="1"/>
  <c r="F4308" i="3"/>
  <c r="O4308" i="3" s="1"/>
  <c r="F4309" i="3"/>
  <c r="O4309" i="3" s="1"/>
  <c r="F4310" i="3"/>
  <c r="O4310" i="3" s="1"/>
  <c r="F4311" i="3"/>
  <c r="O4311" i="3" s="1"/>
  <c r="F4312" i="3"/>
  <c r="O4312" i="3" s="1"/>
  <c r="F4313" i="3"/>
  <c r="O4313" i="3" s="1"/>
  <c r="F4314" i="3"/>
  <c r="O4314" i="3" s="1"/>
  <c r="F4315" i="3"/>
  <c r="O4315" i="3" s="1"/>
  <c r="F4316" i="3"/>
  <c r="O4316" i="3" s="1"/>
  <c r="F4317" i="3"/>
  <c r="O4317" i="3" s="1"/>
  <c r="F4318" i="3"/>
  <c r="O4318" i="3" s="1"/>
  <c r="F4319" i="3"/>
  <c r="O4319" i="3" s="1"/>
  <c r="F4320" i="3"/>
  <c r="O4320" i="3" s="1"/>
  <c r="F4321" i="3"/>
  <c r="O4321" i="3" s="1"/>
  <c r="F4322" i="3"/>
  <c r="O4322" i="3" s="1"/>
  <c r="F4323" i="3"/>
  <c r="O4323" i="3" s="1"/>
  <c r="F4324" i="3"/>
  <c r="O4324" i="3" s="1"/>
  <c r="F4325" i="3"/>
  <c r="O4325" i="3" s="1"/>
  <c r="F4326" i="3"/>
  <c r="O4326" i="3" s="1"/>
  <c r="F4327" i="3"/>
  <c r="O4327" i="3" s="1"/>
  <c r="F4328" i="3"/>
  <c r="O4328" i="3" s="1"/>
  <c r="F4329" i="3"/>
  <c r="O4329" i="3" s="1"/>
  <c r="F4330" i="3"/>
  <c r="O4330" i="3" s="1"/>
  <c r="F4331" i="3"/>
  <c r="O4331" i="3" s="1"/>
  <c r="F4332" i="3"/>
  <c r="O4332" i="3" s="1"/>
  <c r="F4333" i="3"/>
  <c r="O4333" i="3" s="1"/>
  <c r="F4334" i="3"/>
  <c r="O4334" i="3" s="1"/>
  <c r="F4335" i="3"/>
  <c r="O4335" i="3" s="1"/>
  <c r="F4336" i="3"/>
  <c r="O4336" i="3" s="1"/>
  <c r="F4337" i="3"/>
  <c r="O4337" i="3" s="1"/>
  <c r="F4338" i="3"/>
  <c r="O4338" i="3" s="1"/>
  <c r="F4339" i="3"/>
  <c r="O4339" i="3" s="1"/>
  <c r="F4340" i="3"/>
  <c r="O4340" i="3" s="1"/>
  <c r="F4341" i="3"/>
  <c r="O4341" i="3" s="1"/>
  <c r="F4342" i="3"/>
  <c r="O4342" i="3" s="1"/>
  <c r="F4343" i="3"/>
  <c r="O4343" i="3" s="1"/>
  <c r="F4344" i="3"/>
  <c r="O4344" i="3" s="1"/>
  <c r="F4345" i="3"/>
  <c r="O4345" i="3" s="1"/>
  <c r="F4346" i="3"/>
  <c r="O4346" i="3" s="1"/>
  <c r="F4347" i="3"/>
  <c r="O4347" i="3" s="1"/>
  <c r="F4348" i="3"/>
  <c r="O4348" i="3" s="1"/>
  <c r="F4349" i="3"/>
  <c r="O4349" i="3" s="1"/>
  <c r="F4350" i="3"/>
  <c r="O4350" i="3" s="1"/>
  <c r="F4351" i="3"/>
  <c r="O4351" i="3" s="1"/>
  <c r="F4352" i="3"/>
  <c r="O4352" i="3" s="1"/>
  <c r="F4353" i="3"/>
  <c r="O4353" i="3" s="1"/>
  <c r="F4354" i="3"/>
  <c r="O4354" i="3" s="1"/>
  <c r="F4355" i="3"/>
  <c r="O4355" i="3" s="1"/>
  <c r="F4356" i="3"/>
  <c r="O4356" i="3" s="1"/>
  <c r="F4357" i="3"/>
  <c r="O4357" i="3" s="1"/>
  <c r="F4358" i="3"/>
  <c r="O4358" i="3" s="1"/>
  <c r="F4359" i="3"/>
  <c r="O4359" i="3" s="1"/>
  <c r="F4360" i="3"/>
  <c r="O4360" i="3" s="1"/>
  <c r="F4361" i="3"/>
  <c r="O4361" i="3" s="1"/>
  <c r="F4362" i="3"/>
  <c r="O4362" i="3" s="1"/>
  <c r="F4363" i="3"/>
  <c r="O4363" i="3" s="1"/>
  <c r="F4364" i="3"/>
  <c r="O4364" i="3" s="1"/>
  <c r="F4365" i="3"/>
  <c r="O4365" i="3" s="1"/>
  <c r="F4366" i="3"/>
  <c r="O4366" i="3" s="1"/>
  <c r="F4367" i="3"/>
  <c r="O4367" i="3" s="1"/>
  <c r="F4368" i="3"/>
  <c r="O4368" i="3" s="1"/>
  <c r="F4369" i="3"/>
  <c r="O4369" i="3" s="1"/>
  <c r="F4370" i="3"/>
  <c r="O4370" i="3" s="1"/>
  <c r="F4371" i="3"/>
  <c r="O4371" i="3" s="1"/>
  <c r="F4372" i="3"/>
  <c r="O4372" i="3" s="1"/>
  <c r="F4373" i="3"/>
  <c r="O4373" i="3" s="1"/>
  <c r="F4374" i="3"/>
  <c r="O4374" i="3" s="1"/>
  <c r="F4375" i="3"/>
  <c r="O4375" i="3" s="1"/>
  <c r="F4376" i="3"/>
  <c r="O4376" i="3" s="1"/>
  <c r="F4377" i="3"/>
  <c r="O4377" i="3" s="1"/>
  <c r="F4378" i="3"/>
  <c r="O4378" i="3" s="1"/>
  <c r="F4379" i="3"/>
  <c r="O4379" i="3" s="1"/>
  <c r="F4380" i="3"/>
  <c r="O4380" i="3" s="1"/>
  <c r="F4381" i="3"/>
  <c r="O4381" i="3" s="1"/>
  <c r="F4382" i="3"/>
  <c r="O4382" i="3" s="1"/>
  <c r="F4383" i="3"/>
  <c r="O4383" i="3" s="1"/>
  <c r="F4384" i="3"/>
  <c r="O4384" i="3" s="1"/>
  <c r="F4385" i="3"/>
  <c r="O4385" i="3" s="1"/>
  <c r="F4386" i="3"/>
  <c r="O4386" i="3" s="1"/>
  <c r="F4387" i="3"/>
  <c r="O4387" i="3" s="1"/>
  <c r="F4388" i="3"/>
  <c r="O4388" i="3" s="1"/>
  <c r="F4389" i="3"/>
  <c r="O4389" i="3" s="1"/>
  <c r="F4390" i="3"/>
  <c r="O4390" i="3" s="1"/>
  <c r="F4391" i="3"/>
  <c r="O4391" i="3" s="1"/>
  <c r="F4392" i="3"/>
  <c r="O4392" i="3" s="1"/>
  <c r="F4393" i="3"/>
  <c r="O4393" i="3" s="1"/>
  <c r="F4394" i="3"/>
  <c r="O4394" i="3" s="1"/>
  <c r="F4395" i="3"/>
  <c r="O4395" i="3" s="1"/>
  <c r="F4396" i="3"/>
  <c r="O4396" i="3" s="1"/>
  <c r="F4397" i="3"/>
  <c r="O4397" i="3" s="1"/>
  <c r="F4398" i="3"/>
  <c r="O4398" i="3" s="1"/>
  <c r="F4399" i="3"/>
  <c r="O4399" i="3" s="1"/>
  <c r="F4400" i="3"/>
  <c r="O4400" i="3" s="1"/>
  <c r="F4401" i="3"/>
  <c r="O4401" i="3" s="1"/>
  <c r="F4402" i="3"/>
  <c r="O4402" i="3" s="1"/>
  <c r="F4403" i="3"/>
  <c r="O4403" i="3" s="1"/>
  <c r="F4404" i="3"/>
  <c r="O4404" i="3" s="1"/>
  <c r="F4405" i="3"/>
  <c r="O4405" i="3" s="1"/>
  <c r="F4406" i="3"/>
  <c r="O4406" i="3" s="1"/>
  <c r="F4407" i="3"/>
  <c r="O4407" i="3" s="1"/>
  <c r="F4408" i="3"/>
  <c r="O4408" i="3" s="1"/>
  <c r="F4409" i="3"/>
  <c r="O4409" i="3" s="1"/>
  <c r="F4410" i="3"/>
  <c r="O4410" i="3" s="1"/>
  <c r="F4411" i="3"/>
  <c r="O4411" i="3" s="1"/>
  <c r="F4412" i="3"/>
  <c r="O4412" i="3" s="1"/>
  <c r="F4413" i="3"/>
  <c r="O4413" i="3" s="1"/>
  <c r="F4414" i="3"/>
  <c r="O4414" i="3" s="1"/>
  <c r="F4415" i="3"/>
  <c r="O4415" i="3" s="1"/>
  <c r="F4416" i="3"/>
  <c r="O4416" i="3" s="1"/>
  <c r="F4417" i="3"/>
  <c r="O4417" i="3" s="1"/>
  <c r="F4418" i="3"/>
  <c r="O4418" i="3" s="1"/>
  <c r="F4419" i="3"/>
  <c r="O4419" i="3" s="1"/>
  <c r="F4420" i="3"/>
  <c r="O4420" i="3" s="1"/>
  <c r="F4421" i="3"/>
  <c r="O4421" i="3" s="1"/>
  <c r="F4422" i="3"/>
  <c r="O4422" i="3" s="1"/>
  <c r="F4423" i="3"/>
  <c r="O4423" i="3" s="1"/>
  <c r="F4424" i="3"/>
  <c r="O4424" i="3" s="1"/>
  <c r="F4425" i="3"/>
  <c r="O4425" i="3" s="1"/>
  <c r="F4426" i="3"/>
  <c r="O4426" i="3" s="1"/>
  <c r="F4427" i="3"/>
  <c r="O4427" i="3" s="1"/>
  <c r="F4428" i="3"/>
  <c r="O4428" i="3" s="1"/>
  <c r="F4429" i="3"/>
  <c r="O4429" i="3" s="1"/>
  <c r="F4430" i="3"/>
  <c r="O4430" i="3" s="1"/>
  <c r="F4431" i="3"/>
  <c r="O4431" i="3" s="1"/>
  <c r="F4432" i="3"/>
  <c r="O4432" i="3" s="1"/>
  <c r="F4433" i="3"/>
  <c r="O4433" i="3" s="1"/>
  <c r="F4434" i="3"/>
  <c r="O4434" i="3" s="1"/>
  <c r="F4435" i="3"/>
  <c r="O4435" i="3" s="1"/>
  <c r="F4436" i="3"/>
  <c r="O4436" i="3" s="1"/>
  <c r="F4437" i="3"/>
  <c r="O4437" i="3" s="1"/>
  <c r="F4438" i="3"/>
  <c r="O4438" i="3" s="1"/>
  <c r="F4439" i="3"/>
  <c r="O4439" i="3" s="1"/>
  <c r="F4440" i="3"/>
  <c r="O4440" i="3" s="1"/>
  <c r="F4441" i="3"/>
  <c r="O4441" i="3" s="1"/>
  <c r="F4442" i="3"/>
  <c r="O4442" i="3" s="1"/>
  <c r="F4443" i="3"/>
  <c r="O4443" i="3" s="1"/>
  <c r="F4444" i="3"/>
  <c r="O4444" i="3" s="1"/>
  <c r="F4445" i="3"/>
  <c r="O4445" i="3" s="1"/>
  <c r="F4446" i="3"/>
  <c r="O4446" i="3" s="1"/>
  <c r="F4447" i="3"/>
  <c r="O4447" i="3" s="1"/>
  <c r="F4448" i="3"/>
  <c r="O4448" i="3" s="1"/>
  <c r="F4449" i="3"/>
  <c r="O4449" i="3" s="1"/>
  <c r="F4450" i="3"/>
  <c r="O4450" i="3" s="1"/>
  <c r="F4451" i="3"/>
  <c r="O4451" i="3" s="1"/>
  <c r="F4452" i="3"/>
  <c r="O4452" i="3" s="1"/>
  <c r="F4453" i="3"/>
  <c r="O4453" i="3" s="1"/>
  <c r="F4454" i="3"/>
  <c r="O4454" i="3" s="1"/>
  <c r="F4455" i="3"/>
  <c r="O4455" i="3" s="1"/>
  <c r="F4456" i="3"/>
  <c r="O4456" i="3" s="1"/>
  <c r="F4457" i="3"/>
  <c r="O4457" i="3" s="1"/>
  <c r="F4458" i="3"/>
  <c r="O4458" i="3" s="1"/>
  <c r="F4459" i="3"/>
  <c r="O4459" i="3" s="1"/>
  <c r="F4460" i="3"/>
  <c r="O4460" i="3" s="1"/>
  <c r="F4461" i="3"/>
  <c r="O4461" i="3" s="1"/>
  <c r="F4462" i="3"/>
  <c r="O4462" i="3" s="1"/>
  <c r="F4463" i="3"/>
  <c r="O4463" i="3" s="1"/>
  <c r="F4464" i="3"/>
  <c r="O4464" i="3" s="1"/>
  <c r="F4465" i="3"/>
  <c r="O4465" i="3" s="1"/>
  <c r="F4466" i="3"/>
  <c r="O4466" i="3" s="1"/>
  <c r="F4467" i="3"/>
  <c r="O4467" i="3" s="1"/>
  <c r="F4468" i="3"/>
  <c r="O4468" i="3" s="1"/>
  <c r="F4469" i="3"/>
  <c r="O4469" i="3" s="1"/>
  <c r="F4470" i="3"/>
  <c r="O4470" i="3" s="1"/>
  <c r="F4471" i="3"/>
  <c r="O4471" i="3" s="1"/>
  <c r="F4472" i="3"/>
  <c r="O4472" i="3" s="1"/>
  <c r="F4473" i="3"/>
  <c r="O4473" i="3" s="1"/>
  <c r="F4474" i="3"/>
  <c r="O4474" i="3" s="1"/>
  <c r="F4475" i="3"/>
  <c r="O4475" i="3" s="1"/>
  <c r="F4476" i="3"/>
  <c r="O4476" i="3" s="1"/>
  <c r="F4477" i="3"/>
  <c r="O4477" i="3" s="1"/>
  <c r="F4478" i="3"/>
  <c r="O4478" i="3" s="1"/>
  <c r="F4479" i="3"/>
  <c r="O4479" i="3" s="1"/>
  <c r="F4480" i="3"/>
  <c r="O4480" i="3" s="1"/>
  <c r="F4481" i="3"/>
  <c r="O4481" i="3" s="1"/>
  <c r="F4482" i="3"/>
  <c r="O4482" i="3" s="1"/>
  <c r="F4483" i="3"/>
  <c r="O4483" i="3" s="1"/>
  <c r="F4484" i="3"/>
  <c r="O4484" i="3" s="1"/>
  <c r="F4485" i="3"/>
  <c r="O4485" i="3" s="1"/>
  <c r="F4486" i="3"/>
  <c r="O4486" i="3" s="1"/>
  <c r="F4487" i="3"/>
  <c r="O4487" i="3" s="1"/>
  <c r="F4488" i="3"/>
  <c r="O4488" i="3" s="1"/>
  <c r="F4489" i="3"/>
  <c r="O4489" i="3" s="1"/>
  <c r="F4490" i="3"/>
  <c r="O4490" i="3" s="1"/>
  <c r="F4491" i="3"/>
  <c r="O4491" i="3" s="1"/>
  <c r="F4492" i="3"/>
  <c r="O4492" i="3" s="1"/>
  <c r="F4493" i="3"/>
  <c r="O4493" i="3" s="1"/>
  <c r="F4494" i="3"/>
  <c r="O4494" i="3" s="1"/>
  <c r="F4495" i="3"/>
  <c r="O4495" i="3" s="1"/>
  <c r="F4496" i="3"/>
  <c r="O4496" i="3" s="1"/>
  <c r="F4497" i="3"/>
  <c r="O4497" i="3" s="1"/>
  <c r="F4498" i="3"/>
  <c r="O4498" i="3" s="1"/>
  <c r="F4499" i="3"/>
  <c r="O4499" i="3" s="1"/>
  <c r="F4500" i="3"/>
  <c r="O4500" i="3" s="1"/>
  <c r="F4501" i="3"/>
  <c r="O4501" i="3" s="1"/>
  <c r="B3" i="4" a="1"/>
  <c r="B3" i="4" s="1"/>
  <c r="C3" i="4" s="1"/>
  <c r="C5" i="4" l="1"/>
  <c r="C4" i="4"/>
  <c r="C6" i="4" l="1"/>
  <c r="D3" i="4" s="1"/>
  <c r="D5" i="4" l="1"/>
  <c r="D4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<sst xmlns="http://schemas.openxmlformats.org/spreadsheetml/2006/main" count="35076" uniqueCount="6334">
  <si>
    <t>CustomerID</t>
  </si>
  <si>
    <t>CustomerName</t>
  </si>
  <si>
    <t>Gender</t>
  </si>
  <si>
    <t>AgeGroup</t>
  </si>
  <si>
    <t>City</t>
  </si>
  <si>
    <t>State</t>
  </si>
  <si>
    <t>AcquisitionChannel</t>
  </si>
  <si>
    <t>CUST0001</t>
  </si>
  <si>
    <t>User_1</t>
  </si>
  <si>
    <t>Female</t>
  </si>
  <si>
    <t>18-24</t>
  </si>
  <si>
    <t>Hyderabad</t>
  </si>
  <si>
    <t>Telangana</t>
  </si>
  <si>
    <t>Google Search</t>
  </si>
  <si>
    <t>CUST0002</t>
  </si>
  <si>
    <t>User_2</t>
  </si>
  <si>
    <t>45+</t>
  </si>
  <si>
    <t>Influencer Collab</t>
  </si>
  <si>
    <t>CUST0003</t>
  </si>
  <si>
    <t>User_3</t>
  </si>
  <si>
    <t>CUST0004</t>
  </si>
  <si>
    <t>User_4</t>
  </si>
  <si>
    <t>35-44</t>
  </si>
  <si>
    <t>Bengaluru</t>
  </si>
  <si>
    <t>Karnataka</t>
  </si>
  <si>
    <t>CUST0005</t>
  </si>
  <si>
    <t>User_5</t>
  </si>
  <si>
    <t>Ahmedabad</t>
  </si>
  <si>
    <t>Gujarat</t>
  </si>
  <si>
    <t>CUST0006</t>
  </si>
  <si>
    <t>User_6</t>
  </si>
  <si>
    <t>25-34</t>
  </si>
  <si>
    <t>Kolkata</t>
  </si>
  <si>
    <t>West Bengal</t>
  </si>
  <si>
    <t>CUST0007</t>
  </si>
  <si>
    <t>User_7</t>
  </si>
  <si>
    <t>Surat</t>
  </si>
  <si>
    <t>CUST0008</t>
  </si>
  <si>
    <t>User_8</t>
  </si>
  <si>
    <t>Male</t>
  </si>
  <si>
    <t>New Delhi</t>
  </si>
  <si>
    <t>Delhi</t>
  </si>
  <si>
    <t>CUST0009</t>
  </si>
  <si>
    <t>User_9</t>
  </si>
  <si>
    <t>CUST0010</t>
  </si>
  <si>
    <t>User_10</t>
  </si>
  <si>
    <t>Other</t>
  </si>
  <si>
    <t>CUST0011</t>
  </si>
  <si>
    <t>User_11</t>
  </si>
  <si>
    <t>CUST0012</t>
  </si>
  <si>
    <t>User_12</t>
  </si>
  <si>
    <t>Word of Mouth</t>
  </si>
  <si>
    <t>CUST0013</t>
  </si>
  <si>
    <t>User_13</t>
  </si>
  <si>
    <t>Gurugram</t>
  </si>
  <si>
    <t>Haryana</t>
  </si>
  <si>
    <t>Facebook Ads</t>
  </si>
  <si>
    <t>CUST0014</t>
  </si>
  <si>
    <t>User_14</t>
  </si>
  <si>
    <t>CUST0015</t>
  </si>
  <si>
    <t>User_15</t>
  </si>
  <si>
    <t>Lucknow</t>
  </si>
  <si>
    <t>Uttar Pradesh</t>
  </si>
  <si>
    <t>CUST0016</t>
  </si>
  <si>
    <t>User_16</t>
  </si>
  <si>
    <t>CUST0017</t>
  </si>
  <si>
    <t>User_17</t>
  </si>
  <si>
    <t>CUST0018</t>
  </si>
  <si>
    <t>User_18</t>
  </si>
  <si>
    <t>CUST0019</t>
  </si>
  <si>
    <t>User_19</t>
  </si>
  <si>
    <t>CUST0020</t>
  </si>
  <si>
    <t>User_20</t>
  </si>
  <si>
    <t>Mysuru</t>
  </si>
  <si>
    <t>CUST0021</t>
  </si>
  <si>
    <t>User_21</t>
  </si>
  <si>
    <t>CUST0022</t>
  </si>
  <si>
    <t>User_22</t>
  </si>
  <si>
    <t>Instagram Ads</t>
  </si>
  <si>
    <t>CUST0023</t>
  </si>
  <si>
    <t>User_23</t>
  </si>
  <si>
    <t>CUST0024</t>
  </si>
  <si>
    <t>User_24</t>
  </si>
  <si>
    <t>CUST0025</t>
  </si>
  <si>
    <t>User_25</t>
  </si>
  <si>
    <t>CUST0026</t>
  </si>
  <si>
    <t>User_26</t>
  </si>
  <si>
    <t>CUST0027</t>
  </si>
  <si>
    <t>User_27</t>
  </si>
  <si>
    <t>CUST0028</t>
  </si>
  <si>
    <t>User_28</t>
  </si>
  <si>
    <t>CUST0029</t>
  </si>
  <si>
    <t>User_29</t>
  </si>
  <si>
    <t>CUST0030</t>
  </si>
  <si>
    <t>User_30</t>
  </si>
  <si>
    <t>CUST0031</t>
  </si>
  <si>
    <t>User_31</t>
  </si>
  <si>
    <t>Mumbai</t>
  </si>
  <si>
    <t>Maharashtra</t>
  </si>
  <si>
    <t>CUST0032</t>
  </si>
  <si>
    <t>User_32</t>
  </si>
  <si>
    <t>Noida</t>
  </si>
  <si>
    <t>CUST0033</t>
  </si>
  <si>
    <t>User_33</t>
  </si>
  <si>
    <t>CUST0034</t>
  </si>
  <si>
    <t>User_34</t>
  </si>
  <si>
    <t>CUST0035</t>
  </si>
  <si>
    <t>User_35</t>
  </si>
  <si>
    <t>CUST0036</t>
  </si>
  <si>
    <t>User_36</t>
  </si>
  <si>
    <t>CUST0037</t>
  </si>
  <si>
    <t>User_37</t>
  </si>
  <si>
    <t>CUST0038</t>
  </si>
  <si>
    <t>User_38</t>
  </si>
  <si>
    <t>CUST0039</t>
  </si>
  <si>
    <t>User_39</t>
  </si>
  <si>
    <t>CUST0040</t>
  </si>
  <si>
    <t>User_40</t>
  </si>
  <si>
    <t>CUST0041</t>
  </si>
  <si>
    <t>User_41</t>
  </si>
  <si>
    <t>CUST0042</t>
  </si>
  <si>
    <t>User_42</t>
  </si>
  <si>
    <t>CUST0043</t>
  </si>
  <si>
    <t>User_43</t>
  </si>
  <si>
    <t>CUST0044</t>
  </si>
  <si>
    <t>User_44</t>
  </si>
  <si>
    <t>CUST0045</t>
  </si>
  <si>
    <t>User_45</t>
  </si>
  <si>
    <t>Coimbatore</t>
  </si>
  <si>
    <t>Tamil Nadu</t>
  </si>
  <si>
    <t>CUST0046</t>
  </si>
  <si>
    <t>User_46</t>
  </si>
  <si>
    <t>CUST0047</t>
  </si>
  <si>
    <t>User_47</t>
  </si>
  <si>
    <t>CUST0048</t>
  </si>
  <si>
    <t>User_48</t>
  </si>
  <si>
    <t>CUST0049</t>
  </si>
  <si>
    <t>User_49</t>
  </si>
  <si>
    <t>CUST0050</t>
  </si>
  <si>
    <t>User_50</t>
  </si>
  <si>
    <t>CUST0051</t>
  </si>
  <si>
    <t>User_51</t>
  </si>
  <si>
    <t>Chennai</t>
  </si>
  <si>
    <t>CUST0052</t>
  </si>
  <si>
    <t>User_52</t>
  </si>
  <si>
    <t>CUST0053</t>
  </si>
  <si>
    <t>User_53</t>
  </si>
  <si>
    <t>Pune</t>
  </si>
  <si>
    <t>CUST0054</t>
  </si>
  <si>
    <t>User_54</t>
  </si>
  <si>
    <t>CUST0055</t>
  </si>
  <si>
    <t>User_55</t>
  </si>
  <si>
    <t>CUST0056</t>
  </si>
  <si>
    <t>User_56</t>
  </si>
  <si>
    <t>CUST0057</t>
  </si>
  <si>
    <t>User_57</t>
  </si>
  <si>
    <t>CUST0058</t>
  </si>
  <si>
    <t>User_58</t>
  </si>
  <si>
    <t>CUST0059</t>
  </si>
  <si>
    <t>User_59</t>
  </si>
  <si>
    <t>CUST0060</t>
  </si>
  <si>
    <t>User_60</t>
  </si>
  <si>
    <t>CUST0061</t>
  </si>
  <si>
    <t>User_61</t>
  </si>
  <si>
    <t>Nagpur</t>
  </si>
  <si>
    <t>CUST0062</t>
  </si>
  <si>
    <t>User_62</t>
  </si>
  <si>
    <t>CUST0063</t>
  </si>
  <si>
    <t>User_63</t>
  </si>
  <si>
    <t>CUST0064</t>
  </si>
  <si>
    <t>User_64</t>
  </si>
  <si>
    <t>CUST0065</t>
  </si>
  <si>
    <t>User_65</t>
  </si>
  <si>
    <t>CUST0066</t>
  </si>
  <si>
    <t>User_66</t>
  </si>
  <si>
    <t>CUST0067</t>
  </si>
  <si>
    <t>User_67</t>
  </si>
  <si>
    <t>CUST0068</t>
  </si>
  <si>
    <t>User_68</t>
  </si>
  <si>
    <t>CUST0069</t>
  </si>
  <si>
    <t>User_69</t>
  </si>
  <si>
    <t>CUST0070</t>
  </si>
  <si>
    <t>User_70</t>
  </si>
  <si>
    <t>CUST0071</t>
  </si>
  <si>
    <t>User_71</t>
  </si>
  <si>
    <t>CUST0072</t>
  </si>
  <si>
    <t>User_72</t>
  </si>
  <si>
    <t>CUST0073</t>
  </si>
  <si>
    <t>User_73</t>
  </si>
  <si>
    <t>CUST0074</t>
  </si>
  <si>
    <t>User_74</t>
  </si>
  <si>
    <t>CUST0075</t>
  </si>
  <si>
    <t>User_75</t>
  </si>
  <si>
    <t>CUST0076</t>
  </si>
  <si>
    <t>User_76</t>
  </si>
  <si>
    <t>CUST0077</t>
  </si>
  <si>
    <t>User_77</t>
  </si>
  <si>
    <t>CUST0078</t>
  </si>
  <si>
    <t>User_78</t>
  </si>
  <si>
    <t>CUST0079</t>
  </si>
  <si>
    <t>User_79</t>
  </si>
  <si>
    <t>CUST0080</t>
  </si>
  <si>
    <t>User_80</t>
  </si>
  <si>
    <t>CUST0081</t>
  </si>
  <si>
    <t>User_81</t>
  </si>
  <si>
    <t>CUST0082</t>
  </si>
  <si>
    <t>User_82</t>
  </si>
  <si>
    <t>CUST0083</t>
  </si>
  <si>
    <t>User_83</t>
  </si>
  <si>
    <t>CUST0084</t>
  </si>
  <si>
    <t>User_84</t>
  </si>
  <si>
    <t>CUST0085</t>
  </si>
  <si>
    <t>User_85</t>
  </si>
  <si>
    <t>CUST0086</t>
  </si>
  <si>
    <t>User_86</t>
  </si>
  <si>
    <t>CUST0087</t>
  </si>
  <si>
    <t>User_87</t>
  </si>
  <si>
    <t>CUST0088</t>
  </si>
  <si>
    <t>User_88</t>
  </si>
  <si>
    <t>CUST0089</t>
  </si>
  <si>
    <t>User_89</t>
  </si>
  <si>
    <t>CUST0090</t>
  </si>
  <si>
    <t>User_90</t>
  </si>
  <si>
    <t>CUST0091</t>
  </si>
  <si>
    <t>User_91</t>
  </si>
  <si>
    <t>CUST0092</t>
  </si>
  <si>
    <t>User_92</t>
  </si>
  <si>
    <t>CUST0093</t>
  </si>
  <si>
    <t>User_93</t>
  </si>
  <si>
    <t>CUST0094</t>
  </si>
  <si>
    <t>User_94</t>
  </si>
  <si>
    <t>CUST0095</t>
  </si>
  <si>
    <t>User_95</t>
  </si>
  <si>
    <t>CUST0096</t>
  </si>
  <si>
    <t>User_96</t>
  </si>
  <si>
    <t>CUST0097</t>
  </si>
  <si>
    <t>User_97</t>
  </si>
  <si>
    <t>CUST0098</t>
  </si>
  <si>
    <t>User_98</t>
  </si>
  <si>
    <t>CUST0099</t>
  </si>
  <si>
    <t>User_99</t>
  </si>
  <si>
    <t>CUST0100</t>
  </si>
  <si>
    <t>User_100</t>
  </si>
  <si>
    <t>CUST0101</t>
  </si>
  <si>
    <t>User_101</t>
  </si>
  <si>
    <t>CUST0102</t>
  </si>
  <si>
    <t>User_102</t>
  </si>
  <si>
    <t>CUST0103</t>
  </si>
  <si>
    <t>User_103</t>
  </si>
  <si>
    <t>CUST0104</t>
  </si>
  <si>
    <t>User_104</t>
  </si>
  <si>
    <t>CUST0105</t>
  </si>
  <si>
    <t>User_105</t>
  </si>
  <si>
    <t>CUST0106</t>
  </si>
  <si>
    <t>User_106</t>
  </si>
  <si>
    <t>CUST0107</t>
  </si>
  <si>
    <t>User_107</t>
  </si>
  <si>
    <t>CUST0108</t>
  </si>
  <si>
    <t>User_108</t>
  </si>
  <si>
    <t>CUST0109</t>
  </si>
  <si>
    <t>User_109</t>
  </si>
  <si>
    <t>CUST0110</t>
  </si>
  <si>
    <t>User_110</t>
  </si>
  <si>
    <t>CUST0111</t>
  </si>
  <si>
    <t>User_111</t>
  </si>
  <si>
    <t>CUST0112</t>
  </si>
  <si>
    <t>User_112</t>
  </si>
  <si>
    <t>CUST0113</t>
  </si>
  <si>
    <t>User_113</t>
  </si>
  <si>
    <t>CUST0114</t>
  </si>
  <si>
    <t>User_114</t>
  </si>
  <si>
    <t>CUST0115</t>
  </si>
  <si>
    <t>User_115</t>
  </si>
  <si>
    <t>CUST0116</t>
  </si>
  <si>
    <t>User_116</t>
  </si>
  <si>
    <t>CUST0117</t>
  </si>
  <si>
    <t>User_117</t>
  </si>
  <si>
    <t>CUST0118</t>
  </si>
  <si>
    <t>User_118</t>
  </si>
  <si>
    <t>CUST0119</t>
  </si>
  <si>
    <t>User_119</t>
  </si>
  <si>
    <t>CUST0120</t>
  </si>
  <si>
    <t>User_120</t>
  </si>
  <si>
    <t>CUST0121</t>
  </si>
  <si>
    <t>User_121</t>
  </si>
  <si>
    <t>CUST0122</t>
  </si>
  <si>
    <t>User_122</t>
  </si>
  <si>
    <t>CUST0123</t>
  </si>
  <si>
    <t>User_123</t>
  </si>
  <si>
    <t>CUST0124</t>
  </si>
  <si>
    <t>User_124</t>
  </si>
  <si>
    <t>CUST0125</t>
  </si>
  <si>
    <t>User_125</t>
  </si>
  <si>
    <t>CUST0126</t>
  </si>
  <si>
    <t>User_126</t>
  </si>
  <si>
    <t>CUST0127</t>
  </si>
  <si>
    <t>User_127</t>
  </si>
  <si>
    <t>CUST0128</t>
  </si>
  <si>
    <t>User_128</t>
  </si>
  <si>
    <t>CUST0129</t>
  </si>
  <si>
    <t>User_129</t>
  </si>
  <si>
    <t>CUST0130</t>
  </si>
  <si>
    <t>User_130</t>
  </si>
  <si>
    <t>CUST0131</t>
  </si>
  <si>
    <t>User_131</t>
  </si>
  <si>
    <t>CUST0132</t>
  </si>
  <si>
    <t>User_132</t>
  </si>
  <si>
    <t>CUST0133</t>
  </si>
  <si>
    <t>User_133</t>
  </si>
  <si>
    <t>CUST0134</t>
  </si>
  <si>
    <t>User_134</t>
  </si>
  <si>
    <t>CUST0135</t>
  </si>
  <si>
    <t>User_135</t>
  </si>
  <si>
    <t>CUST0136</t>
  </si>
  <si>
    <t>User_136</t>
  </si>
  <si>
    <t>CUST0137</t>
  </si>
  <si>
    <t>User_137</t>
  </si>
  <si>
    <t>CUST0138</t>
  </si>
  <si>
    <t>User_138</t>
  </si>
  <si>
    <t>CUST0139</t>
  </si>
  <si>
    <t>User_139</t>
  </si>
  <si>
    <t>CUST0140</t>
  </si>
  <si>
    <t>User_140</t>
  </si>
  <si>
    <t>CUST0141</t>
  </si>
  <si>
    <t>User_141</t>
  </si>
  <si>
    <t>CUST0142</t>
  </si>
  <si>
    <t>User_142</t>
  </si>
  <si>
    <t>CUST0143</t>
  </si>
  <si>
    <t>User_143</t>
  </si>
  <si>
    <t>CUST0144</t>
  </si>
  <si>
    <t>User_144</t>
  </si>
  <si>
    <t>CUST0145</t>
  </si>
  <si>
    <t>User_145</t>
  </si>
  <si>
    <t>CUST0146</t>
  </si>
  <si>
    <t>User_146</t>
  </si>
  <si>
    <t>CUST0147</t>
  </si>
  <si>
    <t>User_147</t>
  </si>
  <si>
    <t>CUST0148</t>
  </si>
  <si>
    <t>User_148</t>
  </si>
  <si>
    <t>CUST0149</t>
  </si>
  <si>
    <t>User_149</t>
  </si>
  <si>
    <t>CUST0150</t>
  </si>
  <si>
    <t>User_150</t>
  </si>
  <si>
    <t>CUST0151</t>
  </si>
  <si>
    <t>User_151</t>
  </si>
  <si>
    <t>CUST0152</t>
  </si>
  <si>
    <t>User_152</t>
  </si>
  <si>
    <t>CUST0153</t>
  </si>
  <si>
    <t>User_153</t>
  </si>
  <si>
    <t>CUST0154</t>
  </si>
  <si>
    <t>User_154</t>
  </si>
  <si>
    <t>CUST0155</t>
  </si>
  <si>
    <t>User_155</t>
  </si>
  <si>
    <t>CUST0156</t>
  </si>
  <si>
    <t>User_156</t>
  </si>
  <si>
    <t>CUST0157</t>
  </si>
  <si>
    <t>User_157</t>
  </si>
  <si>
    <t>CUST0158</t>
  </si>
  <si>
    <t>User_158</t>
  </si>
  <si>
    <t>CUST0159</t>
  </si>
  <si>
    <t>User_159</t>
  </si>
  <si>
    <t>CUST0160</t>
  </si>
  <si>
    <t>User_160</t>
  </si>
  <si>
    <t>CUST0161</t>
  </si>
  <si>
    <t>User_161</t>
  </si>
  <si>
    <t>CUST0162</t>
  </si>
  <si>
    <t>User_162</t>
  </si>
  <si>
    <t>CUST0163</t>
  </si>
  <si>
    <t>User_163</t>
  </si>
  <si>
    <t>CUST0164</t>
  </si>
  <si>
    <t>User_164</t>
  </si>
  <si>
    <t>CUST0165</t>
  </si>
  <si>
    <t>User_165</t>
  </si>
  <si>
    <t>CUST0166</t>
  </si>
  <si>
    <t>User_166</t>
  </si>
  <si>
    <t>CUST0167</t>
  </si>
  <si>
    <t>User_167</t>
  </si>
  <si>
    <t>CUST0168</t>
  </si>
  <si>
    <t>User_168</t>
  </si>
  <si>
    <t>CUST0169</t>
  </si>
  <si>
    <t>User_169</t>
  </si>
  <si>
    <t>CUST0170</t>
  </si>
  <si>
    <t>User_170</t>
  </si>
  <si>
    <t>CUST0171</t>
  </si>
  <si>
    <t>User_171</t>
  </si>
  <si>
    <t>CUST0172</t>
  </si>
  <si>
    <t>User_172</t>
  </si>
  <si>
    <t>CUST0173</t>
  </si>
  <si>
    <t>User_173</t>
  </si>
  <si>
    <t>CUST0174</t>
  </si>
  <si>
    <t>User_174</t>
  </si>
  <si>
    <t>CUST0175</t>
  </si>
  <si>
    <t>User_175</t>
  </si>
  <si>
    <t>CUST0176</t>
  </si>
  <si>
    <t>User_176</t>
  </si>
  <si>
    <t>CUST0177</t>
  </si>
  <si>
    <t>User_177</t>
  </si>
  <si>
    <t>CUST0178</t>
  </si>
  <si>
    <t>User_178</t>
  </si>
  <si>
    <t>CUST0179</t>
  </si>
  <si>
    <t>User_179</t>
  </si>
  <si>
    <t>CUST0180</t>
  </si>
  <si>
    <t>User_180</t>
  </si>
  <si>
    <t>CUST0181</t>
  </si>
  <si>
    <t>User_181</t>
  </si>
  <si>
    <t>CUST0182</t>
  </si>
  <si>
    <t>User_182</t>
  </si>
  <si>
    <t>CUST0183</t>
  </si>
  <si>
    <t>User_183</t>
  </si>
  <si>
    <t>CUST0184</t>
  </si>
  <si>
    <t>User_184</t>
  </si>
  <si>
    <t>CUST0185</t>
  </si>
  <si>
    <t>User_185</t>
  </si>
  <si>
    <t>CUST0186</t>
  </si>
  <si>
    <t>User_186</t>
  </si>
  <si>
    <t>CUST0187</t>
  </si>
  <si>
    <t>User_187</t>
  </si>
  <si>
    <t>CUST0188</t>
  </si>
  <si>
    <t>User_188</t>
  </si>
  <si>
    <t>CUST0189</t>
  </si>
  <si>
    <t>User_189</t>
  </si>
  <si>
    <t>CUST0190</t>
  </si>
  <si>
    <t>User_190</t>
  </si>
  <si>
    <t>CUST0191</t>
  </si>
  <si>
    <t>User_191</t>
  </si>
  <si>
    <t>CUST0192</t>
  </si>
  <si>
    <t>User_192</t>
  </si>
  <si>
    <t>CUST0193</t>
  </si>
  <si>
    <t>User_193</t>
  </si>
  <si>
    <t>CUST0194</t>
  </si>
  <si>
    <t>User_194</t>
  </si>
  <si>
    <t>CUST0195</t>
  </si>
  <si>
    <t>User_195</t>
  </si>
  <si>
    <t>CUST0196</t>
  </si>
  <si>
    <t>User_196</t>
  </si>
  <si>
    <t>CUST0197</t>
  </si>
  <si>
    <t>User_197</t>
  </si>
  <si>
    <t>CUST0198</t>
  </si>
  <si>
    <t>User_198</t>
  </si>
  <si>
    <t>CUST0199</t>
  </si>
  <si>
    <t>User_199</t>
  </si>
  <si>
    <t>CUST0200</t>
  </si>
  <si>
    <t>User_200</t>
  </si>
  <si>
    <t>CUST0201</t>
  </si>
  <si>
    <t>User_201</t>
  </si>
  <si>
    <t>CUST0202</t>
  </si>
  <si>
    <t>User_202</t>
  </si>
  <si>
    <t>CUST0203</t>
  </si>
  <si>
    <t>User_203</t>
  </si>
  <si>
    <t>CUST0204</t>
  </si>
  <si>
    <t>User_204</t>
  </si>
  <si>
    <t>CUST0205</t>
  </si>
  <si>
    <t>User_205</t>
  </si>
  <si>
    <t>CUST0206</t>
  </si>
  <si>
    <t>User_206</t>
  </si>
  <si>
    <t>CUST0207</t>
  </si>
  <si>
    <t>User_207</t>
  </si>
  <si>
    <t>CUST0208</t>
  </si>
  <si>
    <t>User_208</t>
  </si>
  <si>
    <t>CUST0209</t>
  </si>
  <si>
    <t>User_209</t>
  </si>
  <si>
    <t>CUST0210</t>
  </si>
  <si>
    <t>User_210</t>
  </si>
  <si>
    <t>CUST0211</t>
  </si>
  <si>
    <t>User_211</t>
  </si>
  <si>
    <t>CUST0212</t>
  </si>
  <si>
    <t>User_212</t>
  </si>
  <si>
    <t>CUST0213</t>
  </si>
  <si>
    <t>User_213</t>
  </si>
  <si>
    <t>CUST0214</t>
  </si>
  <si>
    <t>User_214</t>
  </si>
  <si>
    <t>CUST0215</t>
  </si>
  <si>
    <t>User_215</t>
  </si>
  <si>
    <t>CUST0216</t>
  </si>
  <si>
    <t>User_216</t>
  </si>
  <si>
    <t>CUST0217</t>
  </si>
  <si>
    <t>User_217</t>
  </si>
  <si>
    <t>CUST0218</t>
  </si>
  <si>
    <t>User_218</t>
  </si>
  <si>
    <t>CUST0219</t>
  </si>
  <si>
    <t>User_219</t>
  </si>
  <si>
    <t>CUST0220</t>
  </si>
  <si>
    <t>User_220</t>
  </si>
  <si>
    <t>CUST0221</t>
  </si>
  <si>
    <t>User_221</t>
  </si>
  <si>
    <t>CUST0222</t>
  </si>
  <si>
    <t>User_222</t>
  </si>
  <si>
    <t>CUST0223</t>
  </si>
  <si>
    <t>User_223</t>
  </si>
  <si>
    <t>CUST0224</t>
  </si>
  <si>
    <t>User_224</t>
  </si>
  <si>
    <t>CUST0225</t>
  </si>
  <si>
    <t>User_225</t>
  </si>
  <si>
    <t>CUST0226</t>
  </si>
  <si>
    <t>User_226</t>
  </si>
  <si>
    <t>CUST0227</t>
  </si>
  <si>
    <t>User_227</t>
  </si>
  <si>
    <t>CUST0228</t>
  </si>
  <si>
    <t>User_228</t>
  </si>
  <si>
    <t>CUST0229</t>
  </si>
  <si>
    <t>User_229</t>
  </si>
  <si>
    <t>CUST0230</t>
  </si>
  <si>
    <t>User_230</t>
  </si>
  <si>
    <t>CUST0231</t>
  </si>
  <si>
    <t>User_231</t>
  </si>
  <si>
    <t>CUST0232</t>
  </si>
  <si>
    <t>User_232</t>
  </si>
  <si>
    <t>CUST0233</t>
  </si>
  <si>
    <t>User_233</t>
  </si>
  <si>
    <t>CUST0234</t>
  </si>
  <si>
    <t>User_234</t>
  </si>
  <si>
    <t>CUST0235</t>
  </si>
  <si>
    <t>User_235</t>
  </si>
  <si>
    <t>CUST0236</t>
  </si>
  <si>
    <t>User_236</t>
  </si>
  <si>
    <t>CUST0237</t>
  </si>
  <si>
    <t>User_237</t>
  </si>
  <si>
    <t>CUST0238</t>
  </si>
  <si>
    <t>User_238</t>
  </si>
  <si>
    <t>CUST0239</t>
  </si>
  <si>
    <t>User_239</t>
  </si>
  <si>
    <t>CUST0240</t>
  </si>
  <si>
    <t>User_240</t>
  </si>
  <si>
    <t>CUST0241</t>
  </si>
  <si>
    <t>User_241</t>
  </si>
  <si>
    <t>CUST0242</t>
  </si>
  <si>
    <t>User_242</t>
  </si>
  <si>
    <t>CUST0243</t>
  </si>
  <si>
    <t>User_243</t>
  </si>
  <si>
    <t>CUST0244</t>
  </si>
  <si>
    <t>User_244</t>
  </si>
  <si>
    <t>CUST0245</t>
  </si>
  <si>
    <t>User_245</t>
  </si>
  <si>
    <t>CUST0246</t>
  </si>
  <si>
    <t>User_246</t>
  </si>
  <si>
    <t>CUST0247</t>
  </si>
  <si>
    <t>User_247</t>
  </si>
  <si>
    <t>CUST0248</t>
  </si>
  <si>
    <t>User_248</t>
  </si>
  <si>
    <t>CUST0249</t>
  </si>
  <si>
    <t>User_249</t>
  </si>
  <si>
    <t>CUST0250</t>
  </si>
  <si>
    <t>User_250</t>
  </si>
  <si>
    <t>CUST0251</t>
  </si>
  <si>
    <t>User_251</t>
  </si>
  <si>
    <t>CUST0252</t>
  </si>
  <si>
    <t>User_252</t>
  </si>
  <si>
    <t>CUST0253</t>
  </si>
  <si>
    <t>User_253</t>
  </si>
  <si>
    <t>CUST0254</t>
  </si>
  <si>
    <t>User_254</t>
  </si>
  <si>
    <t>CUST0255</t>
  </si>
  <si>
    <t>User_255</t>
  </si>
  <si>
    <t>CUST0256</t>
  </si>
  <si>
    <t>User_256</t>
  </si>
  <si>
    <t>CUST0257</t>
  </si>
  <si>
    <t>User_257</t>
  </si>
  <si>
    <t>CUST0258</t>
  </si>
  <si>
    <t>User_258</t>
  </si>
  <si>
    <t>CUST0259</t>
  </si>
  <si>
    <t>User_259</t>
  </si>
  <si>
    <t>CUST0260</t>
  </si>
  <si>
    <t>User_260</t>
  </si>
  <si>
    <t>CUST0261</t>
  </si>
  <si>
    <t>User_261</t>
  </si>
  <si>
    <t>CUST0262</t>
  </si>
  <si>
    <t>User_262</t>
  </si>
  <si>
    <t>CUST0263</t>
  </si>
  <si>
    <t>User_263</t>
  </si>
  <si>
    <t>CUST0264</t>
  </si>
  <si>
    <t>User_264</t>
  </si>
  <si>
    <t>CUST0265</t>
  </si>
  <si>
    <t>User_265</t>
  </si>
  <si>
    <t>CUST0266</t>
  </si>
  <si>
    <t>User_266</t>
  </si>
  <si>
    <t>CUST0267</t>
  </si>
  <si>
    <t>User_267</t>
  </si>
  <si>
    <t>CUST0268</t>
  </si>
  <si>
    <t>User_268</t>
  </si>
  <si>
    <t>CUST0269</t>
  </si>
  <si>
    <t>User_269</t>
  </si>
  <si>
    <t>CUST0270</t>
  </si>
  <si>
    <t>User_270</t>
  </si>
  <si>
    <t>CUST0271</t>
  </si>
  <si>
    <t>User_271</t>
  </si>
  <si>
    <t>CUST0272</t>
  </si>
  <si>
    <t>User_272</t>
  </si>
  <si>
    <t>CUST0273</t>
  </si>
  <si>
    <t>User_273</t>
  </si>
  <si>
    <t>CUST0274</t>
  </si>
  <si>
    <t>User_274</t>
  </si>
  <si>
    <t>CUST0275</t>
  </si>
  <si>
    <t>User_275</t>
  </si>
  <si>
    <t>CUST0276</t>
  </si>
  <si>
    <t>User_276</t>
  </si>
  <si>
    <t>CUST0277</t>
  </si>
  <si>
    <t>User_277</t>
  </si>
  <si>
    <t>CUST0278</t>
  </si>
  <si>
    <t>User_278</t>
  </si>
  <si>
    <t>CUST0279</t>
  </si>
  <si>
    <t>User_279</t>
  </si>
  <si>
    <t>CUST0280</t>
  </si>
  <si>
    <t>User_280</t>
  </si>
  <si>
    <t>CUST0281</t>
  </si>
  <si>
    <t>User_281</t>
  </si>
  <si>
    <t>CUST0282</t>
  </si>
  <si>
    <t>User_282</t>
  </si>
  <si>
    <t>CUST0283</t>
  </si>
  <si>
    <t>User_283</t>
  </si>
  <si>
    <t>CUST0284</t>
  </si>
  <si>
    <t>User_284</t>
  </si>
  <si>
    <t>CUST0285</t>
  </si>
  <si>
    <t>User_285</t>
  </si>
  <si>
    <t>CUST0286</t>
  </si>
  <si>
    <t>User_286</t>
  </si>
  <si>
    <t>CUST0287</t>
  </si>
  <si>
    <t>User_287</t>
  </si>
  <si>
    <t>CUST0288</t>
  </si>
  <si>
    <t>User_288</t>
  </si>
  <si>
    <t>CUST0289</t>
  </si>
  <si>
    <t>User_289</t>
  </si>
  <si>
    <t>CUST0290</t>
  </si>
  <si>
    <t>User_290</t>
  </si>
  <si>
    <t>CUST0291</t>
  </si>
  <si>
    <t>User_291</t>
  </si>
  <si>
    <t>CUST0292</t>
  </si>
  <si>
    <t>User_292</t>
  </si>
  <si>
    <t>CUST0293</t>
  </si>
  <si>
    <t>User_293</t>
  </si>
  <si>
    <t>CUST0294</t>
  </si>
  <si>
    <t>User_294</t>
  </si>
  <si>
    <t>CUST0295</t>
  </si>
  <si>
    <t>User_295</t>
  </si>
  <si>
    <t>CUST0296</t>
  </si>
  <si>
    <t>User_296</t>
  </si>
  <si>
    <t>CUST0297</t>
  </si>
  <si>
    <t>User_297</t>
  </si>
  <si>
    <t>CUST0298</t>
  </si>
  <si>
    <t>User_298</t>
  </si>
  <si>
    <t>CUST0299</t>
  </si>
  <si>
    <t>User_299</t>
  </si>
  <si>
    <t>CUST0300</t>
  </si>
  <si>
    <t>User_300</t>
  </si>
  <si>
    <t>CUST0301</t>
  </si>
  <si>
    <t>User_301</t>
  </si>
  <si>
    <t>CUST0302</t>
  </si>
  <si>
    <t>User_302</t>
  </si>
  <si>
    <t>CUST0303</t>
  </si>
  <si>
    <t>User_303</t>
  </si>
  <si>
    <t>CUST0304</t>
  </si>
  <si>
    <t>User_304</t>
  </si>
  <si>
    <t>CUST0305</t>
  </si>
  <si>
    <t>User_305</t>
  </si>
  <si>
    <t>CUST0306</t>
  </si>
  <si>
    <t>User_306</t>
  </si>
  <si>
    <t>CUST0307</t>
  </si>
  <si>
    <t>User_307</t>
  </si>
  <si>
    <t>CUST0308</t>
  </si>
  <si>
    <t>User_308</t>
  </si>
  <si>
    <t>CUST0309</t>
  </si>
  <si>
    <t>User_309</t>
  </si>
  <si>
    <t>CUST0310</t>
  </si>
  <si>
    <t>User_310</t>
  </si>
  <si>
    <t>CUST0311</t>
  </si>
  <si>
    <t>User_311</t>
  </si>
  <si>
    <t>CUST0312</t>
  </si>
  <si>
    <t>User_312</t>
  </si>
  <si>
    <t>CUST0313</t>
  </si>
  <si>
    <t>User_313</t>
  </si>
  <si>
    <t>CUST0314</t>
  </si>
  <si>
    <t>User_314</t>
  </si>
  <si>
    <t>CUST0315</t>
  </si>
  <si>
    <t>User_315</t>
  </si>
  <si>
    <t>CUST0316</t>
  </si>
  <si>
    <t>User_316</t>
  </si>
  <si>
    <t>CUST0317</t>
  </si>
  <si>
    <t>User_317</t>
  </si>
  <si>
    <t>CUST0318</t>
  </si>
  <si>
    <t>User_318</t>
  </si>
  <si>
    <t>CUST0319</t>
  </si>
  <si>
    <t>User_319</t>
  </si>
  <si>
    <t>CUST0320</t>
  </si>
  <si>
    <t>User_320</t>
  </si>
  <si>
    <t>CUST0321</t>
  </si>
  <si>
    <t>User_321</t>
  </si>
  <si>
    <t>CUST0322</t>
  </si>
  <si>
    <t>User_322</t>
  </si>
  <si>
    <t>CUST0323</t>
  </si>
  <si>
    <t>User_323</t>
  </si>
  <si>
    <t>CUST0324</t>
  </si>
  <si>
    <t>User_324</t>
  </si>
  <si>
    <t>CUST0325</t>
  </si>
  <si>
    <t>User_325</t>
  </si>
  <si>
    <t>CUST0326</t>
  </si>
  <si>
    <t>User_326</t>
  </si>
  <si>
    <t>CUST0327</t>
  </si>
  <si>
    <t>User_327</t>
  </si>
  <si>
    <t>CUST0328</t>
  </si>
  <si>
    <t>User_328</t>
  </si>
  <si>
    <t>CUST0329</t>
  </si>
  <si>
    <t>User_329</t>
  </si>
  <si>
    <t>CUST0330</t>
  </si>
  <si>
    <t>User_330</t>
  </si>
  <si>
    <t>CUST0331</t>
  </si>
  <si>
    <t>User_331</t>
  </si>
  <si>
    <t>CUST0332</t>
  </si>
  <si>
    <t>User_332</t>
  </si>
  <si>
    <t>CUST0333</t>
  </si>
  <si>
    <t>User_333</t>
  </si>
  <si>
    <t>CUST0334</t>
  </si>
  <si>
    <t>User_334</t>
  </si>
  <si>
    <t>CUST0335</t>
  </si>
  <si>
    <t>User_335</t>
  </si>
  <si>
    <t>CUST0336</t>
  </si>
  <si>
    <t>User_336</t>
  </si>
  <si>
    <t>CUST0337</t>
  </si>
  <si>
    <t>User_337</t>
  </si>
  <si>
    <t>CUST0338</t>
  </si>
  <si>
    <t>User_338</t>
  </si>
  <si>
    <t>CUST0339</t>
  </si>
  <si>
    <t>User_339</t>
  </si>
  <si>
    <t>CUST0340</t>
  </si>
  <si>
    <t>User_340</t>
  </si>
  <si>
    <t>CUST0341</t>
  </si>
  <si>
    <t>User_341</t>
  </si>
  <si>
    <t>CUST0342</t>
  </si>
  <si>
    <t>User_342</t>
  </si>
  <si>
    <t>CUST0343</t>
  </si>
  <si>
    <t>User_343</t>
  </si>
  <si>
    <t>CUST0344</t>
  </si>
  <si>
    <t>User_344</t>
  </si>
  <si>
    <t>CUST0345</t>
  </si>
  <si>
    <t>User_345</t>
  </si>
  <si>
    <t>CUST0346</t>
  </si>
  <si>
    <t>User_346</t>
  </si>
  <si>
    <t>CUST0347</t>
  </si>
  <si>
    <t>User_347</t>
  </si>
  <si>
    <t>CUST0348</t>
  </si>
  <si>
    <t>User_348</t>
  </si>
  <si>
    <t>CUST0349</t>
  </si>
  <si>
    <t>User_349</t>
  </si>
  <si>
    <t>CUST0350</t>
  </si>
  <si>
    <t>User_350</t>
  </si>
  <si>
    <t>CUST0351</t>
  </si>
  <si>
    <t>User_351</t>
  </si>
  <si>
    <t>CUST0352</t>
  </si>
  <si>
    <t>User_352</t>
  </si>
  <si>
    <t>CUST0353</t>
  </si>
  <si>
    <t>User_353</t>
  </si>
  <si>
    <t>CUST0354</t>
  </si>
  <si>
    <t>User_354</t>
  </si>
  <si>
    <t>CUST0355</t>
  </si>
  <si>
    <t>User_355</t>
  </si>
  <si>
    <t>CUST0356</t>
  </si>
  <si>
    <t>User_356</t>
  </si>
  <si>
    <t>CUST0357</t>
  </si>
  <si>
    <t>User_357</t>
  </si>
  <si>
    <t>CUST0358</t>
  </si>
  <si>
    <t>User_358</t>
  </si>
  <si>
    <t>CUST0359</t>
  </si>
  <si>
    <t>User_359</t>
  </si>
  <si>
    <t>CUST0360</t>
  </si>
  <si>
    <t>User_360</t>
  </si>
  <si>
    <t>CUST0361</t>
  </si>
  <si>
    <t>User_361</t>
  </si>
  <si>
    <t>CUST0362</t>
  </si>
  <si>
    <t>User_362</t>
  </si>
  <si>
    <t>CUST0363</t>
  </si>
  <si>
    <t>User_363</t>
  </si>
  <si>
    <t>CUST0364</t>
  </si>
  <si>
    <t>User_364</t>
  </si>
  <si>
    <t>CUST0365</t>
  </si>
  <si>
    <t>User_365</t>
  </si>
  <si>
    <t>CUST0366</t>
  </si>
  <si>
    <t>User_366</t>
  </si>
  <si>
    <t>CUST0367</t>
  </si>
  <si>
    <t>User_367</t>
  </si>
  <si>
    <t>CUST0368</t>
  </si>
  <si>
    <t>User_368</t>
  </si>
  <si>
    <t>CUST0369</t>
  </si>
  <si>
    <t>User_369</t>
  </si>
  <si>
    <t>CUST0370</t>
  </si>
  <si>
    <t>User_370</t>
  </si>
  <si>
    <t>CUST0371</t>
  </si>
  <si>
    <t>User_371</t>
  </si>
  <si>
    <t>CUST0372</t>
  </si>
  <si>
    <t>User_372</t>
  </si>
  <si>
    <t>CUST0373</t>
  </si>
  <si>
    <t>User_373</t>
  </si>
  <si>
    <t>CUST0374</t>
  </si>
  <si>
    <t>User_374</t>
  </si>
  <si>
    <t>CUST0375</t>
  </si>
  <si>
    <t>User_375</t>
  </si>
  <si>
    <t>CUST0376</t>
  </si>
  <si>
    <t>User_376</t>
  </si>
  <si>
    <t>CUST0377</t>
  </si>
  <si>
    <t>User_377</t>
  </si>
  <si>
    <t>CUST0378</t>
  </si>
  <si>
    <t>User_378</t>
  </si>
  <si>
    <t>CUST0379</t>
  </si>
  <si>
    <t>User_379</t>
  </si>
  <si>
    <t>CUST0380</t>
  </si>
  <si>
    <t>User_380</t>
  </si>
  <si>
    <t>CUST0381</t>
  </si>
  <si>
    <t>User_381</t>
  </si>
  <si>
    <t>CUST0382</t>
  </si>
  <si>
    <t>User_382</t>
  </si>
  <si>
    <t>CUST0383</t>
  </si>
  <si>
    <t>User_383</t>
  </si>
  <si>
    <t>CUST0384</t>
  </si>
  <si>
    <t>User_384</t>
  </si>
  <si>
    <t>CUST0385</t>
  </si>
  <si>
    <t>User_385</t>
  </si>
  <si>
    <t>CUST0386</t>
  </si>
  <si>
    <t>User_386</t>
  </si>
  <si>
    <t>CUST0387</t>
  </si>
  <si>
    <t>User_387</t>
  </si>
  <si>
    <t>CUST0388</t>
  </si>
  <si>
    <t>User_388</t>
  </si>
  <si>
    <t>CUST0389</t>
  </si>
  <si>
    <t>User_389</t>
  </si>
  <si>
    <t>CUST0390</t>
  </si>
  <si>
    <t>User_390</t>
  </si>
  <si>
    <t>CUST0391</t>
  </si>
  <si>
    <t>User_391</t>
  </si>
  <si>
    <t>CUST0392</t>
  </si>
  <si>
    <t>User_392</t>
  </si>
  <si>
    <t>CUST0393</t>
  </si>
  <si>
    <t>User_393</t>
  </si>
  <si>
    <t>CUST0394</t>
  </si>
  <si>
    <t>User_394</t>
  </si>
  <si>
    <t>CUST0395</t>
  </si>
  <si>
    <t>User_395</t>
  </si>
  <si>
    <t>CUST0396</t>
  </si>
  <si>
    <t>User_396</t>
  </si>
  <si>
    <t>CUST0397</t>
  </si>
  <si>
    <t>User_397</t>
  </si>
  <si>
    <t>CUST0398</t>
  </si>
  <si>
    <t>User_398</t>
  </si>
  <si>
    <t>CUST0399</t>
  </si>
  <si>
    <t>User_399</t>
  </si>
  <si>
    <t>CUST0400</t>
  </si>
  <si>
    <t>User_400</t>
  </si>
  <si>
    <t>CUST0401</t>
  </si>
  <si>
    <t>User_401</t>
  </si>
  <si>
    <t>CUST0402</t>
  </si>
  <si>
    <t>User_402</t>
  </si>
  <si>
    <t>CUST0403</t>
  </si>
  <si>
    <t>User_403</t>
  </si>
  <si>
    <t>CUST0404</t>
  </si>
  <si>
    <t>User_404</t>
  </si>
  <si>
    <t>CUST0405</t>
  </si>
  <si>
    <t>User_405</t>
  </si>
  <si>
    <t>CUST0406</t>
  </si>
  <si>
    <t>User_406</t>
  </si>
  <si>
    <t>CUST0407</t>
  </si>
  <si>
    <t>User_407</t>
  </si>
  <si>
    <t>CUST0408</t>
  </si>
  <si>
    <t>User_408</t>
  </si>
  <si>
    <t>CUST0409</t>
  </si>
  <si>
    <t>User_409</t>
  </si>
  <si>
    <t>CUST0410</t>
  </si>
  <si>
    <t>User_410</t>
  </si>
  <si>
    <t>CUST0411</t>
  </si>
  <si>
    <t>User_411</t>
  </si>
  <si>
    <t>CUST0412</t>
  </si>
  <si>
    <t>User_412</t>
  </si>
  <si>
    <t>CUST0413</t>
  </si>
  <si>
    <t>User_413</t>
  </si>
  <si>
    <t>CUST0414</t>
  </si>
  <si>
    <t>User_414</t>
  </si>
  <si>
    <t>CUST0415</t>
  </si>
  <si>
    <t>User_415</t>
  </si>
  <si>
    <t>CUST0416</t>
  </si>
  <si>
    <t>User_416</t>
  </si>
  <si>
    <t>CUST0417</t>
  </si>
  <si>
    <t>User_417</t>
  </si>
  <si>
    <t>CUST0418</t>
  </si>
  <si>
    <t>User_418</t>
  </si>
  <si>
    <t>CUST0419</t>
  </si>
  <si>
    <t>User_419</t>
  </si>
  <si>
    <t>CUST0420</t>
  </si>
  <si>
    <t>User_420</t>
  </si>
  <si>
    <t>CUST0421</t>
  </si>
  <si>
    <t>User_421</t>
  </si>
  <si>
    <t>CUST0422</t>
  </si>
  <si>
    <t>User_422</t>
  </si>
  <si>
    <t>CUST0423</t>
  </si>
  <si>
    <t>User_423</t>
  </si>
  <si>
    <t>CUST0424</t>
  </si>
  <si>
    <t>User_424</t>
  </si>
  <si>
    <t>CUST0425</t>
  </si>
  <si>
    <t>User_425</t>
  </si>
  <si>
    <t>CUST0426</t>
  </si>
  <si>
    <t>User_426</t>
  </si>
  <si>
    <t>CUST0427</t>
  </si>
  <si>
    <t>User_427</t>
  </si>
  <si>
    <t>CUST0428</t>
  </si>
  <si>
    <t>User_428</t>
  </si>
  <si>
    <t>CUST0429</t>
  </si>
  <si>
    <t>User_429</t>
  </si>
  <si>
    <t>CUST0430</t>
  </si>
  <si>
    <t>User_430</t>
  </si>
  <si>
    <t>CUST0431</t>
  </si>
  <si>
    <t>User_431</t>
  </si>
  <si>
    <t>CUST0432</t>
  </si>
  <si>
    <t>User_432</t>
  </si>
  <si>
    <t>CUST0433</t>
  </si>
  <si>
    <t>User_433</t>
  </si>
  <si>
    <t>CUST0434</t>
  </si>
  <si>
    <t>User_434</t>
  </si>
  <si>
    <t>CUST0435</t>
  </si>
  <si>
    <t>User_435</t>
  </si>
  <si>
    <t>CUST0436</t>
  </si>
  <si>
    <t>User_436</t>
  </si>
  <si>
    <t>CUST0437</t>
  </si>
  <si>
    <t>User_437</t>
  </si>
  <si>
    <t>CUST0438</t>
  </si>
  <si>
    <t>User_438</t>
  </si>
  <si>
    <t>CUST0439</t>
  </si>
  <si>
    <t>User_439</t>
  </si>
  <si>
    <t>CUST0440</t>
  </si>
  <si>
    <t>User_440</t>
  </si>
  <si>
    <t>CUST0441</t>
  </si>
  <si>
    <t>User_441</t>
  </si>
  <si>
    <t>CUST0442</t>
  </si>
  <si>
    <t>User_442</t>
  </si>
  <si>
    <t>CUST0443</t>
  </si>
  <si>
    <t>User_443</t>
  </si>
  <si>
    <t>CUST0444</t>
  </si>
  <si>
    <t>User_444</t>
  </si>
  <si>
    <t>CUST0445</t>
  </si>
  <si>
    <t>User_445</t>
  </si>
  <si>
    <t>CUST0446</t>
  </si>
  <si>
    <t>User_446</t>
  </si>
  <si>
    <t>CUST0447</t>
  </si>
  <si>
    <t>User_447</t>
  </si>
  <si>
    <t>CUST0448</t>
  </si>
  <si>
    <t>User_448</t>
  </si>
  <si>
    <t>CUST0449</t>
  </si>
  <si>
    <t>User_449</t>
  </si>
  <si>
    <t>CUST0450</t>
  </si>
  <si>
    <t>User_450</t>
  </si>
  <si>
    <t>CUST0451</t>
  </si>
  <si>
    <t>User_451</t>
  </si>
  <si>
    <t>CUST0452</t>
  </si>
  <si>
    <t>User_452</t>
  </si>
  <si>
    <t>CUST0453</t>
  </si>
  <si>
    <t>User_453</t>
  </si>
  <si>
    <t>CUST0454</t>
  </si>
  <si>
    <t>User_454</t>
  </si>
  <si>
    <t>CUST0455</t>
  </si>
  <si>
    <t>User_455</t>
  </si>
  <si>
    <t>CUST0456</t>
  </si>
  <si>
    <t>User_456</t>
  </si>
  <si>
    <t>CUST0457</t>
  </si>
  <si>
    <t>User_457</t>
  </si>
  <si>
    <t>CUST0458</t>
  </si>
  <si>
    <t>User_458</t>
  </si>
  <si>
    <t>CUST0459</t>
  </si>
  <si>
    <t>User_459</t>
  </si>
  <si>
    <t>CUST0460</t>
  </si>
  <si>
    <t>User_460</t>
  </si>
  <si>
    <t>CUST0461</t>
  </si>
  <si>
    <t>User_461</t>
  </si>
  <si>
    <t>CUST0462</t>
  </si>
  <si>
    <t>User_462</t>
  </si>
  <si>
    <t>CUST0463</t>
  </si>
  <si>
    <t>User_463</t>
  </si>
  <si>
    <t>CUST0464</t>
  </si>
  <si>
    <t>User_464</t>
  </si>
  <si>
    <t>CUST0465</t>
  </si>
  <si>
    <t>User_465</t>
  </si>
  <si>
    <t>CUST0466</t>
  </si>
  <si>
    <t>User_466</t>
  </si>
  <si>
    <t>CUST0467</t>
  </si>
  <si>
    <t>User_467</t>
  </si>
  <si>
    <t>CUST0468</t>
  </si>
  <si>
    <t>User_468</t>
  </si>
  <si>
    <t>CUST0469</t>
  </si>
  <si>
    <t>User_469</t>
  </si>
  <si>
    <t>CUST0470</t>
  </si>
  <si>
    <t>User_470</t>
  </si>
  <si>
    <t>CUST0471</t>
  </si>
  <si>
    <t>User_471</t>
  </si>
  <si>
    <t>CUST0472</t>
  </si>
  <si>
    <t>User_472</t>
  </si>
  <si>
    <t>CUST0473</t>
  </si>
  <si>
    <t>User_473</t>
  </si>
  <si>
    <t>CUST0474</t>
  </si>
  <si>
    <t>User_474</t>
  </si>
  <si>
    <t>CUST0475</t>
  </si>
  <si>
    <t>User_475</t>
  </si>
  <si>
    <t>CUST0476</t>
  </si>
  <si>
    <t>User_476</t>
  </si>
  <si>
    <t>CUST0477</t>
  </si>
  <si>
    <t>User_477</t>
  </si>
  <si>
    <t>CUST0478</t>
  </si>
  <si>
    <t>User_478</t>
  </si>
  <si>
    <t>CUST0479</t>
  </si>
  <si>
    <t>User_479</t>
  </si>
  <si>
    <t>CUST0480</t>
  </si>
  <si>
    <t>User_480</t>
  </si>
  <si>
    <t>CUST0481</t>
  </si>
  <si>
    <t>User_481</t>
  </si>
  <si>
    <t>CUST0482</t>
  </si>
  <si>
    <t>User_482</t>
  </si>
  <si>
    <t>CUST0483</t>
  </si>
  <si>
    <t>User_483</t>
  </si>
  <si>
    <t>CUST0484</t>
  </si>
  <si>
    <t>User_484</t>
  </si>
  <si>
    <t>CUST0485</t>
  </si>
  <si>
    <t>User_485</t>
  </si>
  <si>
    <t>CUST0486</t>
  </si>
  <si>
    <t>User_486</t>
  </si>
  <si>
    <t>CUST0487</t>
  </si>
  <si>
    <t>User_487</t>
  </si>
  <si>
    <t>CUST0488</t>
  </si>
  <si>
    <t>User_488</t>
  </si>
  <si>
    <t>CUST0489</t>
  </si>
  <si>
    <t>User_489</t>
  </si>
  <si>
    <t>CUST0490</t>
  </si>
  <si>
    <t>User_490</t>
  </si>
  <si>
    <t>CUST0491</t>
  </si>
  <si>
    <t>User_491</t>
  </si>
  <si>
    <t>CUST0492</t>
  </si>
  <si>
    <t>User_492</t>
  </si>
  <si>
    <t>CUST0493</t>
  </si>
  <si>
    <t>User_493</t>
  </si>
  <si>
    <t>CUST0494</t>
  </si>
  <si>
    <t>User_494</t>
  </si>
  <si>
    <t>CUST0495</t>
  </si>
  <si>
    <t>User_495</t>
  </si>
  <si>
    <t>CUST0496</t>
  </si>
  <si>
    <t>User_496</t>
  </si>
  <si>
    <t>CUST0497</t>
  </si>
  <si>
    <t>User_497</t>
  </si>
  <si>
    <t>CUST0498</t>
  </si>
  <si>
    <t>User_498</t>
  </si>
  <si>
    <t>CUST0499</t>
  </si>
  <si>
    <t>User_499</t>
  </si>
  <si>
    <t>CUST0500</t>
  </si>
  <si>
    <t>User_500</t>
  </si>
  <si>
    <t>ProductID</t>
  </si>
  <si>
    <t>ProductName</t>
  </si>
  <si>
    <t>Category</t>
  </si>
  <si>
    <t>UnitCost_INR</t>
  </si>
  <si>
    <t>MRP_INR</t>
  </si>
  <si>
    <t>PRD001</t>
  </si>
  <si>
    <t>Vitamin C Glow Serum 30ml</t>
  </si>
  <si>
    <t>Skincare</t>
  </si>
  <si>
    <t>PRD002</t>
  </si>
  <si>
    <t>Hyaluronic Acid Water Gel</t>
  </si>
  <si>
    <t>PRD003</t>
  </si>
  <si>
    <t>Kumkumadi Tailam Night Drops</t>
  </si>
  <si>
    <t>PRD004</t>
  </si>
  <si>
    <t>Multani Mitti &amp; Turmeric Face Wash</t>
  </si>
  <si>
    <t>PRD005</t>
  </si>
  <si>
    <t>Niacinamide 10% Blemish Serum</t>
  </si>
  <si>
    <t>PRD006</t>
  </si>
  <si>
    <t>Red Onion Seed Hair Oil 200ml</t>
  </si>
  <si>
    <t>Haircare</t>
  </si>
  <si>
    <t>PRD007</t>
  </si>
  <si>
    <t>Bhringraj Anti-Hairfall Shampoo</t>
  </si>
  <si>
    <t>PRD008</t>
  </si>
  <si>
    <t>Rosemary Scalp Stimulating Tonic</t>
  </si>
  <si>
    <t>PRD009</t>
  </si>
  <si>
    <t>Keratin Smoothing Hair Mask</t>
  </si>
  <si>
    <t>PRD010</t>
  </si>
  <si>
    <t>Coffee Exfoliating Body Scrub</t>
  </si>
  <si>
    <t>Bodycare</t>
  </si>
  <si>
    <t>PRD011</t>
  </si>
  <si>
    <t>Shea Butter Deep Nourish Lotion</t>
  </si>
  <si>
    <t>PRD012</t>
  </si>
  <si>
    <t>Oud &amp; Sandalwood Body Wash</t>
  </si>
  <si>
    <t>PRD013</t>
  </si>
  <si>
    <t>Matte Liquid Lipstick - Ruby Red</t>
  </si>
  <si>
    <t>Makeup</t>
  </si>
  <si>
    <t>PRD014</t>
  </si>
  <si>
    <t>Matte Liquid Lipstick - Nude Peach</t>
  </si>
  <si>
    <t>PRD015</t>
  </si>
  <si>
    <t>Kajal / Kohl 24Hr Smudge-proof</t>
  </si>
  <si>
    <t>OrderID</t>
  </si>
  <si>
    <t>OrderDate</t>
  </si>
  <si>
    <t>Quantity</t>
  </si>
  <si>
    <t>SellingPrice_INR</t>
  </si>
  <si>
    <t>CouponCode</t>
  </si>
  <si>
    <t>TotalOrderValue_INR</t>
  </si>
  <si>
    <t>PaymentMethod</t>
  </si>
  <si>
    <t>OrderStatus</t>
  </si>
  <si>
    <t>ODR00001</t>
  </si>
  <si>
    <t>2024-12-03</t>
  </si>
  <si>
    <t>FESTIVE15</t>
  </si>
  <si>
    <t>COD</t>
  </si>
  <si>
    <t>RTO</t>
  </si>
  <si>
    <t>ODR00002</t>
  </si>
  <si>
    <t>2025-01-06</t>
  </si>
  <si>
    <t>NEW20</t>
  </si>
  <si>
    <t>UPI</t>
  </si>
  <si>
    <t>Delivered</t>
  </si>
  <si>
    <t>ODR00003</t>
  </si>
  <si>
    <t>2025-06-17</t>
  </si>
  <si>
    <t>NONE</t>
  </si>
  <si>
    <t>ODR00004</t>
  </si>
  <si>
    <t>2025-02-06</t>
  </si>
  <si>
    <t>ODR00005</t>
  </si>
  <si>
    <t>2026-02-28</t>
  </si>
  <si>
    <t>GLOW10</t>
  </si>
  <si>
    <t>ODR00006</t>
  </si>
  <si>
    <t>2025-01-11</t>
  </si>
  <si>
    <t>ODR00007</t>
  </si>
  <si>
    <t>2025-02-21</t>
  </si>
  <si>
    <t>ODR00008</t>
  </si>
  <si>
    <t>2024-04-04</t>
  </si>
  <si>
    <t>ODR00009</t>
  </si>
  <si>
    <t>2025-06-27</t>
  </si>
  <si>
    <t>ODR00010</t>
  </si>
  <si>
    <t>2025-11-30</t>
  </si>
  <si>
    <t>Wallets (Paytm/PhonePe)</t>
  </si>
  <si>
    <t>ODR00011</t>
  </si>
  <si>
    <t>2024-05-03</t>
  </si>
  <si>
    <t>ODR00012</t>
  </si>
  <si>
    <t>2024-04-20</t>
  </si>
  <si>
    <t>Cancelled</t>
  </si>
  <si>
    <t>ODR00013</t>
  </si>
  <si>
    <t>2025-07-03</t>
  </si>
  <si>
    <t>Credit/Debit Card</t>
  </si>
  <si>
    <t>ODR00014</t>
  </si>
  <si>
    <t>2025-07-11</t>
  </si>
  <si>
    <t>ODR00015</t>
  </si>
  <si>
    <t>2025-07-30</t>
  </si>
  <si>
    <t>ODR00016</t>
  </si>
  <si>
    <t>2024-09-09</t>
  </si>
  <si>
    <t>ODR00017</t>
  </si>
  <si>
    <t>2024-08-20</t>
  </si>
  <si>
    <t>ODR00018</t>
  </si>
  <si>
    <t>2024-11-10</t>
  </si>
  <si>
    <t>ODR00019</t>
  </si>
  <si>
    <t>2025-05-25</t>
  </si>
  <si>
    <t>ODR00020</t>
  </si>
  <si>
    <t>2025-05-16</t>
  </si>
  <si>
    <t>ODR00021</t>
  </si>
  <si>
    <t>2025-05-09</t>
  </si>
  <si>
    <t>ODR00022</t>
  </si>
  <si>
    <t>2024-08-02</t>
  </si>
  <si>
    <t>ODR00023</t>
  </si>
  <si>
    <t>2025-06-04</t>
  </si>
  <si>
    <t>ODR00024</t>
  </si>
  <si>
    <t>2024-05-01</t>
  </si>
  <si>
    <t>ODR00025</t>
  </si>
  <si>
    <t>2025-12-19</t>
  </si>
  <si>
    <t>ODR00026</t>
  </si>
  <si>
    <t>2026-02-27</t>
  </si>
  <si>
    <t>ODR00027</t>
  </si>
  <si>
    <t>2024-05-19</t>
  </si>
  <si>
    <t>ODR00028</t>
  </si>
  <si>
    <t>2025-07-16</t>
  </si>
  <si>
    <t>ODR00029</t>
  </si>
  <si>
    <t>2024-09-06</t>
  </si>
  <si>
    <t>ODR00030</t>
  </si>
  <si>
    <t>2025-04-19</t>
  </si>
  <si>
    <t>ODR00031</t>
  </si>
  <si>
    <t>2024-06-08</t>
  </si>
  <si>
    <t>ODR00032</t>
  </si>
  <si>
    <t>2025-07-22</t>
  </si>
  <si>
    <t>ODR00033</t>
  </si>
  <si>
    <t>2025-06-23</t>
  </si>
  <si>
    <t>ODR00034</t>
  </si>
  <si>
    <t>2024-04-23</t>
  </si>
  <si>
    <t>ODR00035</t>
  </si>
  <si>
    <t>2025-11-29</t>
  </si>
  <si>
    <t>ODR00036</t>
  </si>
  <si>
    <t>2024-10-01</t>
  </si>
  <si>
    <t>ODR00037</t>
  </si>
  <si>
    <t>2025-08-08</t>
  </si>
  <si>
    <t>ODR00038</t>
  </si>
  <si>
    <t>2026-02-14</t>
  </si>
  <si>
    <t>ODR00039</t>
  </si>
  <si>
    <t>2025-06-14</t>
  </si>
  <si>
    <t>ODR00040</t>
  </si>
  <si>
    <t>2024-08-04</t>
  </si>
  <si>
    <t>ODR00041</t>
  </si>
  <si>
    <t>2025-06-30</t>
  </si>
  <si>
    <t>ODR00042</t>
  </si>
  <si>
    <t>2025-07-06</t>
  </si>
  <si>
    <t>ODR00043</t>
  </si>
  <si>
    <t>2025-03-25</t>
  </si>
  <si>
    <t>ODR00044</t>
  </si>
  <si>
    <t>2025-03-09</t>
  </si>
  <si>
    <t>ODR00045</t>
  </si>
  <si>
    <t>2025-11-22</t>
  </si>
  <si>
    <t>ODR00046</t>
  </si>
  <si>
    <t>2026-03-30</t>
  </si>
  <si>
    <t>ODR00047</t>
  </si>
  <si>
    <t>2026-03-20</t>
  </si>
  <si>
    <t>ODR00048</t>
  </si>
  <si>
    <t>2025-04-29</t>
  </si>
  <si>
    <t>ODR00049</t>
  </si>
  <si>
    <t>2025-05-04</t>
  </si>
  <si>
    <t>ODR00050</t>
  </si>
  <si>
    <t>2025-04-15</t>
  </si>
  <si>
    <t>ODR00051</t>
  </si>
  <si>
    <t>2025-12-12</t>
  </si>
  <si>
    <t>ODR00052</t>
  </si>
  <si>
    <t>ODR00053</t>
  </si>
  <si>
    <t>2024-06-27</t>
  </si>
  <si>
    <t>ODR00054</t>
  </si>
  <si>
    <t>2024-07-04</t>
  </si>
  <si>
    <t>ODR00055</t>
  </si>
  <si>
    <t>2025-10-25</t>
  </si>
  <si>
    <t>ODR00056</t>
  </si>
  <si>
    <t>2024-04-16</t>
  </si>
  <si>
    <t>ODR00057</t>
  </si>
  <si>
    <t>2025-01-22</t>
  </si>
  <si>
    <t>ODR00058</t>
  </si>
  <si>
    <t>2025-08-30</t>
  </si>
  <si>
    <t>ODR00059</t>
  </si>
  <si>
    <t>2025-10-19</t>
  </si>
  <si>
    <t>ODR00060</t>
  </si>
  <si>
    <t>2024-08-26</t>
  </si>
  <si>
    <t>ODR00061</t>
  </si>
  <si>
    <t>2026-03-16</t>
  </si>
  <si>
    <t>ODR00062</t>
  </si>
  <si>
    <t>2024-11-12</t>
  </si>
  <si>
    <t>ODR00063</t>
  </si>
  <si>
    <t>ODR00064</t>
  </si>
  <si>
    <t>2025-12-28</t>
  </si>
  <si>
    <t>ODR00065</t>
  </si>
  <si>
    <t>2025-09-28</t>
  </si>
  <si>
    <t>ODR00066</t>
  </si>
  <si>
    <t>2024-11-22</t>
  </si>
  <si>
    <t>ODR00067</t>
  </si>
  <si>
    <t>2025-11-26</t>
  </si>
  <si>
    <t>ODR00068</t>
  </si>
  <si>
    <t>2025-12-08</t>
  </si>
  <si>
    <t>ODR00069</t>
  </si>
  <si>
    <t>2024-09-16</t>
  </si>
  <si>
    <t>ODR00070</t>
  </si>
  <si>
    <t>2025-09-23</t>
  </si>
  <si>
    <t>ODR00071</t>
  </si>
  <si>
    <t>2025-02-24</t>
  </si>
  <si>
    <t>ODR00072</t>
  </si>
  <si>
    <t>2025-04-04</t>
  </si>
  <si>
    <t>ODR00073</t>
  </si>
  <si>
    <t>2024-06-28</t>
  </si>
  <si>
    <t>ODR00074</t>
  </si>
  <si>
    <t>2026-03-29</t>
  </si>
  <si>
    <t>ODR00075</t>
  </si>
  <si>
    <t>2024-12-15</t>
  </si>
  <si>
    <t>ODR00076</t>
  </si>
  <si>
    <t>2025-06-06</t>
  </si>
  <si>
    <t>ODR00077</t>
  </si>
  <si>
    <t>2025-02-08</t>
  </si>
  <si>
    <t>ODR00078</t>
  </si>
  <si>
    <t>2026-03-07</t>
  </si>
  <si>
    <t>ODR00079</t>
  </si>
  <si>
    <t>2025-03-08</t>
  </si>
  <si>
    <t>ODR00080</t>
  </si>
  <si>
    <t>2026-03-10</t>
  </si>
  <si>
    <t>ODR00081</t>
  </si>
  <si>
    <t>2025-01-12</t>
  </si>
  <si>
    <t>ODR00082</t>
  </si>
  <si>
    <t>2026-03-14</t>
  </si>
  <si>
    <t>ODR00083</t>
  </si>
  <si>
    <t>2024-09-28</t>
  </si>
  <si>
    <t>ODR00084</t>
  </si>
  <si>
    <t>2025-05-06</t>
  </si>
  <si>
    <t>ODR00085</t>
  </si>
  <si>
    <t>2026-01-27</t>
  </si>
  <si>
    <t>ODR00086</t>
  </si>
  <si>
    <t>2024-11-18</t>
  </si>
  <si>
    <t>ODR00087</t>
  </si>
  <si>
    <t>2026-03-08</t>
  </si>
  <si>
    <t>ODR00088</t>
  </si>
  <si>
    <t>ODR00089</t>
  </si>
  <si>
    <t>2025-01-04</t>
  </si>
  <si>
    <t>ODR00090</t>
  </si>
  <si>
    <t>ODR00091</t>
  </si>
  <si>
    <t>2024-12-23</t>
  </si>
  <si>
    <t>ODR00092</t>
  </si>
  <si>
    <t>ODR00093</t>
  </si>
  <si>
    <t>2025-11-08</t>
  </si>
  <si>
    <t>ODR00094</t>
  </si>
  <si>
    <t>2025-04-20</t>
  </si>
  <si>
    <t>ODR00095</t>
  </si>
  <si>
    <t>ODR00096</t>
  </si>
  <si>
    <t>2025-10-21</t>
  </si>
  <si>
    <t>ODR00097</t>
  </si>
  <si>
    <t>2026-03-05</t>
  </si>
  <si>
    <t>ODR00098</t>
  </si>
  <si>
    <t>2024-11-06</t>
  </si>
  <si>
    <t>ODR00099</t>
  </si>
  <si>
    <t>2026-02-18</t>
  </si>
  <si>
    <t>ODR00100</t>
  </si>
  <si>
    <t>2025-08-09</t>
  </si>
  <si>
    <t>ODR00101</t>
  </si>
  <si>
    <t>2025-06-09</t>
  </si>
  <si>
    <t>ODR00102</t>
  </si>
  <si>
    <t>2025-03-05</t>
  </si>
  <si>
    <t>ODR00103</t>
  </si>
  <si>
    <t>2025-11-06</t>
  </si>
  <si>
    <t>ODR00104</t>
  </si>
  <si>
    <t>2025-07-04</t>
  </si>
  <si>
    <t>ODR00105</t>
  </si>
  <si>
    <t>2025-08-14</t>
  </si>
  <si>
    <t>ODR00106</t>
  </si>
  <si>
    <t>2025-04-27</t>
  </si>
  <si>
    <t>ODR00107</t>
  </si>
  <si>
    <t>2025-06-13</t>
  </si>
  <si>
    <t>ODR00108</t>
  </si>
  <si>
    <t>2024-12-29</t>
  </si>
  <si>
    <t>ODR00109</t>
  </si>
  <si>
    <t>2024-10-16</t>
  </si>
  <si>
    <t>ODR00110</t>
  </si>
  <si>
    <t>ODR00111</t>
  </si>
  <si>
    <t>2024-09-25</t>
  </si>
  <si>
    <t>ODR00112</t>
  </si>
  <si>
    <t>2025-06-02</t>
  </si>
  <si>
    <t>ODR00113</t>
  </si>
  <si>
    <t>2025-03-17</t>
  </si>
  <si>
    <t>ODR00114</t>
  </si>
  <si>
    <t>2026-01-26</t>
  </si>
  <si>
    <t>ODR00115</t>
  </si>
  <si>
    <t>2024-10-09</t>
  </si>
  <si>
    <t>ODR00116</t>
  </si>
  <si>
    <t>2026-01-12</t>
  </si>
  <si>
    <t>ODR00117</t>
  </si>
  <si>
    <t>2024-06-01</t>
  </si>
  <si>
    <t>ODR00118</t>
  </si>
  <si>
    <t>2025-11-02</t>
  </si>
  <si>
    <t>ODR00119</t>
  </si>
  <si>
    <t>2025-08-16</t>
  </si>
  <si>
    <t>ODR00120</t>
  </si>
  <si>
    <t>2025-12-16</t>
  </si>
  <si>
    <t>ODR00121</t>
  </si>
  <si>
    <t>2025-11-15</t>
  </si>
  <si>
    <t>ODR00122</t>
  </si>
  <si>
    <t>2025-09-11</t>
  </si>
  <si>
    <t>ODR00123</t>
  </si>
  <si>
    <t>2025-07-07</t>
  </si>
  <si>
    <t>ODR00124</t>
  </si>
  <si>
    <t>2025-04-10</t>
  </si>
  <si>
    <t>ODR00125</t>
  </si>
  <si>
    <t>2025-03-07</t>
  </si>
  <si>
    <t>ODR00126</t>
  </si>
  <si>
    <t>2025-10-22</t>
  </si>
  <si>
    <t>ODR00127</t>
  </si>
  <si>
    <t>2026-02-26</t>
  </si>
  <si>
    <t>ODR00128</t>
  </si>
  <si>
    <t>2026-01-17</t>
  </si>
  <si>
    <t>ODR00129</t>
  </si>
  <si>
    <t>2025-04-02</t>
  </si>
  <si>
    <t>ODR00130</t>
  </si>
  <si>
    <t>2025-08-23</t>
  </si>
  <si>
    <t>ODR00131</t>
  </si>
  <si>
    <t>2025-11-11</t>
  </si>
  <si>
    <t>ODR00132</t>
  </si>
  <si>
    <t>2025-12-30</t>
  </si>
  <si>
    <t>ODR00133</t>
  </si>
  <si>
    <t>2025-09-30</t>
  </si>
  <si>
    <t>ODR00134</t>
  </si>
  <si>
    <t>2024-08-23</t>
  </si>
  <si>
    <t>ODR00135</t>
  </si>
  <si>
    <t>ODR00136</t>
  </si>
  <si>
    <t>2025-04-16</t>
  </si>
  <si>
    <t>ODR00137</t>
  </si>
  <si>
    <t>2026-03-09</t>
  </si>
  <si>
    <t>ODR00138</t>
  </si>
  <si>
    <t>2025-04-25</t>
  </si>
  <si>
    <t>ODR00139</t>
  </si>
  <si>
    <t>2026-03-01</t>
  </si>
  <si>
    <t>ODR00140</t>
  </si>
  <si>
    <t>2024-11-13</t>
  </si>
  <si>
    <t>ODR00141</t>
  </si>
  <si>
    <t>ODR00142</t>
  </si>
  <si>
    <t>2025-05-27</t>
  </si>
  <si>
    <t>ODR00143</t>
  </si>
  <si>
    <t>2024-12-28</t>
  </si>
  <si>
    <t>ODR00144</t>
  </si>
  <si>
    <t>2025-08-18</t>
  </si>
  <si>
    <t>ODR00145</t>
  </si>
  <si>
    <t>2025-02-07</t>
  </si>
  <si>
    <t>ODR00146</t>
  </si>
  <si>
    <t>2025-12-10</t>
  </si>
  <si>
    <t>ODR00147</t>
  </si>
  <si>
    <t>ODR00148</t>
  </si>
  <si>
    <t>2024-12-26</t>
  </si>
  <si>
    <t>ODR00149</t>
  </si>
  <si>
    <t>ODR00150</t>
  </si>
  <si>
    <t>2025-05-28</t>
  </si>
  <si>
    <t>ODR00151</t>
  </si>
  <si>
    <t>ODR00152</t>
  </si>
  <si>
    <t>2024-10-18</t>
  </si>
  <si>
    <t>ODR00153</t>
  </si>
  <si>
    <t>2025-10-13</t>
  </si>
  <si>
    <t>ODR00154</t>
  </si>
  <si>
    <t>2025-12-17</t>
  </si>
  <si>
    <t>ODR00155</t>
  </si>
  <si>
    <t>2024-05-06</t>
  </si>
  <si>
    <t>ODR00156</t>
  </si>
  <si>
    <t>2024-04-09</t>
  </si>
  <si>
    <t>ODR00157</t>
  </si>
  <si>
    <t>2026-01-06</t>
  </si>
  <si>
    <t>ODR00158</t>
  </si>
  <si>
    <t>2025-12-24</t>
  </si>
  <si>
    <t>ODR00159</t>
  </si>
  <si>
    <t>2024-10-10</t>
  </si>
  <si>
    <t>ODR00160</t>
  </si>
  <si>
    <t>2025-09-02</t>
  </si>
  <si>
    <t>ODR00161</t>
  </si>
  <si>
    <t>2025-05-19</t>
  </si>
  <si>
    <t>ODR00162</t>
  </si>
  <si>
    <t>2025-10-11</t>
  </si>
  <si>
    <t>ODR00163</t>
  </si>
  <si>
    <t>2026-03-22</t>
  </si>
  <si>
    <t>ODR00164</t>
  </si>
  <si>
    <t>2025-10-17</t>
  </si>
  <si>
    <t>ODR00165</t>
  </si>
  <si>
    <t>2025-09-24</t>
  </si>
  <si>
    <t>ODR00166</t>
  </si>
  <si>
    <t>2025-10-03</t>
  </si>
  <si>
    <t>ODR00167</t>
  </si>
  <si>
    <t>2025-09-01</t>
  </si>
  <si>
    <t>ODR00168</t>
  </si>
  <si>
    <t>ODR00169</t>
  </si>
  <si>
    <t>ODR00170</t>
  </si>
  <si>
    <t>2025-05-07</t>
  </si>
  <si>
    <t>ODR00171</t>
  </si>
  <si>
    <t>2024-05-22</t>
  </si>
  <si>
    <t>ODR00172</t>
  </si>
  <si>
    <t>2026-02-22</t>
  </si>
  <si>
    <t>ODR00173</t>
  </si>
  <si>
    <t>2024-07-25</t>
  </si>
  <si>
    <t>ODR00174</t>
  </si>
  <si>
    <t>2026-03-27</t>
  </si>
  <si>
    <t>ODR00175</t>
  </si>
  <si>
    <t>2024-07-27</t>
  </si>
  <si>
    <t>ODR00176</t>
  </si>
  <si>
    <t>2026-01-30</t>
  </si>
  <si>
    <t>ODR00177</t>
  </si>
  <si>
    <t>ODR00178</t>
  </si>
  <si>
    <t>2024-12-20</t>
  </si>
  <si>
    <t>ODR00179</t>
  </si>
  <si>
    <t>2024-11-14</t>
  </si>
  <si>
    <t>ODR00180</t>
  </si>
  <si>
    <t>2025-01-20</t>
  </si>
  <si>
    <t>ODR00181</t>
  </si>
  <si>
    <t>2024-07-11</t>
  </si>
  <si>
    <t>ODR00182</t>
  </si>
  <si>
    <t>2024-05-27</t>
  </si>
  <si>
    <t>ODR00183</t>
  </si>
  <si>
    <t>2025-06-08</t>
  </si>
  <si>
    <t>ODR00184</t>
  </si>
  <si>
    <t>ODR00185</t>
  </si>
  <si>
    <t>ODR00186</t>
  </si>
  <si>
    <t>2026-01-31</t>
  </si>
  <si>
    <t>ODR00187</t>
  </si>
  <si>
    <t>2025-07-25</t>
  </si>
  <si>
    <t>ODR00188</t>
  </si>
  <si>
    <t>2025-01-23</t>
  </si>
  <si>
    <t>ODR00189</t>
  </si>
  <si>
    <t>2024-06-22</t>
  </si>
  <si>
    <t>ODR00190</t>
  </si>
  <si>
    <t>2025-01-28</t>
  </si>
  <si>
    <t>ODR00191</t>
  </si>
  <si>
    <t>2026-02-25</t>
  </si>
  <si>
    <t>ODR00192</t>
  </si>
  <si>
    <t>2025-08-25</t>
  </si>
  <si>
    <t>ODR00193</t>
  </si>
  <si>
    <t>ODR00194</t>
  </si>
  <si>
    <t>2025-02-03</t>
  </si>
  <si>
    <t>ODR00195</t>
  </si>
  <si>
    <t>2025-11-09</t>
  </si>
  <si>
    <t>ODR00196</t>
  </si>
  <si>
    <t>ODR00197</t>
  </si>
  <si>
    <t>2024-06-09</t>
  </si>
  <si>
    <t>ODR00198</t>
  </si>
  <si>
    <t>ODR00199</t>
  </si>
  <si>
    <t>2024-08-17</t>
  </si>
  <si>
    <t>ODR00200</t>
  </si>
  <si>
    <t>2026-03-31</t>
  </si>
  <si>
    <t>ODR00201</t>
  </si>
  <si>
    <t>2024-06-07</t>
  </si>
  <si>
    <t>ODR00202</t>
  </si>
  <si>
    <t>2026-03-19</t>
  </si>
  <si>
    <t>ODR00203</t>
  </si>
  <si>
    <t>2026-02-10</t>
  </si>
  <si>
    <t>ODR00204</t>
  </si>
  <si>
    <t>2024-12-06</t>
  </si>
  <si>
    <t>ODR00205</t>
  </si>
  <si>
    <t>2024-08-06</t>
  </si>
  <si>
    <t>ODR00206</t>
  </si>
  <si>
    <t>ODR00207</t>
  </si>
  <si>
    <t>2026-01-18</t>
  </si>
  <si>
    <t>ODR00208</t>
  </si>
  <si>
    <t>ODR00209</t>
  </si>
  <si>
    <t>2024-09-15</t>
  </si>
  <si>
    <t>ODR00210</t>
  </si>
  <si>
    <t>2024-06-10</t>
  </si>
  <si>
    <t>ODR00211</t>
  </si>
  <si>
    <t>2025-09-16</t>
  </si>
  <si>
    <t>ODR00212</t>
  </si>
  <si>
    <t>2025-05-03</t>
  </si>
  <si>
    <t>ODR00213</t>
  </si>
  <si>
    <t>ODR00214</t>
  </si>
  <si>
    <t>2024-04-27</t>
  </si>
  <si>
    <t>ODR00215</t>
  </si>
  <si>
    <t>2024-08-31</t>
  </si>
  <si>
    <t>ODR00216</t>
  </si>
  <si>
    <t>2024-07-05</t>
  </si>
  <si>
    <t>ODR00217</t>
  </si>
  <si>
    <t>2025-11-17</t>
  </si>
  <si>
    <t>ODR00218</t>
  </si>
  <si>
    <t>2024-11-27</t>
  </si>
  <si>
    <t>ODR00219</t>
  </si>
  <si>
    <t>ODR00220</t>
  </si>
  <si>
    <t>ODR00221</t>
  </si>
  <si>
    <t>2025-06-20</t>
  </si>
  <si>
    <t>ODR00222</t>
  </si>
  <si>
    <t>2024-08-29</t>
  </si>
  <si>
    <t>ODR00223</t>
  </si>
  <si>
    <t>2025-08-28</t>
  </si>
  <si>
    <t>ODR00224</t>
  </si>
  <si>
    <t>2025-09-26</t>
  </si>
  <si>
    <t>ODR00225</t>
  </si>
  <si>
    <t>ODR00226</t>
  </si>
  <si>
    <t>ODR00227</t>
  </si>
  <si>
    <t>2025-04-06</t>
  </si>
  <si>
    <t>ODR00228</t>
  </si>
  <si>
    <t>2025-08-06</t>
  </si>
  <si>
    <t>ODR00229</t>
  </si>
  <si>
    <t>2024-07-16</t>
  </si>
  <si>
    <t>ODR00230</t>
  </si>
  <si>
    <t>ODR00231</t>
  </si>
  <si>
    <t>2025-11-19</t>
  </si>
  <si>
    <t>ODR00232</t>
  </si>
  <si>
    <t>ODR00233</t>
  </si>
  <si>
    <t>2025-03-16</t>
  </si>
  <si>
    <t>ODR00234</t>
  </si>
  <si>
    <t>2026-03-18</t>
  </si>
  <si>
    <t>ODR00235</t>
  </si>
  <si>
    <t>2025-11-10</t>
  </si>
  <si>
    <t>ODR00236</t>
  </si>
  <si>
    <t>2025-03-19</t>
  </si>
  <si>
    <t>ODR00237</t>
  </si>
  <si>
    <t>2026-01-03</t>
  </si>
  <si>
    <t>ODR00238</t>
  </si>
  <si>
    <t>2025-12-21</t>
  </si>
  <si>
    <t>ODR00239</t>
  </si>
  <si>
    <t>2024-08-14</t>
  </si>
  <si>
    <t>ODR00240</t>
  </si>
  <si>
    <t>2025-05-10</t>
  </si>
  <si>
    <t>ODR00241</t>
  </si>
  <si>
    <t>2024-11-16</t>
  </si>
  <si>
    <t>ODR00242</t>
  </si>
  <si>
    <t>2025-08-24</t>
  </si>
  <si>
    <t>ODR00243</t>
  </si>
  <si>
    <t>ODR00244</t>
  </si>
  <si>
    <t>2025-01-03</t>
  </si>
  <si>
    <t>ODR00245</t>
  </si>
  <si>
    <t>ODR00246</t>
  </si>
  <si>
    <t>2025-05-22</t>
  </si>
  <si>
    <t>ODR00247</t>
  </si>
  <si>
    <t>2025-06-28</t>
  </si>
  <si>
    <t>ODR00248</t>
  </si>
  <si>
    <t>2026-02-13</t>
  </si>
  <si>
    <t>ODR00249</t>
  </si>
  <si>
    <t>ODR00250</t>
  </si>
  <si>
    <t>2025-07-31</t>
  </si>
  <si>
    <t>ODR00251</t>
  </si>
  <si>
    <t>2025-07-29</t>
  </si>
  <si>
    <t>ODR00252</t>
  </si>
  <si>
    <t>2025-11-12</t>
  </si>
  <si>
    <t>ODR00253</t>
  </si>
  <si>
    <t>ODR00254</t>
  </si>
  <si>
    <t>2024-11-25</t>
  </si>
  <si>
    <t>ODR00255</t>
  </si>
  <si>
    <t>ODR00256</t>
  </si>
  <si>
    <t>2025-08-10</t>
  </si>
  <si>
    <t>ODR00257</t>
  </si>
  <si>
    <t>ODR00258</t>
  </si>
  <si>
    <t>ODR00259</t>
  </si>
  <si>
    <t>2025-11-20</t>
  </si>
  <si>
    <t>ODR00260</t>
  </si>
  <si>
    <t>ODR00261</t>
  </si>
  <si>
    <t>ODR00262</t>
  </si>
  <si>
    <t>ODR00263</t>
  </si>
  <si>
    <t>ODR00264</t>
  </si>
  <si>
    <t>ODR00265</t>
  </si>
  <si>
    <t>2025-06-26</t>
  </si>
  <si>
    <t>ODR00266</t>
  </si>
  <si>
    <t>2025-12-09</t>
  </si>
  <si>
    <t>ODR00267</t>
  </si>
  <si>
    <t>ODR00268</t>
  </si>
  <si>
    <t>ODR00269</t>
  </si>
  <si>
    <t>2024-06-03</t>
  </si>
  <si>
    <t>ODR00270</t>
  </si>
  <si>
    <t>2025-08-11</t>
  </si>
  <si>
    <t>ODR00271</t>
  </si>
  <si>
    <t>ODR00272</t>
  </si>
  <si>
    <t>2024-05-02</t>
  </si>
  <si>
    <t>ODR00273</t>
  </si>
  <si>
    <t>2024-06-15</t>
  </si>
  <si>
    <t>ODR00274</t>
  </si>
  <si>
    <t>2024-05-17</t>
  </si>
  <si>
    <t>ODR00275</t>
  </si>
  <si>
    <t>2025-10-08</t>
  </si>
  <si>
    <t>ODR00276</t>
  </si>
  <si>
    <t>2024-05-30</t>
  </si>
  <si>
    <t>ODR00277</t>
  </si>
  <si>
    <t>2025-04-14</t>
  </si>
  <si>
    <t>ODR00278</t>
  </si>
  <si>
    <t>2025-05-24</t>
  </si>
  <si>
    <t>ODR00279</t>
  </si>
  <si>
    <t>2024-10-28</t>
  </si>
  <si>
    <t>ODR00280</t>
  </si>
  <si>
    <t>2024-07-12</t>
  </si>
  <si>
    <t>ODR00281</t>
  </si>
  <si>
    <t>ODR00282</t>
  </si>
  <si>
    <t>2025-12-07</t>
  </si>
  <si>
    <t>ODR00283</t>
  </si>
  <si>
    <t>ODR00284</t>
  </si>
  <si>
    <t>2024-07-14</t>
  </si>
  <si>
    <t>ODR00285</t>
  </si>
  <si>
    <t>2024-04-10</t>
  </si>
  <si>
    <t>ODR00286</t>
  </si>
  <si>
    <t>2024-04-03</t>
  </si>
  <si>
    <t>ODR00287</t>
  </si>
  <si>
    <t>2025-10-14</t>
  </si>
  <si>
    <t>ODR00288</t>
  </si>
  <si>
    <t>2024-10-27</t>
  </si>
  <si>
    <t>ODR00289</t>
  </si>
  <si>
    <t>2026-01-11</t>
  </si>
  <si>
    <t>ODR00290</t>
  </si>
  <si>
    <t>2025-07-14</t>
  </si>
  <si>
    <t>ODR00291</t>
  </si>
  <si>
    <t>2025-10-16</t>
  </si>
  <si>
    <t>ODR00292</t>
  </si>
  <si>
    <t>ODR00293</t>
  </si>
  <si>
    <t>2025-05-05</t>
  </si>
  <si>
    <t>ODR00294</t>
  </si>
  <si>
    <t>ODR00295</t>
  </si>
  <si>
    <t>2024-05-26</t>
  </si>
  <si>
    <t>ODR00296</t>
  </si>
  <si>
    <t>ODR00297</t>
  </si>
  <si>
    <t>2024-06-30</t>
  </si>
  <si>
    <t>ODR00298</t>
  </si>
  <si>
    <t>ODR00299</t>
  </si>
  <si>
    <t>2025-11-25</t>
  </si>
  <si>
    <t>ODR00300</t>
  </si>
  <si>
    <t>2025-11-13</t>
  </si>
  <si>
    <t>ODR00301</t>
  </si>
  <si>
    <t>ODR00302</t>
  </si>
  <si>
    <t>2024-07-07</t>
  </si>
  <si>
    <t>ODR00303</t>
  </si>
  <si>
    <t>2025-05-20</t>
  </si>
  <si>
    <t>ODR00304</t>
  </si>
  <si>
    <t>2024-10-21</t>
  </si>
  <si>
    <t>ODR00305</t>
  </si>
  <si>
    <t>2024-04-30</t>
  </si>
  <si>
    <t>ODR00306</t>
  </si>
  <si>
    <t>ODR00307</t>
  </si>
  <si>
    <t>2025-07-19</t>
  </si>
  <si>
    <t>ODR00308</t>
  </si>
  <si>
    <t>2025-08-05</t>
  </si>
  <si>
    <t>ODR00309</t>
  </si>
  <si>
    <t>2025-08-04</t>
  </si>
  <si>
    <t>ODR00310</t>
  </si>
  <si>
    <t>2024-04-29</t>
  </si>
  <si>
    <t>ODR00311</t>
  </si>
  <si>
    <t>ODR00312</t>
  </si>
  <si>
    <t>ODR00313</t>
  </si>
  <si>
    <t>2024-12-05</t>
  </si>
  <si>
    <t>ODR00314</t>
  </si>
  <si>
    <t>2025-05-18</t>
  </si>
  <si>
    <t>ODR00315</t>
  </si>
  <si>
    <t>2024-07-03</t>
  </si>
  <si>
    <t>ODR00316</t>
  </si>
  <si>
    <t>ODR00317</t>
  </si>
  <si>
    <t>2025-10-07</t>
  </si>
  <si>
    <t>ODR00318</t>
  </si>
  <si>
    <t>2024-11-02</t>
  </si>
  <si>
    <t>ODR00319</t>
  </si>
  <si>
    <t>ODR00320</t>
  </si>
  <si>
    <t>2024-11-21</t>
  </si>
  <si>
    <t>ODR00321</t>
  </si>
  <si>
    <t>2025-12-23</t>
  </si>
  <si>
    <t>ODR00322</t>
  </si>
  <si>
    <t>2025-03-26</t>
  </si>
  <si>
    <t>ODR00323</t>
  </si>
  <si>
    <t>2024-07-28</t>
  </si>
  <si>
    <t>ODR00324</t>
  </si>
  <si>
    <t>2025-04-24</t>
  </si>
  <si>
    <t>ODR00325</t>
  </si>
  <si>
    <t>2025-10-12</t>
  </si>
  <si>
    <t>ODR00326</t>
  </si>
  <si>
    <t>2025-02-19</t>
  </si>
  <si>
    <t>ODR00327</t>
  </si>
  <si>
    <t>2024-07-18</t>
  </si>
  <si>
    <t>ODR00328</t>
  </si>
  <si>
    <t>ODR00329</t>
  </si>
  <si>
    <t>2025-10-26</t>
  </si>
  <si>
    <t>ODR00330</t>
  </si>
  <si>
    <t>2025-01-05</t>
  </si>
  <si>
    <t>ODR00331</t>
  </si>
  <si>
    <t>2024-04-28</t>
  </si>
  <si>
    <t>ODR00332</t>
  </si>
  <si>
    <t>2025-09-15</t>
  </si>
  <si>
    <t>ODR00333</t>
  </si>
  <si>
    <t>2025-11-07</t>
  </si>
  <si>
    <t>ODR00334</t>
  </si>
  <si>
    <t>ODR00335</t>
  </si>
  <si>
    <t>2024-10-11</t>
  </si>
  <si>
    <t>ODR00336</t>
  </si>
  <si>
    <t>ODR00337</t>
  </si>
  <si>
    <t>2024-09-20</t>
  </si>
  <si>
    <t>ODR00338</t>
  </si>
  <si>
    <t>2024-07-02</t>
  </si>
  <si>
    <t>ODR00339</t>
  </si>
  <si>
    <t>2026-01-24</t>
  </si>
  <si>
    <t>ODR00340</t>
  </si>
  <si>
    <t>ODR00341</t>
  </si>
  <si>
    <t>ODR00342</t>
  </si>
  <si>
    <t>2024-06-14</t>
  </si>
  <si>
    <t>ODR00343</t>
  </si>
  <si>
    <t>ODR00344</t>
  </si>
  <si>
    <t>ODR00345</t>
  </si>
  <si>
    <t>ODR00346</t>
  </si>
  <si>
    <t>2024-08-19</t>
  </si>
  <si>
    <t>ODR00347</t>
  </si>
  <si>
    <t>2024-07-17</t>
  </si>
  <si>
    <t>ODR00348</t>
  </si>
  <si>
    <t>2024-10-17</t>
  </si>
  <si>
    <t>ODR00349</t>
  </si>
  <si>
    <t>2026-01-02</t>
  </si>
  <si>
    <t>ODR00350</t>
  </si>
  <si>
    <t>2026-03-03</t>
  </si>
  <si>
    <t>ODR00351</t>
  </si>
  <si>
    <t>2025-02-13</t>
  </si>
  <si>
    <t>ODR00352</t>
  </si>
  <si>
    <t>ODR00353</t>
  </si>
  <si>
    <t>2026-02-24</t>
  </si>
  <si>
    <t>ODR00354</t>
  </si>
  <si>
    <t>2025-07-26</t>
  </si>
  <si>
    <t>ODR00355</t>
  </si>
  <si>
    <t>ODR00356</t>
  </si>
  <si>
    <t>ODR00357</t>
  </si>
  <si>
    <t>ODR00358</t>
  </si>
  <si>
    <t>ODR00359</t>
  </si>
  <si>
    <t>ODR00360</t>
  </si>
  <si>
    <t>ODR00361</t>
  </si>
  <si>
    <t>ODR00362</t>
  </si>
  <si>
    <t>2024-06-05</t>
  </si>
  <si>
    <t>ODR00363</t>
  </si>
  <si>
    <t>ODR00364</t>
  </si>
  <si>
    <t>2025-07-12</t>
  </si>
  <si>
    <t>ODR00365</t>
  </si>
  <si>
    <t>ODR00366</t>
  </si>
  <si>
    <t>ODR00367</t>
  </si>
  <si>
    <t>2024-05-12</t>
  </si>
  <si>
    <t>ODR00368</t>
  </si>
  <si>
    <t>2024-04-22</t>
  </si>
  <si>
    <t>ODR00369</t>
  </si>
  <si>
    <t>2025-06-01</t>
  </si>
  <si>
    <t>ODR00370</t>
  </si>
  <si>
    <t>2025-03-02</t>
  </si>
  <si>
    <t>ODR00371</t>
  </si>
  <si>
    <t>ODR00372</t>
  </si>
  <si>
    <t>2026-01-23</t>
  </si>
  <si>
    <t>ODR00373</t>
  </si>
  <si>
    <t>2025-08-01</t>
  </si>
  <si>
    <t>ODR00374</t>
  </si>
  <si>
    <t>2025-10-02</t>
  </si>
  <si>
    <t>ODR00375</t>
  </si>
  <si>
    <t>2024-09-21</t>
  </si>
  <si>
    <t>ODR00376</t>
  </si>
  <si>
    <t>ODR00377</t>
  </si>
  <si>
    <t>ODR00378</t>
  </si>
  <si>
    <t>2025-12-01</t>
  </si>
  <si>
    <t>ODR00379</t>
  </si>
  <si>
    <t>2026-02-20</t>
  </si>
  <si>
    <t>ODR00380</t>
  </si>
  <si>
    <t>ODR00381</t>
  </si>
  <si>
    <t>ODR00382</t>
  </si>
  <si>
    <t>ODR00383</t>
  </si>
  <si>
    <t>2025-07-27</t>
  </si>
  <si>
    <t>ODR00384</t>
  </si>
  <si>
    <t>ODR00385</t>
  </si>
  <si>
    <t>ODR00386</t>
  </si>
  <si>
    <t>ODR00387</t>
  </si>
  <si>
    <t>2024-11-24</t>
  </si>
  <si>
    <t>ODR00388</t>
  </si>
  <si>
    <t>ODR00389</t>
  </si>
  <si>
    <t>ODR00390</t>
  </si>
  <si>
    <t>ODR00391</t>
  </si>
  <si>
    <t>2025-12-22</t>
  </si>
  <si>
    <t>ODR00392</t>
  </si>
  <si>
    <t>2025-03-22</t>
  </si>
  <si>
    <t>ODR00393</t>
  </si>
  <si>
    <t>2026-02-08</t>
  </si>
  <si>
    <t>ODR00394</t>
  </si>
  <si>
    <t>2025-07-24</t>
  </si>
  <si>
    <t>ODR00395</t>
  </si>
  <si>
    <t>2025-11-04</t>
  </si>
  <si>
    <t>ODR00396</t>
  </si>
  <si>
    <t>2024-05-15</t>
  </si>
  <si>
    <t>ODR00397</t>
  </si>
  <si>
    <t>ODR00398</t>
  </si>
  <si>
    <t>2025-02-10</t>
  </si>
  <si>
    <t>ODR00399</t>
  </si>
  <si>
    <t>ODR00400</t>
  </si>
  <si>
    <t>2025-04-07</t>
  </si>
  <si>
    <t>ODR00401</t>
  </si>
  <si>
    <t>2024-04-13</t>
  </si>
  <si>
    <t>ODR00402</t>
  </si>
  <si>
    <t>ODR00403</t>
  </si>
  <si>
    <t>2025-10-10</t>
  </si>
  <si>
    <t>ODR00404</t>
  </si>
  <si>
    <t>2024-07-13</t>
  </si>
  <si>
    <t>ODR00405</t>
  </si>
  <si>
    <t>ODR00406</t>
  </si>
  <si>
    <t>ODR00407</t>
  </si>
  <si>
    <t>2024-04-11</t>
  </si>
  <si>
    <t>ODR00408</t>
  </si>
  <si>
    <t>2024-06-12</t>
  </si>
  <si>
    <t>ODR00409</t>
  </si>
  <si>
    <t>2025-03-15</t>
  </si>
  <si>
    <t>ODR00410</t>
  </si>
  <si>
    <t>2025-02-15</t>
  </si>
  <si>
    <t>ODR00411</t>
  </si>
  <si>
    <t>2025-10-27</t>
  </si>
  <si>
    <t>ODR00412</t>
  </si>
  <si>
    <t>ODR00413</t>
  </si>
  <si>
    <t>2025-07-23</t>
  </si>
  <si>
    <t>ODR00414</t>
  </si>
  <si>
    <t>2024-10-30</t>
  </si>
  <si>
    <t>ODR00415</t>
  </si>
  <si>
    <t>ODR00416</t>
  </si>
  <si>
    <t>ODR00417</t>
  </si>
  <si>
    <t>2025-02-17</t>
  </si>
  <si>
    <t>ODR00418</t>
  </si>
  <si>
    <t>ODR00419</t>
  </si>
  <si>
    <t>2025-01-29</t>
  </si>
  <si>
    <t>ODR00420</t>
  </si>
  <si>
    <t>ODR00421</t>
  </si>
  <si>
    <t>2024-07-19</t>
  </si>
  <si>
    <t>ODR00422</t>
  </si>
  <si>
    <t>2024-08-27</t>
  </si>
  <si>
    <t>ODR00423</t>
  </si>
  <si>
    <t>ODR00424</t>
  </si>
  <si>
    <t>ODR00425</t>
  </si>
  <si>
    <t>2024-07-09</t>
  </si>
  <si>
    <t>ODR00426</t>
  </si>
  <si>
    <t>2024-12-07</t>
  </si>
  <si>
    <t>ODR00427</t>
  </si>
  <si>
    <t>2025-12-03</t>
  </si>
  <si>
    <t>ODR00428</t>
  </si>
  <si>
    <t>ODR00429</t>
  </si>
  <si>
    <t>ODR00430</t>
  </si>
  <si>
    <t>2024-12-12</t>
  </si>
  <si>
    <t>ODR00431</t>
  </si>
  <si>
    <t>ODR00432</t>
  </si>
  <si>
    <t>2025-03-30</t>
  </si>
  <si>
    <t>ODR00433</t>
  </si>
  <si>
    <t>ODR00434</t>
  </si>
  <si>
    <t>2025-04-21</t>
  </si>
  <si>
    <t>ODR00435</t>
  </si>
  <si>
    <t>2025-05-08</t>
  </si>
  <si>
    <t>ODR00436</t>
  </si>
  <si>
    <t>ODR00437</t>
  </si>
  <si>
    <t>2024-06-20</t>
  </si>
  <si>
    <t>ODR00438</t>
  </si>
  <si>
    <t>2024-05-04</t>
  </si>
  <si>
    <t>ODR00439</t>
  </si>
  <si>
    <t>ODR00440</t>
  </si>
  <si>
    <t>2024-05-21</t>
  </si>
  <si>
    <t>ODR00441</t>
  </si>
  <si>
    <t>ODR00442</t>
  </si>
  <si>
    <t>ODR00443</t>
  </si>
  <si>
    <t>ODR00444</t>
  </si>
  <si>
    <t>2024-08-05</t>
  </si>
  <si>
    <t>ODR00445</t>
  </si>
  <si>
    <t>2024-08-22</t>
  </si>
  <si>
    <t>ODR00446</t>
  </si>
  <si>
    <t>ODR00447</t>
  </si>
  <si>
    <t>ODR00448</t>
  </si>
  <si>
    <t>ODR00449</t>
  </si>
  <si>
    <t>ODR00450</t>
  </si>
  <si>
    <t>ODR00451</t>
  </si>
  <si>
    <t>2025-08-21</t>
  </si>
  <si>
    <t>ODR00452</t>
  </si>
  <si>
    <t>2025-02-23</t>
  </si>
  <si>
    <t>ODR00453</t>
  </si>
  <si>
    <t>ODR00454</t>
  </si>
  <si>
    <t>ODR00455</t>
  </si>
  <si>
    <t>2025-03-29</t>
  </si>
  <si>
    <t>ODR00456</t>
  </si>
  <si>
    <t>ODR00457</t>
  </si>
  <si>
    <t>2025-08-07</t>
  </si>
  <si>
    <t>ODR00458</t>
  </si>
  <si>
    <t>2024-05-20</t>
  </si>
  <si>
    <t>ODR00459</t>
  </si>
  <si>
    <t>2024-09-23</t>
  </si>
  <si>
    <t>ODR00460</t>
  </si>
  <si>
    <t>ODR00461</t>
  </si>
  <si>
    <t>2024-04-12</t>
  </si>
  <si>
    <t>ODR00462</t>
  </si>
  <si>
    <t>ODR00463</t>
  </si>
  <si>
    <t>ODR00464</t>
  </si>
  <si>
    <t>2025-04-22</t>
  </si>
  <si>
    <t>ODR00465</t>
  </si>
  <si>
    <t>2024-05-24</t>
  </si>
  <si>
    <t>ODR00466</t>
  </si>
  <si>
    <t>2025-08-31</t>
  </si>
  <si>
    <t>ODR00467</t>
  </si>
  <si>
    <t>ODR00468</t>
  </si>
  <si>
    <t>2025-01-31</t>
  </si>
  <si>
    <t>ODR00469</t>
  </si>
  <si>
    <t>2025-01-14</t>
  </si>
  <si>
    <t>ODR00470</t>
  </si>
  <si>
    <t>2025-10-09</t>
  </si>
  <si>
    <t>ODR00471</t>
  </si>
  <si>
    <t>ODR00472</t>
  </si>
  <si>
    <t>ODR00473</t>
  </si>
  <si>
    <t>2025-02-27</t>
  </si>
  <si>
    <t>ODR00474</t>
  </si>
  <si>
    <t>ODR00475</t>
  </si>
  <si>
    <t>ODR00476</t>
  </si>
  <si>
    <t>ODR00477</t>
  </si>
  <si>
    <t>2024-10-26</t>
  </si>
  <si>
    <t>ODR00478</t>
  </si>
  <si>
    <t>2025-08-22</t>
  </si>
  <si>
    <t>ODR00479</t>
  </si>
  <si>
    <t>2026-03-11</t>
  </si>
  <si>
    <t>ODR00480</t>
  </si>
  <si>
    <t>2024-04-02</t>
  </si>
  <si>
    <t>ODR00481</t>
  </si>
  <si>
    <t>ODR00482</t>
  </si>
  <si>
    <t>2024-10-25</t>
  </si>
  <si>
    <t>ODR00483</t>
  </si>
  <si>
    <t>ODR00484</t>
  </si>
  <si>
    <t>ODR00485</t>
  </si>
  <si>
    <t>ODR00486</t>
  </si>
  <si>
    <t>ODR00487</t>
  </si>
  <si>
    <t>2025-11-16</t>
  </si>
  <si>
    <t>ODR00488</t>
  </si>
  <si>
    <t>ODR00489</t>
  </si>
  <si>
    <t>2025-05-13</t>
  </si>
  <si>
    <t>ODR00490</t>
  </si>
  <si>
    <t>2025-12-26</t>
  </si>
  <si>
    <t>ODR00491</t>
  </si>
  <si>
    <t>ODR00492</t>
  </si>
  <si>
    <t>ODR00493</t>
  </si>
  <si>
    <t>2025-05-12</t>
  </si>
  <si>
    <t>ODR00494</t>
  </si>
  <si>
    <t>ODR00495</t>
  </si>
  <si>
    <t>2025-03-31</t>
  </si>
  <si>
    <t>ODR00496</t>
  </si>
  <si>
    <t>2026-02-01</t>
  </si>
  <si>
    <t>ODR00497</t>
  </si>
  <si>
    <t>ODR00498</t>
  </si>
  <si>
    <t>ODR00499</t>
  </si>
  <si>
    <t>ODR00500</t>
  </si>
  <si>
    <t>2024-11-08</t>
  </si>
  <si>
    <t>ODR00501</t>
  </si>
  <si>
    <t>2025-01-26</t>
  </si>
  <si>
    <t>ODR00502</t>
  </si>
  <si>
    <t>ODR00503</t>
  </si>
  <si>
    <t>ODR00504</t>
  </si>
  <si>
    <t>2025-04-28</t>
  </si>
  <si>
    <t>ODR00505</t>
  </si>
  <si>
    <t>2024-05-11</t>
  </si>
  <si>
    <t>ODR00506</t>
  </si>
  <si>
    <t>2025-07-10</t>
  </si>
  <si>
    <t>ODR00507</t>
  </si>
  <si>
    <t>ODR00508</t>
  </si>
  <si>
    <t>ODR00509</t>
  </si>
  <si>
    <t>2024-08-18</t>
  </si>
  <si>
    <t>ODR00510</t>
  </si>
  <si>
    <t>ODR00511</t>
  </si>
  <si>
    <t>ODR00512</t>
  </si>
  <si>
    <t>ODR00513</t>
  </si>
  <si>
    <t>ODR00514</t>
  </si>
  <si>
    <t>2025-06-16</t>
  </si>
  <si>
    <t>ODR00515</t>
  </si>
  <si>
    <t>2024-06-19</t>
  </si>
  <si>
    <t>ODR00516</t>
  </si>
  <si>
    <t>2024-04-26</t>
  </si>
  <si>
    <t>ODR00517</t>
  </si>
  <si>
    <t>ODR00518</t>
  </si>
  <si>
    <t>2024-05-14</t>
  </si>
  <si>
    <t>ODR00519</t>
  </si>
  <si>
    <t>ODR00520</t>
  </si>
  <si>
    <t>2024-12-16</t>
  </si>
  <si>
    <t>ODR00521</t>
  </si>
  <si>
    <t>2025-09-05</t>
  </si>
  <si>
    <t>ODR00522</t>
  </si>
  <si>
    <t>2025-09-13</t>
  </si>
  <si>
    <t>ODR00523</t>
  </si>
  <si>
    <t>2025-06-10</t>
  </si>
  <si>
    <t>ODR00524</t>
  </si>
  <si>
    <t>2024-08-10</t>
  </si>
  <si>
    <t>ODR00525</t>
  </si>
  <si>
    <t>ODR00526</t>
  </si>
  <si>
    <t>2024-06-16</t>
  </si>
  <si>
    <t>ODR00527</t>
  </si>
  <si>
    <t>2024-11-11</t>
  </si>
  <si>
    <t>ODR00528</t>
  </si>
  <si>
    <t>2026-01-16</t>
  </si>
  <si>
    <t>ODR00529</t>
  </si>
  <si>
    <t>ODR00530</t>
  </si>
  <si>
    <t>ODR00531</t>
  </si>
  <si>
    <t>2025-04-03</t>
  </si>
  <si>
    <t>ODR00532</t>
  </si>
  <si>
    <t>ODR00533</t>
  </si>
  <si>
    <t>ODR00534</t>
  </si>
  <si>
    <t>2026-03-02</t>
  </si>
  <si>
    <t>ODR00535</t>
  </si>
  <si>
    <t>ODR00536</t>
  </si>
  <si>
    <t>2024-10-13</t>
  </si>
  <si>
    <t>ODR00537</t>
  </si>
  <si>
    <t>2025-03-06</t>
  </si>
  <si>
    <t>ODR00538</t>
  </si>
  <si>
    <t>ODR00539</t>
  </si>
  <si>
    <t>ODR00540</t>
  </si>
  <si>
    <t>2025-12-29</t>
  </si>
  <si>
    <t>ODR00541</t>
  </si>
  <si>
    <t>2026-03-28</t>
  </si>
  <si>
    <t>ODR00542</t>
  </si>
  <si>
    <t>ODR00543</t>
  </si>
  <si>
    <t>2024-11-28</t>
  </si>
  <si>
    <t>ODR00544</t>
  </si>
  <si>
    <t>2025-12-13</t>
  </si>
  <si>
    <t>ODR00545</t>
  </si>
  <si>
    <t>ODR00546</t>
  </si>
  <si>
    <t>2024-09-01</t>
  </si>
  <si>
    <t>ODR00547</t>
  </si>
  <si>
    <t>ODR00548</t>
  </si>
  <si>
    <t>ODR00549</t>
  </si>
  <si>
    <t>ODR00550</t>
  </si>
  <si>
    <t>ODR00551</t>
  </si>
  <si>
    <t>ODR00552</t>
  </si>
  <si>
    <t>ODR00553</t>
  </si>
  <si>
    <t>ODR00554</t>
  </si>
  <si>
    <t>ODR00555</t>
  </si>
  <si>
    <t>ODR00556</t>
  </si>
  <si>
    <t>ODR00557</t>
  </si>
  <si>
    <t>ODR00558</t>
  </si>
  <si>
    <t>ODR00559</t>
  </si>
  <si>
    <t>ODR00560</t>
  </si>
  <si>
    <t>2025-10-31</t>
  </si>
  <si>
    <t>ODR00561</t>
  </si>
  <si>
    <t>ODR00562</t>
  </si>
  <si>
    <t>ODR00563</t>
  </si>
  <si>
    <t>ODR00564</t>
  </si>
  <si>
    <t>2025-03-01</t>
  </si>
  <si>
    <t>ODR00565</t>
  </si>
  <si>
    <t>ODR00566</t>
  </si>
  <si>
    <t>ODR00567</t>
  </si>
  <si>
    <t>ODR00568</t>
  </si>
  <si>
    <t>2025-10-06</t>
  </si>
  <si>
    <t>ODR00569</t>
  </si>
  <si>
    <t>ODR00570</t>
  </si>
  <si>
    <t>ODR00571</t>
  </si>
  <si>
    <t>ODR00572</t>
  </si>
  <si>
    <t>2025-07-20</t>
  </si>
  <si>
    <t>ODR00573</t>
  </si>
  <si>
    <t>2025-01-24</t>
  </si>
  <si>
    <t>ODR00574</t>
  </si>
  <si>
    <t>ODR00575</t>
  </si>
  <si>
    <t>2026-02-04</t>
  </si>
  <si>
    <t>ODR00576</t>
  </si>
  <si>
    <t>2025-02-25</t>
  </si>
  <si>
    <t>ODR00577</t>
  </si>
  <si>
    <t>ODR00578</t>
  </si>
  <si>
    <t>2024-06-23</t>
  </si>
  <si>
    <t>ODR00579</t>
  </si>
  <si>
    <t>ODR00580</t>
  </si>
  <si>
    <t>2025-01-16</t>
  </si>
  <si>
    <t>ODR00581</t>
  </si>
  <si>
    <t>2024-08-08</t>
  </si>
  <si>
    <t>ODR00582</t>
  </si>
  <si>
    <t>ODR00583</t>
  </si>
  <si>
    <t>ODR00584</t>
  </si>
  <si>
    <t>ODR00585</t>
  </si>
  <si>
    <t>2024-10-22</t>
  </si>
  <si>
    <t>ODR00586</t>
  </si>
  <si>
    <t>ODR00587</t>
  </si>
  <si>
    <t>ODR00588</t>
  </si>
  <si>
    <t>ODR00589</t>
  </si>
  <si>
    <t>ODR00590</t>
  </si>
  <si>
    <t>ODR00591</t>
  </si>
  <si>
    <t>2025-06-25</t>
  </si>
  <si>
    <t>ODR00592</t>
  </si>
  <si>
    <t>ODR00593</t>
  </si>
  <si>
    <t>2024-07-29</t>
  </si>
  <si>
    <t>ODR00594</t>
  </si>
  <si>
    <t>ODR00595</t>
  </si>
  <si>
    <t>2025-09-04</t>
  </si>
  <si>
    <t>ODR00596</t>
  </si>
  <si>
    <t>ODR00597</t>
  </si>
  <si>
    <t>ODR00598</t>
  </si>
  <si>
    <t>2025-09-07</t>
  </si>
  <si>
    <t>ODR00599</t>
  </si>
  <si>
    <t>ODR00600</t>
  </si>
  <si>
    <t>ODR00601</t>
  </si>
  <si>
    <t>2024-10-02</t>
  </si>
  <si>
    <t>ODR00602</t>
  </si>
  <si>
    <t>ODR00603</t>
  </si>
  <si>
    <t>2025-05-11</t>
  </si>
  <si>
    <t>ODR00604</t>
  </si>
  <si>
    <t>ODR00605</t>
  </si>
  <si>
    <t>2025-07-17</t>
  </si>
  <si>
    <t>ODR00606</t>
  </si>
  <si>
    <t>ODR00607</t>
  </si>
  <si>
    <t>ODR00608</t>
  </si>
  <si>
    <t>2024-07-23</t>
  </si>
  <si>
    <t>ODR00609</t>
  </si>
  <si>
    <t>ODR00610</t>
  </si>
  <si>
    <t>2025-08-02</t>
  </si>
  <si>
    <t>ODR00611</t>
  </si>
  <si>
    <t>ODR00612</t>
  </si>
  <si>
    <t>ODR00613</t>
  </si>
  <si>
    <t>ODR00614</t>
  </si>
  <si>
    <t>2025-06-22</t>
  </si>
  <si>
    <t>ODR00615</t>
  </si>
  <si>
    <t>ODR00616</t>
  </si>
  <si>
    <t>ODR00617</t>
  </si>
  <si>
    <t>ODR00618</t>
  </si>
  <si>
    <t>ODR00619</t>
  </si>
  <si>
    <t>2025-05-01</t>
  </si>
  <si>
    <t>ODR00620</t>
  </si>
  <si>
    <t>2024-09-03</t>
  </si>
  <si>
    <t>ODR00621</t>
  </si>
  <si>
    <t>ODR00622</t>
  </si>
  <si>
    <t>2026-01-10</t>
  </si>
  <si>
    <t>ODR00623</t>
  </si>
  <si>
    <t>2026-02-23</t>
  </si>
  <si>
    <t>ODR00624</t>
  </si>
  <si>
    <t>2025-03-10</t>
  </si>
  <si>
    <t>ODR00625</t>
  </si>
  <si>
    <t>ODR00626</t>
  </si>
  <si>
    <t>ODR00627</t>
  </si>
  <si>
    <t>ODR00628</t>
  </si>
  <si>
    <t>ODR00629</t>
  </si>
  <si>
    <t>ODR00630</t>
  </si>
  <si>
    <t>2025-01-08</t>
  </si>
  <si>
    <t>ODR00631</t>
  </si>
  <si>
    <t>2025-11-23</t>
  </si>
  <si>
    <t>ODR00632</t>
  </si>
  <si>
    <t>2025-11-14</t>
  </si>
  <si>
    <t>ODR00633</t>
  </si>
  <si>
    <t>2024-09-08</t>
  </si>
  <si>
    <t>ODR00634</t>
  </si>
  <si>
    <t>ODR00635</t>
  </si>
  <si>
    <t>2024-11-17</t>
  </si>
  <si>
    <t>ODR00636</t>
  </si>
  <si>
    <t>ODR00637</t>
  </si>
  <si>
    <t>2025-09-21</t>
  </si>
  <si>
    <t>ODR00638</t>
  </si>
  <si>
    <t>2024-09-19</t>
  </si>
  <si>
    <t>ODR00639</t>
  </si>
  <si>
    <t>ODR00640</t>
  </si>
  <si>
    <t>2025-06-18</t>
  </si>
  <si>
    <t>ODR00641</t>
  </si>
  <si>
    <t>2024-10-06</t>
  </si>
  <si>
    <t>ODR00642</t>
  </si>
  <si>
    <t>2025-03-23</t>
  </si>
  <si>
    <t>ODR00643</t>
  </si>
  <si>
    <t>2026-03-24</t>
  </si>
  <si>
    <t>ODR00644</t>
  </si>
  <si>
    <t>ODR00645</t>
  </si>
  <si>
    <t>2025-09-19</t>
  </si>
  <si>
    <t>ODR00646</t>
  </si>
  <si>
    <t>2026-02-02</t>
  </si>
  <si>
    <t>ODR00647</t>
  </si>
  <si>
    <t>ODR00648</t>
  </si>
  <si>
    <t>ODR00649</t>
  </si>
  <si>
    <t>2024-06-06</t>
  </si>
  <si>
    <t>ODR00650</t>
  </si>
  <si>
    <t>2025-02-20</t>
  </si>
  <si>
    <t>ODR00651</t>
  </si>
  <si>
    <t>ODR00652</t>
  </si>
  <si>
    <t>ODR00653</t>
  </si>
  <si>
    <t>2025-01-17</t>
  </si>
  <si>
    <t>ODR00654</t>
  </si>
  <si>
    <t>ODR00655</t>
  </si>
  <si>
    <t>2024-06-13</t>
  </si>
  <si>
    <t>ODR00656</t>
  </si>
  <si>
    <t>ODR00657</t>
  </si>
  <si>
    <t>2026-02-17</t>
  </si>
  <si>
    <t>ODR00658</t>
  </si>
  <si>
    <t>ODR00659</t>
  </si>
  <si>
    <t>ODR00660</t>
  </si>
  <si>
    <t>ODR00661</t>
  </si>
  <si>
    <t>2025-05-15</t>
  </si>
  <si>
    <t>ODR00662</t>
  </si>
  <si>
    <t>ODR00663</t>
  </si>
  <si>
    <t>2024-06-29</t>
  </si>
  <si>
    <t>ODR00664</t>
  </si>
  <si>
    <t>ODR00665</t>
  </si>
  <si>
    <t>ODR00666</t>
  </si>
  <si>
    <t>2024-12-21</t>
  </si>
  <si>
    <t>ODR00667</t>
  </si>
  <si>
    <t>ODR00668</t>
  </si>
  <si>
    <t>ODR00669</t>
  </si>
  <si>
    <t>2024-05-10</t>
  </si>
  <si>
    <t>ODR00670</t>
  </si>
  <si>
    <t>2024-10-20</t>
  </si>
  <si>
    <t>ODR00671</t>
  </si>
  <si>
    <t>2025-05-02</t>
  </si>
  <si>
    <t>ODR00672</t>
  </si>
  <si>
    <t>ODR00673</t>
  </si>
  <si>
    <t>2026-01-09</t>
  </si>
  <si>
    <t>ODR00674</t>
  </si>
  <si>
    <t>ODR00675</t>
  </si>
  <si>
    <t>ODR00676</t>
  </si>
  <si>
    <t>ODR00677</t>
  </si>
  <si>
    <t>ODR00678</t>
  </si>
  <si>
    <t>ODR00679</t>
  </si>
  <si>
    <t>ODR00680</t>
  </si>
  <si>
    <t>ODR00681</t>
  </si>
  <si>
    <t>2024-08-25</t>
  </si>
  <si>
    <t>ODR00682</t>
  </si>
  <si>
    <t>2024-08-01</t>
  </si>
  <si>
    <t>ODR00683</t>
  </si>
  <si>
    <t>ODR00684</t>
  </si>
  <si>
    <t>2024-04-01</t>
  </si>
  <si>
    <t>ODR00685</t>
  </si>
  <si>
    <t>2024-08-21</t>
  </si>
  <si>
    <t>ODR00686</t>
  </si>
  <si>
    <t>2024-10-05</t>
  </si>
  <si>
    <t>ODR00687</t>
  </si>
  <si>
    <t>ODR00688</t>
  </si>
  <si>
    <t>ODR00689</t>
  </si>
  <si>
    <t>ODR00690</t>
  </si>
  <si>
    <t>ODR00691</t>
  </si>
  <si>
    <t>2025-07-09</t>
  </si>
  <si>
    <t>ODR00692</t>
  </si>
  <si>
    <t>2025-10-05</t>
  </si>
  <si>
    <t>ODR00693</t>
  </si>
  <si>
    <t>ODR00694</t>
  </si>
  <si>
    <t>ODR00695</t>
  </si>
  <si>
    <t>2024-07-20</t>
  </si>
  <si>
    <t>ODR00696</t>
  </si>
  <si>
    <t>2025-05-14</t>
  </si>
  <si>
    <t>ODR00697</t>
  </si>
  <si>
    <t>ODR00698</t>
  </si>
  <si>
    <t>ODR00699</t>
  </si>
  <si>
    <t>ODR00700</t>
  </si>
  <si>
    <t>ODR00701</t>
  </si>
  <si>
    <t>2024-07-06</t>
  </si>
  <si>
    <t>ODR00702</t>
  </si>
  <si>
    <t>ODR00703</t>
  </si>
  <si>
    <t>2025-01-10</t>
  </si>
  <si>
    <t>ODR00704</t>
  </si>
  <si>
    <t>ODR00705</t>
  </si>
  <si>
    <t>2025-10-28</t>
  </si>
  <si>
    <t>ODR00706</t>
  </si>
  <si>
    <t>ODR00707</t>
  </si>
  <si>
    <t>ODR00708</t>
  </si>
  <si>
    <t>2024-04-08</t>
  </si>
  <si>
    <t>ODR00709</t>
  </si>
  <si>
    <t>2024-09-30</t>
  </si>
  <si>
    <t>ODR00710</t>
  </si>
  <si>
    <t>2026-02-12</t>
  </si>
  <si>
    <t>ODR00711</t>
  </si>
  <si>
    <t>2026-01-04</t>
  </si>
  <si>
    <t>ODR00712</t>
  </si>
  <si>
    <t>ODR00713</t>
  </si>
  <si>
    <t>ODR00714</t>
  </si>
  <si>
    <t>ODR00715</t>
  </si>
  <si>
    <t>2024-12-08</t>
  </si>
  <si>
    <t>ODR00716</t>
  </si>
  <si>
    <t>ODR00717</t>
  </si>
  <si>
    <t>2025-06-15</t>
  </si>
  <si>
    <t>ODR00718</t>
  </si>
  <si>
    <t>ODR00719</t>
  </si>
  <si>
    <t>ODR00720</t>
  </si>
  <si>
    <t>ODR00721</t>
  </si>
  <si>
    <t>ODR00722</t>
  </si>
  <si>
    <t>ODR00723</t>
  </si>
  <si>
    <t>ODR00724</t>
  </si>
  <si>
    <t>ODR00725</t>
  </si>
  <si>
    <t>ODR00726</t>
  </si>
  <si>
    <t>2025-08-19</t>
  </si>
  <si>
    <t>ODR00727</t>
  </si>
  <si>
    <t>2024-06-17</t>
  </si>
  <si>
    <t>ODR00728</t>
  </si>
  <si>
    <t>ODR00729</t>
  </si>
  <si>
    <t>ODR00730</t>
  </si>
  <si>
    <t>ODR00731</t>
  </si>
  <si>
    <t>ODR00732</t>
  </si>
  <si>
    <t>ODR00733</t>
  </si>
  <si>
    <t>2024-09-18</t>
  </si>
  <si>
    <t>ODR00734</t>
  </si>
  <si>
    <t>ODR00735</t>
  </si>
  <si>
    <t>2024-09-24</t>
  </si>
  <si>
    <t>ODR00736</t>
  </si>
  <si>
    <t>ODR00737</t>
  </si>
  <si>
    <t>ODR00738</t>
  </si>
  <si>
    <t>ODR00739</t>
  </si>
  <si>
    <t>ODR00740</t>
  </si>
  <si>
    <t>ODR00741</t>
  </si>
  <si>
    <t>2025-09-20</t>
  </si>
  <si>
    <t>ODR00742</t>
  </si>
  <si>
    <t>ODR00743</t>
  </si>
  <si>
    <t>ODR00744</t>
  </si>
  <si>
    <t>ODR00745</t>
  </si>
  <si>
    <t>ODR00746</t>
  </si>
  <si>
    <t>ODR00747</t>
  </si>
  <si>
    <t>ODR00748</t>
  </si>
  <si>
    <t>2025-09-29</t>
  </si>
  <si>
    <t>ODR00749</t>
  </si>
  <si>
    <t>ODR00750</t>
  </si>
  <si>
    <t>ODR00751</t>
  </si>
  <si>
    <t>2024-10-14</t>
  </si>
  <si>
    <t>ODR00752</t>
  </si>
  <si>
    <t>ODR00753</t>
  </si>
  <si>
    <t>ODR00754</t>
  </si>
  <si>
    <t>ODR00755</t>
  </si>
  <si>
    <t>ODR00756</t>
  </si>
  <si>
    <t>2025-02-09</t>
  </si>
  <si>
    <t>ODR00757</t>
  </si>
  <si>
    <t>2025-11-05</t>
  </si>
  <si>
    <t>ODR00758</t>
  </si>
  <si>
    <t>ODR00759</t>
  </si>
  <si>
    <t>ODR00760</t>
  </si>
  <si>
    <t>2026-03-13</t>
  </si>
  <si>
    <t>ODR00761</t>
  </si>
  <si>
    <t>ODR00762</t>
  </si>
  <si>
    <t>ODR00763</t>
  </si>
  <si>
    <t>ODR00764</t>
  </si>
  <si>
    <t>2024-08-30</t>
  </si>
  <si>
    <t>ODR00765</t>
  </si>
  <si>
    <t>ODR00766</t>
  </si>
  <si>
    <t>ODR00767</t>
  </si>
  <si>
    <t>2024-07-01</t>
  </si>
  <si>
    <t>ODR00768</t>
  </si>
  <si>
    <t>ODR00769</t>
  </si>
  <si>
    <t>ODR00770</t>
  </si>
  <si>
    <t>ODR00771</t>
  </si>
  <si>
    <t>2025-12-27</t>
  </si>
  <si>
    <t>ODR00772</t>
  </si>
  <si>
    <t>2025-01-30</t>
  </si>
  <si>
    <t>ODR00773</t>
  </si>
  <si>
    <t>ODR00774</t>
  </si>
  <si>
    <t>2026-02-03</t>
  </si>
  <si>
    <t>ODR00775</t>
  </si>
  <si>
    <t>ODR00776</t>
  </si>
  <si>
    <t>2026-03-17</t>
  </si>
  <si>
    <t>ODR00777</t>
  </si>
  <si>
    <t>ODR00778</t>
  </si>
  <si>
    <t>ODR00779</t>
  </si>
  <si>
    <t>2026-02-07</t>
  </si>
  <si>
    <t>ODR00780</t>
  </si>
  <si>
    <t>ODR00781</t>
  </si>
  <si>
    <t>ODR00782</t>
  </si>
  <si>
    <t>ODR00783</t>
  </si>
  <si>
    <t>ODR00784</t>
  </si>
  <si>
    <t>ODR00785</t>
  </si>
  <si>
    <t>ODR00786</t>
  </si>
  <si>
    <t>ODR00787</t>
  </si>
  <si>
    <t>ODR00788</t>
  </si>
  <si>
    <t>ODR00789</t>
  </si>
  <si>
    <t>2025-09-08</t>
  </si>
  <si>
    <t>ODR00790</t>
  </si>
  <si>
    <t>ODR00791</t>
  </si>
  <si>
    <t>2025-07-15</t>
  </si>
  <si>
    <t>ODR00792</t>
  </si>
  <si>
    <t>2024-04-25</t>
  </si>
  <si>
    <t>ODR00793</t>
  </si>
  <si>
    <t>ODR00794</t>
  </si>
  <si>
    <t>ODR00795</t>
  </si>
  <si>
    <t>ODR00796</t>
  </si>
  <si>
    <t>ODR00797</t>
  </si>
  <si>
    <t>ODR00798</t>
  </si>
  <si>
    <t>2025-07-21</t>
  </si>
  <si>
    <t>ODR00799</t>
  </si>
  <si>
    <t>ODR00800</t>
  </si>
  <si>
    <t>ODR00801</t>
  </si>
  <si>
    <t>ODR00802</t>
  </si>
  <si>
    <t>2026-01-19</t>
  </si>
  <si>
    <t>ODR00803</t>
  </si>
  <si>
    <t>ODR00804</t>
  </si>
  <si>
    <t>2024-05-13</t>
  </si>
  <si>
    <t>ODR00805</t>
  </si>
  <si>
    <t>ODR00806</t>
  </si>
  <si>
    <t>ODR00807</t>
  </si>
  <si>
    <t>2024-12-18</t>
  </si>
  <si>
    <t>ODR00808</t>
  </si>
  <si>
    <t>2026-03-23</t>
  </si>
  <si>
    <t>ODR00809</t>
  </si>
  <si>
    <t>ODR00810</t>
  </si>
  <si>
    <t>ODR00811</t>
  </si>
  <si>
    <t>2024-12-01</t>
  </si>
  <si>
    <t>ODR00812</t>
  </si>
  <si>
    <t>2024-04-21</t>
  </si>
  <si>
    <t>ODR00813</t>
  </si>
  <si>
    <t>ODR00814</t>
  </si>
  <si>
    <t>2024-05-09</t>
  </si>
  <si>
    <t>ODR00815</t>
  </si>
  <si>
    <t>ODR00816</t>
  </si>
  <si>
    <t>2025-05-26</t>
  </si>
  <si>
    <t>ODR00817</t>
  </si>
  <si>
    <t>ODR00818</t>
  </si>
  <si>
    <t>ODR00819</t>
  </si>
  <si>
    <t>2026-02-11</t>
  </si>
  <si>
    <t>ODR00820</t>
  </si>
  <si>
    <t>ODR00821</t>
  </si>
  <si>
    <t>ODR00822</t>
  </si>
  <si>
    <t>ODR00823</t>
  </si>
  <si>
    <t>ODR00824</t>
  </si>
  <si>
    <t>2025-08-17</t>
  </si>
  <si>
    <t>ODR00825</t>
  </si>
  <si>
    <t>ODR00826</t>
  </si>
  <si>
    <t>ODR00827</t>
  </si>
  <si>
    <t>ODR00828</t>
  </si>
  <si>
    <t>2024-09-26</t>
  </si>
  <si>
    <t>ODR00829</t>
  </si>
  <si>
    <t>ODR00830</t>
  </si>
  <si>
    <t>2026-03-21</t>
  </si>
  <si>
    <t>ODR00831</t>
  </si>
  <si>
    <t>ODR00832</t>
  </si>
  <si>
    <t>ODR00833</t>
  </si>
  <si>
    <t>ODR00834</t>
  </si>
  <si>
    <t>ODR00835</t>
  </si>
  <si>
    <t>ODR00836</t>
  </si>
  <si>
    <t>ODR00837</t>
  </si>
  <si>
    <t>ODR00838</t>
  </si>
  <si>
    <t>ODR00839</t>
  </si>
  <si>
    <t>2025-06-12</t>
  </si>
  <si>
    <t>ODR00840</t>
  </si>
  <si>
    <t>ODR00841</t>
  </si>
  <si>
    <t>2026-01-22</t>
  </si>
  <si>
    <t>ODR00842</t>
  </si>
  <si>
    <t>ODR00843</t>
  </si>
  <si>
    <t>ODR00844</t>
  </si>
  <si>
    <t>2026-03-04</t>
  </si>
  <si>
    <t>ODR00845</t>
  </si>
  <si>
    <t>ODR00846</t>
  </si>
  <si>
    <t>2026-01-07</t>
  </si>
  <si>
    <t>ODR00847</t>
  </si>
  <si>
    <t>ODR00848</t>
  </si>
  <si>
    <t>2024-08-28</t>
  </si>
  <si>
    <t>ODR00849</t>
  </si>
  <si>
    <t>ODR00850</t>
  </si>
  <si>
    <t>ODR00851</t>
  </si>
  <si>
    <t>ODR00852</t>
  </si>
  <si>
    <t>ODR00853</t>
  </si>
  <si>
    <t>ODR00854</t>
  </si>
  <si>
    <t>ODR00855</t>
  </si>
  <si>
    <t>ODR00856</t>
  </si>
  <si>
    <t>ODR00857</t>
  </si>
  <si>
    <t>2025-02-11</t>
  </si>
  <si>
    <t>ODR00858</t>
  </si>
  <si>
    <t>ODR00859</t>
  </si>
  <si>
    <t>2025-08-27</t>
  </si>
  <si>
    <t>ODR00860</t>
  </si>
  <si>
    <t>ODR00861</t>
  </si>
  <si>
    <t>ODR00862</t>
  </si>
  <si>
    <t>2025-01-21</t>
  </si>
  <si>
    <t>ODR00863</t>
  </si>
  <si>
    <t>ODR00864</t>
  </si>
  <si>
    <t>ODR00865</t>
  </si>
  <si>
    <t>ODR00866</t>
  </si>
  <si>
    <t>ODR00867</t>
  </si>
  <si>
    <t>ODR00868</t>
  </si>
  <si>
    <t>ODR00869</t>
  </si>
  <si>
    <t>2024-05-29</t>
  </si>
  <si>
    <t>ODR00870</t>
  </si>
  <si>
    <t>ODR00871</t>
  </si>
  <si>
    <t>2025-10-20</t>
  </si>
  <si>
    <t>ODR00872</t>
  </si>
  <si>
    <t>ODR00873</t>
  </si>
  <si>
    <t>ODR00874</t>
  </si>
  <si>
    <t>ODR00875</t>
  </si>
  <si>
    <t>2025-09-12</t>
  </si>
  <si>
    <t>ODR00876</t>
  </si>
  <si>
    <t>ODR00877</t>
  </si>
  <si>
    <t>ODR00878</t>
  </si>
  <si>
    <t>2025-11-03</t>
  </si>
  <si>
    <t>ODR00879</t>
  </si>
  <si>
    <t>ODR00880</t>
  </si>
  <si>
    <t>ODR00881</t>
  </si>
  <si>
    <t>2025-03-13</t>
  </si>
  <si>
    <t>ODR00882</t>
  </si>
  <si>
    <t>2024-07-24</t>
  </si>
  <si>
    <t>ODR00883</t>
  </si>
  <si>
    <t>ODR00884</t>
  </si>
  <si>
    <t>ODR00885</t>
  </si>
  <si>
    <t>2024-08-13</t>
  </si>
  <si>
    <t>ODR00886</t>
  </si>
  <si>
    <t>ODR00887</t>
  </si>
  <si>
    <t>ODR00888</t>
  </si>
  <si>
    <t>ODR00889</t>
  </si>
  <si>
    <t>2024-08-09</t>
  </si>
  <si>
    <t>ODR00890</t>
  </si>
  <si>
    <t>ODR00891</t>
  </si>
  <si>
    <t>ODR00892</t>
  </si>
  <si>
    <t>2024-09-11</t>
  </si>
  <si>
    <t>ODR00893</t>
  </si>
  <si>
    <t>2025-08-13</t>
  </si>
  <si>
    <t>ODR00894</t>
  </si>
  <si>
    <t>ODR00895</t>
  </si>
  <si>
    <t>ODR00896</t>
  </si>
  <si>
    <t>ODR00897</t>
  </si>
  <si>
    <t>ODR00898</t>
  </si>
  <si>
    <t>2024-05-05</t>
  </si>
  <si>
    <t>ODR00899</t>
  </si>
  <si>
    <t>ODR00900</t>
  </si>
  <si>
    <t>ODR00901</t>
  </si>
  <si>
    <t>2025-01-19</t>
  </si>
  <si>
    <t>ODR00902</t>
  </si>
  <si>
    <t>2025-01-27</t>
  </si>
  <si>
    <t>ODR00903</t>
  </si>
  <si>
    <t>2024-08-11</t>
  </si>
  <si>
    <t>ODR00904</t>
  </si>
  <si>
    <t>2025-09-06</t>
  </si>
  <si>
    <t>ODR00905</t>
  </si>
  <si>
    <t>ODR00906</t>
  </si>
  <si>
    <t>ODR00907</t>
  </si>
  <si>
    <t>ODR00908</t>
  </si>
  <si>
    <t>2024-11-30</t>
  </si>
  <si>
    <t>ODR00909</t>
  </si>
  <si>
    <t>ODR00910</t>
  </si>
  <si>
    <t>2025-05-31</t>
  </si>
  <si>
    <t>ODR00911</t>
  </si>
  <si>
    <t>ODR00912</t>
  </si>
  <si>
    <t>2025-09-09</t>
  </si>
  <si>
    <t>ODR00913</t>
  </si>
  <si>
    <t>ODR00914</t>
  </si>
  <si>
    <t>ODR00915</t>
  </si>
  <si>
    <t>ODR00916</t>
  </si>
  <si>
    <t>ODR00917</t>
  </si>
  <si>
    <t>2024-11-03</t>
  </si>
  <si>
    <t>ODR00918</t>
  </si>
  <si>
    <t>ODR00919</t>
  </si>
  <si>
    <t>ODR00920</t>
  </si>
  <si>
    <t>2026-01-01</t>
  </si>
  <si>
    <t>ODR00921</t>
  </si>
  <si>
    <t>2025-06-03</t>
  </si>
  <si>
    <t>ODR00922</t>
  </si>
  <si>
    <t>ODR00923</t>
  </si>
  <si>
    <t>2024-08-24</t>
  </si>
  <si>
    <t>ODR00924</t>
  </si>
  <si>
    <t>ODR00925</t>
  </si>
  <si>
    <t>ODR00926</t>
  </si>
  <si>
    <t>ODR00927</t>
  </si>
  <si>
    <t>2025-05-17</t>
  </si>
  <si>
    <t>ODR00928</t>
  </si>
  <si>
    <t>ODR00929</t>
  </si>
  <si>
    <t>ODR00930</t>
  </si>
  <si>
    <t>ODR00931</t>
  </si>
  <si>
    <t>ODR00932</t>
  </si>
  <si>
    <t>2025-04-11</t>
  </si>
  <si>
    <t>ODR00933</t>
  </si>
  <si>
    <t>2025-08-26</t>
  </si>
  <si>
    <t>ODR00934</t>
  </si>
  <si>
    <t>2025-09-22</t>
  </si>
  <si>
    <t>ODR00935</t>
  </si>
  <si>
    <t>ODR00936</t>
  </si>
  <si>
    <t>ODR00937</t>
  </si>
  <si>
    <t>2025-09-17</t>
  </si>
  <si>
    <t>ODR00938</t>
  </si>
  <si>
    <t>2025-10-01</t>
  </si>
  <si>
    <t>ODR00939</t>
  </si>
  <si>
    <t>ODR00940</t>
  </si>
  <si>
    <t>ODR00941</t>
  </si>
  <si>
    <t>ODR00942</t>
  </si>
  <si>
    <t>ODR00943</t>
  </si>
  <si>
    <t>ODR00944</t>
  </si>
  <si>
    <t>ODR00945</t>
  </si>
  <si>
    <t>2024-12-17</t>
  </si>
  <si>
    <t>ODR00946</t>
  </si>
  <si>
    <t>ODR00947</t>
  </si>
  <si>
    <t>2025-12-15</t>
  </si>
  <si>
    <t>ODR00948</t>
  </si>
  <si>
    <t>ODR00949</t>
  </si>
  <si>
    <t>ODR00950</t>
  </si>
  <si>
    <t>ODR00951</t>
  </si>
  <si>
    <t>2025-12-20</t>
  </si>
  <si>
    <t>ODR00952</t>
  </si>
  <si>
    <t>2024-10-12</t>
  </si>
  <si>
    <t>ODR00953</t>
  </si>
  <si>
    <t>ODR00954</t>
  </si>
  <si>
    <t>2025-11-27</t>
  </si>
  <si>
    <t>ODR00955</t>
  </si>
  <si>
    <t>ODR00956</t>
  </si>
  <si>
    <t>2024-06-21</t>
  </si>
  <si>
    <t>ODR00957</t>
  </si>
  <si>
    <t>ODR00958</t>
  </si>
  <si>
    <t>ODR00959</t>
  </si>
  <si>
    <t>ODR00960</t>
  </si>
  <si>
    <t>ODR00961</t>
  </si>
  <si>
    <t>ODR00962</t>
  </si>
  <si>
    <t>ODR00963</t>
  </si>
  <si>
    <t>ODR00964</t>
  </si>
  <si>
    <t>ODR00965</t>
  </si>
  <si>
    <t>ODR00966</t>
  </si>
  <si>
    <t>ODR00967</t>
  </si>
  <si>
    <t>ODR00968</t>
  </si>
  <si>
    <t>ODR00969</t>
  </si>
  <si>
    <t>ODR00970</t>
  </si>
  <si>
    <t>ODR00971</t>
  </si>
  <si>
    <t>2026-02-21</t>
  </si>
  <si>
    <t>ODR00972</t>
  </si>
  <si>
    <t>ODR00973</t>
  </si>
  <si>
    <t>2024-11-07</t>
  </si>
  <si>
    <t>ODR00974</t>
  </si>
  <si>
    <t>ODR00975</t>
  </si>
  <si>
    <t>2025-10-15</t>
  </si>
  <si>
    <t>ODR00976</t>
  </si>
  <si>
    <t>ODR00977</t>
  </si>
  <si>
    <t>ODR00978</t>
  </si>
  <si>
    <t>2025-03-27</t>
  </si>
  <si>
    <t>ODR00979</t>
  </si>
  <si>
    <t>2025-01-09</t>
  </si>
  <si>
    <t>ODR00980</t>
  </si>
  <si>
    <t>ODR00981</t>
  </si>
  <si>
    <t>ODR00982</t>
  </si>
  <si>
    <t>ODR00983</t>
  </si>
  <si>
    <t>2024-06-11</t>
  </si>
  <si>
    <t>ODR00984</t>
  </si>
  <si>
    <t>2024-10-03</t>
  </si>
  <si>
    <t>ODR00985</t>
  </si>
  <si>
    <t>ODR00986</t>
  </si>
  <si>
    <t>ODR00987</t>
  </si>
  <si>
    <t>2026-01-14</t>
  </si>
  <si>
    <t>ODR00988</t>
  </si>
  <si>
    <t>ODR00989</t>
  </si>
  <si>
    <t>ODR00990</t>
  </si>
  <si>
    <t>ODR00991</t>
  </si>
  <si>
    <t>ODR00992</t>
  </si>
  <si>
    <t>ODR00993</t>
  </si>
  <si>
    <t>ODR00994</t>
  </si>
  <si>
    <t>ODR00995</t>
  </si>
  <si>
    <t>ODR00996</t>
  </si>
  <si>
    <t>ODR00997</t>
  </si>
  <si>
    <t>2025-03-20</t>
  </si>
  <si>
    <t>ODR00998</t>
  </si>
  <si>
    <t>ODR00999</t>
  </si>
  <si>
    <t>ODR01000</t>
  </si>
  <si>
    <t>ODR01001</t>
  </si>
  <si>
    <t>ODR01002</t>
  </si>
  <si>
    <t>2025-09-18</t>
  </si>
  <si>
    <t>ODR01003</t>
  </si>
  <si>
    <t>ODR01004</t>
  </si>
  <si>
    <t>ODR01005</t>
  </si>
  <si>
    <t>ODR01006</t>
  </si>
  <si>
    <t>ODR01007</t>
  </si>
  <si>
    <t>ODR01008</t>
  </si>
  <si>
    <t>2024-07-31</t>
  </si>
  <si>
    <t>ODR01009</t>
  </si>
  <si>
    <t>2025-05-29</t>
  </si>
  <si>
    <t>ODR01010</t>
  </si>
  <si>
    <t>ODR01011</t>
  </si>
  <si>
    <t>ODR01012</t>
  </si>
  <si>
    <t>2025-02-26</t>
  </si>
  <si>
    <t>ODR01013</t>
  </si>
  <si>
    <t>ODR01014</t>
  </si>
  <si>
    <t>ODR01015</t>
  </si>
  <si>
    <t>ODR01016</t>
  </si>
  <si>
    <t>ODR01017</t>
  </si>
  <si>
    <t>2025-03-12</t>
  </si>
  <si>
    <t>ODR01018</t>
  </si>
  <si>
    <t>ODR01019</t>
  </si>
  <si>
    <t>ODR01020</t>
  </si>
  <si>
    <t>2024-10-19</t>
  </si>
  <si>
    <t>ODR01021</t>
  </si>
  <si>
    <t>ODR01022</t>
  </si>
  <si>
    <t>ODR01023</t>
  </si>
  <si>
    <t>ODR01024</t>
  </si>
  <si>
    <t>ODR01025</t>
  </si>
  <si>
    <t>2024-06-02</t>
  </si>
  <si>
    <t>ODR01026</t>
  </si>
  <si>
    <t>ODR01027</t>
  </si>
  <si>
    <t>ODR01028</t>
  </si>
  <si>
    <t>ODR01029</t>
  </si>
  <si>
    <t>ODR01030</t>
  </si>
  <si>
    <t>ODR01031</t>
  </si>
  <si>
    <t>ODR01032</t>
  </si>
  <si>
    <t>2025-11-21</t>
  </si>
  <si>
    <t>ODR01033</t>
  </si>
  <si>
    <t>ODR01034</t>
  </si>
  <si>
    <t>ODR01035</t>
  </si>
  <si>
    <t>2024-05-31</t>
  </si>
  <si>
    <t>ODR01036</t>
  </si>
  <si>
    <t>2024-04-17</t>
  </si>
  <si>
    <t>ODR01037</t>
  </si>
  <si>
    <t>2024-04-18</t>
  </si>
  <si>
    <t>ODR01038</t>
  </si>
  <si>
    <t>ODR01039</t>
  </si>
  <si>
    <t>ODR01040</t>
  </si>
  <si>
    <t>ODR01041</t>
  </si>
  <si>
    <t>2024-07-08</t>
  </si>
  <si>
    <t>ODR01042</t>
  </si>
  <si>
    <t>ODR01043</t>
  </si>
  <si>
    <t>ODR01044</t>
  </si>
  <si>
    <t>ODR01045</t>
  </si>
  <si>
    <t>ODR01046</t>
  </si>
  <si>
    <t>2026-01-15</t>
  </si>
  <si>
    <t>ODR01047</t>
  </si>
  <si>
    <t>ODR01048</t>
  </si>
  <si>
    <t>ODR01049</t>
  </si>
  <si>
    <t>2025-07-05</t>
  </si>
  <si>
    <t>ODR01050</t>
  </si>
  <si>
    <t>ODR01051</t>
  </si>
  <si>
    <t>ODR01052</t>
  </si>
  <si>
    <t>2024-09-17</t>
  </si>
  <si>
    <t>ODR01053</t>
  </si>
  <si>
    <t>ODR01054</t>
  </si>
  <si>
    <t>ODR01055</t>
  </si>
  <si>
    <t>ODR01056</t>
  </si>
  <si>
    <t>ODR01057</t>
  </si>
  <si>
    <t>ODR01058</t>
  </si>
  <si>
    <t>ODR01059</t>
  </si>
  <si>
    <t>2024-05-16</t>
  </si>
  <si>
    <t>ODR01060</t>
  </si>
  <si>
    <t>ODR01061</t>
  </si>
  <si>
    <t>2026-02-16</t>
  </si>
  <si>
    <t>ODR01062</t>
  </si>
  <si>
    <t>ODR01063</t>
  </si>
  <si>
    <t>ODR01064</t>
  </si>
  <si>
    <t>ODR01065</t>
  </si>
  <si>
    <t>2025-12-14</t>
  </si>
  <si>
    <t>ODR01066</t>
  </si>
  <si>
    <t>2024-10-04</t>
  </si>
  <si>
    <t>ODR01067</t>
  </si>
  <si>
    <t>ODR01068</t>
  </si>
  <si>
    <t>2024-05-25</t>
  </si>
  <si>
    <t>ODR01069</t>
  </si>
  <si>
    <t>ODR01070</t>
  </si>
  <si>
    <t>ODR01071</t>
  </si>
  <si>
    <t>ODR01072</t>
  </si>
  <si>
    <t>ODR01073</t>
  </si>
  <si>
    <t>ODR01074</t>
  </si>
  <si>
    <t>ODR01075</t>
  </si>
  <si>
    <t>ODR01076</t>
  </si>
  <si>
    <t>ODR01077</t>
  </si>
  <si>
    <t>ODR01078</t>
  </si>
  <si>
    <t>ODR01079</t>
  </si>
  <si>
    <t>ODR01080</t>
  </si>
  <si>
    <t>ODR01081</t>
  </si>
  <si>
    <t>ODR01082</t>
  </si>
  <si>
    <t>ODR01083</t>
  </si>
  <si>
    <t>ODR01084</t>
  </si>
  <si>
    <t>ODR01085</t>
  </si>
  <si>
    <t>ODR01086</t>
  </si>
  <si>
    <t>2026-03-26</t>
  </si>
  <si>
    <t>ODR01087</t>
  </si>
  <si>
    <t>2025-09-27</t>
  </si>
  <si>
    <t>ODR01088</t>
  </si>
  <si>
    <t>ODR01089</t>
  </si>
  <si>
    <t>2025-02-01</t>
  </si>
  <si>
    <t>ODR01090</t>
  </si>
  <si>
    <t>ODR01091</t>
  </si>
  <si>
    <t>2025-10-18</t>
  </si>
  <si>
    <t>ODR01092</t>
  </si>
  <si>
    <t>ODR01093</t>
  </si>
  <si>
    <t>2025-01-13</t>
  </si>
  <si>
    <t>ODR01094</t>
  </si>
  <si>
    <t>ODR01095</t>
  </si>
  <si>
    <t>ODR01096</t>
  </si>
  <si>
    <t>ODR01097</t>
  </si>
  <si>
    <t>ODR01098</t>
  </si>
  <si>
    <t>ODR01099</t>
  </si>
  <si>
    <t>ODR01100</t>
  </si>
  <si>
    <t>ODR01101</t>
  </si>
  <si>
    <t>ODR01102</t>
  </si>
  <si>
    <t>ODR01103</t>
  </si>
  <si>
    <t>ODR01104</t>
  </si>
  <si>
    <t>2024-09-10</t>
  </si>
  <si>
    <t>ODR01105</t>
  </si>
  <si>
    <t>ODR01106</t>
  </si>
  <si>
    <t>ODR01107</t>
  </si>
  <si>
    <t>ODR01108</t>
  </si>
  <si>
    <t>ODR01109</t>
  </si>
  <si>
    <t>2024-07-22</t>
  </si>
  <si>
    <t>ODR01110</t>
  </si>
  <si>
    <t>ODR01111</t>
  </si>
  <si>
    <t>ODR01112</t>
  </si>
  <si>
    <t>ODR01113</t>
  </si>
  <si>
    <t>ODR01114</t>
  </si>
  <si>
    <t>ODR01115</t>
  </si>
  <si>
    <t>ODR01116</t>
  </si>
  <si>
    <t>ODR01117</t>
  </si>
  <si>
    <t>ODR01118</t>
  </si>
  <si>
    <t>ODR01119</t>
  </si>
  <si>
    <t>ODR01120</t>
  </si>
  <si>
    <t>ODR01121</t>
  </si>
  <si>
    <t>ODR01122</t>
  </si>
  <si>
    <t>2025-02-16</t>
  </si>
  <si>
    <t>ODR01123</t>
  </si>
  <si>
    <t>ODR01124</t>
  </si>
  <si>
    <t>ODR01125</t>
  </si>
  <si>
    <t>ODR01126</t>
  </si>
  <si>
    <t>ODR01127</t>
  </si>
  <si>
    <t>ODR01128</t>
  </si>
  <si>
    <t>ODR01129</t>
  </si>
  <si>
    <t>ODR01130</t>
  </si>
  <si>
    <t>ODR01131</t>
  </si>
  <si>
    <t>ODR01132</t>
  </si>
  <si>
    <t>ODR01133</t>
  </si>
  <si>
    <t>ODR01134</t>
  </si>
  <si>
    <t>2025-09-03</t>
  </si>
  <si>
    <t>ODR01135</t>
  </si>
  <si>
    <t>ODR01136</t>
  </si>
  <si>
    <t>ODR01137</t>
  </si>
  <si>
    <t>ODR01138</t>
  </si>
  <si>
    <t>2024-04-06</t>
  </si>
  <si>
    <t>ODR01139</t>
  </si>
  <si>
    <t>2024-09-07</t>
  </si>
  <si>
    <t>ODR01140</t>
  </si>
  <si>
    <t>ODR01141</t>
  </si>
  <si>
    <t>ODR01142</t>
  </si>
  <si>
    <t>2024-11-15</t>
  </si>
  <si>
    <t>ODR01143</t>
  </si>
  <si>
    <t>ODR01144</t>
  </si>
  <si>
    <t>2024-04-15</t>
  </si>
  <si>
    <t>ODR01145</t>
  </si>
  <si>
    <t>ODR01146</t>
  </si>
  <si>
    <t>2026-03-25</t>
  </si>
  <si>
    <t>ODR01147</t>
  </si>
  <si>
    <t>ODR01148</t>
  </si>
  <si>
    <t>ODR01149</t>
  </si>
  <si>
    <t>ODR01150</t>
  </si>
  <si>
    <t>ODR01151</t>
  </si>
  <si>
    <t>ODR01152</t>
  </si>
  <si>
    <t>ODR01153</t>
  </si>
  <si>
    <t>ODR01154</t>
  </si>
  <si>
    <t>ODR01155</t>
  </si>
  <si>
    <t>2024-10-24</t>
  </si>
  <si>
    <t>ODR01156</t>
  </si>
  <si>
    <t>ODR01157</t>
  </si>
  <si>
    <t>2025-03-03</t>
  </si>
  <si>
    <t>ODR01158</t>
  </si>
  <si>
    <t>ODR01159</t>
  </si>
  <si>
    <t>ODR01160</t>
  </si>
  <si>
    <t>ODR01161</t>
  </si>
  <si>
    <t>ODR01162</t>
  </si>
  <si>
    <t>ODR01163</t>
  </si>
  <si>
    <t>ODR01164</t>
  </si>
  <si>
    <t>ODR01165</t>
  </si>
  <si>
    <t>ODR01166</t>
  </si>
  <si>
    <t>ODR01167</t>
  </si>
  <si>
    <t>ODR01168</t>
  </si>
  <si>
    <t>2024-07-10</t>
  </si>
  <si>
    <t>ODR01169</t>
  </si>
  <si>
    <t>ODR01170</t>
  </si>
  <si>
    <t>ODR01171</t>
  </si>
  <si>
    <t>ODR01172</t>
  </si>
  <si>
    <t>ODR01173</t>
  </si>
  <si>
    <t>2024-11-23</t>
  </si>
  <si>
    <t>ODR01174</t>
  </si>
  <si>
    <t>ODR01175</t>
  </si>
  <si>
    <t>2025-03-04</t>
  </si>
  <si>
    <t>ODR01176</t>
  </si>
  <si>
    <t>ODR01177</t>
  </si>
  <si>
    <t>2024-09-27</t>
  </si>
  <si>
    <t>ODR01178</t>
  </si>
  <si>
    <t>ODR01179</t>
  </si>
  <si>
    <t>2025-05-30</t>
  </si>
  <si>
    <t>ODR01180</t>
  </si>
  <si>
    <t>ODR01181</t>
  </si>
  <si>
    <t>2026-01-20</t>
  </si>
  <si>
    <t>ODR01182</t>
  </si>
  <si>
    <t>2024-04-19</t>
  </si>
  <si>
    <t>ODR01183</t>
  </si>
  <si>
    <t>ODR01184</t>
  </si>
  <si>
    <t>ODR01185</t>
  </si>
  <si>
    <t>ODR01186</t>
  </si>
  <si>
    <t>ODR01187</t>
  </si>
  <si>
    <t>ODR01188</t>
  </si>
  <si>
    <t>ODR01189</t>
  </si>
  <si>
    <t>ODR01190</t>
  </si>
  <si>
    <t>ODR01191</t>
  </si>
  <si>
    <t>ODR01192</t>
  </si>
  <si>
    <t>ODR01193</t>
  </si>
  <si>
    <t>ODR01194</t>
  </si>
  <si>
    <t>ODR01195</t>
  </si>
  <si>
    <t>ODR01196</t>
  </si>
  <si>
    <t>2024-12-25</t>
  </si>
  <si>
    <t>ODR01197</t>
  </si>
  <si>
    <t>ODR01198</t>
  </si>
  <si>
    <t>ODR01199</t>
  </si>
  <si>
    <t>ODR01200</t>
  </si>
  <si>
    <t>ODR01201</t>
  </si>
  <si>
    <t>ODR01202</t>
  </si>
  <si>
    <t>ODR01203</t>
  </si>
  <si>
    <t>2025-10-04</t>
  </si>
  <si>
    <t>ODR01204</t>
  </si>
  <si>
    <t>ODR01205</t>
  </si>
  <si>
    <t>ODR01206</t>
  </si>
  <si>
    <t>ODR01207</t>
  </si>
  <si>
    <t>ODR01208</t>
  </si>
  <si>
    <t>2024-10-15</t>
  </si>
  <si>
    <t>ODR01209</t>
  </si>
  <si>
    <t>2025-07-18</t>
  </si>
  <si>
    <t>ODR01210</t>
  </si>
  <si>
    <t>ODR01211</t>
  </si>
  <si>
    <t>ODR01212</t>
  </si>
  <si>
    <t>ODR01213</t>
  </si>
  <si>
    <t>ODR01214</t>
  </si>
  <si>
    <t>ODR01215</t>
  </si>
  <si>
    <t>ODR01216</t>
  </si>
  <si>
    <t>ODR01217</t>
  </si>
  <si>
    <t>ODR01218</t>
  </si>
  <si>
    <t>ODR01219</t>
  </si>
  <si>
    <t>ODR01220</t>
  </si>
  <si>
    <t>ODR01221</t>
  </si>
  <si>
    <t>ODR01222</t>
  </si>
  <si>
    <t>ODR01223</t>
  </si>
  <si>
    <t>ODR01224</t>
  </si>
  <si>
    <t>ODR01225</t>
  </si>
  <si>
    <t>ODR01226</t>
  </si>
  <si>
    <t>ODR01227</t>
  </si>
  <si>
    <t>ODR01228</t>
  </si>
  <si>
    <t>ODR01229</t>
  </si>
  <si>
    <t>ODR01230</t>
  </si>
  <si>
    <t>ODR01231</t>
  </si>
  <si>
    <t>ODR01232</t>
  </si>
  <si>
    <t>ODR01233</t>
  </si>
  <si>
    <t>ODR01234</t>
  </si>
  <si>
    <t>2025-09-14</t>
  </si>
  <si>
    <t>ODR01235</t>
  </si>
  <si>
    <t>ODR01236</t>
  </si>
  <si>
    <t>2024-11-29</t>
  </si>
  <si>
    <t>ODR01237</t>
  </si>
  <si>
    <t>ODR01238</t>
  </si>
  <si>
    <t>ODR01239</t>
  </si>
  <si>
    <t>ODR01240</t>
  </si>
  <si>
    <t>ODR01241</t>
  </si>
  <si>
    <t>ODR01242</t>
  </si>
  <si>
    <t>2025-04-26</t>
  </si>
  <si>
    <t>ODR01243</t>
  </si>
  <si>
    <t>ODR01244</t>
  </si>
  <si>
    <t>ODR01245</t>
  </si>
  <si>
    <t>ODR01246</t>
  </si>
  <si>
    <t>ODR01247</t>
  </si>
  <si>
    <t>2025-01-25</t>
  </si>
  <si>
    <t>ODR01248</t>
  </si>
  <si>
    <t>ODR01249</t>
  </si>
  <si>
    <t>ODR01250</t>
  </si>
  <si>
    <t>ODR01251</t>
  </si>
  <si>
    <t>2024-08-03</t>
  </si>
  <si>
    <t>ODR01252</t>
  </si>
  <si>
    <t>2024-10-07</t>
  </si>
  <si>
    <t>ODR01253</t>
  </si>
  <si>
    <t>2025-07-01</t>
  </si>
  <si>
    <t>ODR01254</t>
  </si>
  <si>
    <t>ODR01255</t>
  </si>
  <si>
    <t>ODR01256</t>
  </si>
  <si>
    <t>ODR01257</t>
  </si>
  <si>
    <t>ODR01258</t>
  </si>
  <si>
    <t>ODR01259</t>
  </si>
  <si>
    <t>ODR01260</t>
  </si>
  <si>
    <t>ODR01261</t>
  </si>
  <si>
    <t>ODR01262</t>
  </si>
  <si>
    <t>ODR01263</t>
  </si>
  <si>
    <t>ODR01264</t>
  </si>
  <si>
    <t>ODR01265</t>
  </si>
  <si>
    <t>ODR01266</t>
  </si>
  <si>
    <t>2025-04-09</t>
  </si>
  <si>
    <t>ODR01267</t>
  </si>
  <si>
    <t>ODR01268</t>
  </si>
  <si>
    <t>ODR01269</t>
  </si>
  <si>
    <t>2024-12-09</t>
  </si>
  <si>
    <t>ODR01270</t>
  </si>
  <si>
    <t>2025-09-25</t>
  </si>
  <si>
    <t>ODR01271</t>
  </si>
  <si>
    <t>2024-07-21</t>
  </si>
  <si>
    <t>ODR01272</t>
  </si>
  <si>
    <t>ODR01273</t>
  </si>
  <si>
    <t>ODR01274</t>
  </si>
  <si>
    <t>ODR01275</t>
  </si>
  <si>
    <t>ODR01276</t>
  </si>
  <si>
    <t>ODR01277</t>
  </si>
  <si>
    <t>ODR01278</t>
  </si>
  <si>
    <t>ODR01279</t>
  </si>
  <si>
    <t>ODR01280</t>
  </si>
  <si>
    <t>ODR01281</t>
  </si>
  <si>
    <t>ODR01282</t>
  </si>
  <si>
    <t>2025-10-30</t>
  </si>
  <si>
    <t>ODR01283</t>
  </si>
  <si>
    <t>ODR01284</t>
  </si>
  <si>
    <t>ODR01285</t>
  </si>
  <si>
    <t>ODR01286</t>
  </si>
  <si>
    <t>ODR01287</t>
  </si>
  <si>
    <t>ODR01288</t>
  </si>
  <si>
    <t>ODR01289</t>
  </si>
  <si>
    <t>ODR01290</t>
  </si>
  <si>
    <t>ODR01291</t>
  </si>
  <si>
    <t>2025-11-24</t>
  </si>
  <si>
    <t>ODR01292</t>
  </si>
  <si>
    <t>ODR01293</t>
  </si>
  <si>
    <t>ODR01294</t>
  </si>
  <si>
    <t>ODR01295</t>
  </si>
  <si>
    <t>ODR01296</t>
  </si>
  <si>
    <t>2024-10-23</t>
  </si>
  <si>
    <t>ODR01297</t>
  </si>
  <si>
    <t>ODR01298</t>
  </si>
  <si>
    <t>ODR01299</t>
  </si>
  <si>
    <t>ODR01300</t>
  </si>
  <si>
    <t>ODR01301</t>
  </si>
  <si>
    <t>ODR01302</t>
  </si>
  <si>
    <t>ODR01303</t>
  </si>
  <si>
    <t>ODR01304</t>
  </si>
  <si>
    <t>ODR01305</t>
  </si>
  <si>
    <t>2024-06-04</t>
  </si>
  <si>
    <t>ODR01306</t>
  </si>
  <si>
    <t>ODR01307</t>
  </si>
  <si>
    <t>ODR01308</t>
  </si>
  <si>
    <t>ODR01309</t>
  </si>
  <si>
    <t>ODR01310</t>
  </si>
  <si>
    <t>ODR01311</t>
  </si>
  <si>
    <t>ODR01312</t>
  </si>
  <si>
    <t>ODR01313</t>
  </si>
  <si>
    <t>ODR01314</t>
  </si>
  <si>
    <t>ODR01315</t>
  </si>
  <si>
    <t>ODR01316</t>
  </si>
  <si>
    <t>ODR01317</t>
  </si>
  <si>
    <t>ODR01318</t>
  </si>
  <si>
    <t>ODR01319</t>
  </si>
  <si>
    <t>ODR01320</t>
  </si>
  <si>
    <t>ODR01321</t>
  </si>
  <si>
    <t>2025-08-29</t>
  </si>
  <si>
    <t>ODR01322</t>
  </si>
  <si>
    <t>ODR01323</t>
  </si>
  <si>
    <t>ODR01324</t>
  </si>
  <si>
    <t>2025-12-31</t>
  </si>
  <si>
    <t>ODR01325</t>
  </si>
  <si>
    <t>2024-06-18</t>
  </si>
  <si>
    <t>ODR01326</t>
  </si>
  <si>
    <t>ODR01327</t>
  </si>
  <si>
    <t>ODR01328</t>
  </si>
  <si>
    <t>2025-12-04</t>
  </si>
  <si>
    <t>ODR01329</t>
  </si>
  <si>
    <t>ODR01330</t>
  </si>
  <si>
    <t>ODR01331</t>
  </si>
  <si>
    <t>ODR01332</t>
  </si>
  <si>
    <t>2025-12-02</t>
  </si>
  <si>
    <t>ODR01333</t>
  </si>
  <si>
    <t>2024-10-31</t>
  </si>
  <si>
    <t>ODR01334</t>
  </si>
  <si>
    <t>2025-08-12</t>
  </si>
  <si>
    <t>ODR01335</t>
  </si>
  <si>
    <t>ODR01336</t>
  </si>
  <si>
    <t>ODR01337</t>
  </si>
  <si>
    <t>ODR01338</t>
  </si>
  <si>
    <t>ODR01339</t>
  </si>
  <si>
    <t>2026-02-06</t>
  </si>
  <si>
    <t>ODR01340</t>
  </si>
  <si>
    <t>ODR01341</t>
  </si>
  <si>
    <t>ODR01342</t>
  </si>
  <si>
    <t>ODR01343</t>
  </si>
  <si>
    <t>ODR01344</t>
  </si>
  <si>
    <t>ODR01345</t>
  </si>
  <si>
    <t>ODR01346</t>
  </si>
  <si>
    <t>ODR01347</t>
  </si>
  <si>
    <t>ODR01348</t>
  </si>
  <si>
    <t>ODR01349</t>
  </si>
  <si>
    <t>ODR01350</t>
  </si>
  <si>
    <t>ODR01351</t>
  </si>
  <si>
    <t>ODR01352</t>
  </si>
  <si>
    <t>ODR01353</t>
  </si>
  <si>
    <t>ODR01354</t>
  </si>
  <si>
    <t>2025-01-18</t>
  </si>
  <si>
    <t>ODR01355</t>
  </si>
  <si>
    <t>2025-12-18</t>
  </si>
  <si>
    <t>ODR01356</t>
  </si>
  <si>
    <t>ODR01357</t>
  </si>
  <si>
    <t>ODR01358</t>
  </si>
  <si>
    <t>ODR01359</t>
  </si>
  <si>
    <t>ODR01360</t>
  </si>
  <si>
    <t>ODR01361</t>
  </si>
  <si>
    <t>ODR01362</t>
  </si>
  <si>
    <t>2025-02-05</t>
  </si>
  <si>
    <t>ODR01363</t>
  </si>
  <si>
    <t>ODR01364</t>
  </si>
  <si>
    <t>2026-01-25</t>
  </si>
  <si>
    <t>ODR01365</t>
  </si>
  <si>
    <t>ODR01366</t>
  </si>
  <si>
    <t>ODR01367</t>
  </si>
  <si>
    <t>ODR01368</t>
  </si>
  <si>
    <t>ODR01369</t>
  </si>
  <si>
    <t>2024-09-29</t>
  </si>
  <si>
    <t>ODR01370</t>
  </si>
  <si>
    <t>ODR01371</t>
  </si>
  <si>
    <t>ODR01372</t>
  </si>
  <si>
    <t>ODR01373</t>
  </si>
  <si>
    <t>ODR01374</t>
  </si>
  <si>
    <t>ODR01375</t>
  </si>
  <si>
    <t>ODR01376</t>
  </si>
  <si>
    <t>ODR01377</t>
  </si>
  <si>
    <t>ODR01378</t>
  </si>
  <si>
    <t>2024-12-04</t>
  </si>
  <si>
    <t>ODR01379</t>
  </si>
  <si>
    <t>ODR01380</t>
  </si>
  <si>
    <t>ODR01381</t>
  </si>
  <si>
    <t>ODR01382</t>
  </si>
  <si>
    <t>ODR01383</t>
  </si>
  <si>
    <t>ODR01384</t>
  </si>
  <si>
    <t>ODR01385</t>
  </si>
  <si>
    <t>ODR01386</t>
  </si>
  <si>
    <t>ODR01387</t>
  </si>
  <si>
    <t>ODR01388</t>
  </si>
  <si>
    <t>ODR01389</t>
  </si>
  <si>
    <t>ODR01390</t>
  </si>
  <si>
    <t>2025-11-01</t>
  </si>
  <si>
    <t>ODR01391</t>
  </si>
  <si>
    <t>ODR01392</t>
  </si>
  <si>
    <t>ODR01393</t>
  </si>
  <si>
    <t>2025-11-18</t>
  </si>
  <si>
    <t>ODR01394</t>
  </si>
  <si>
    <t>ODR01395</t>
  </si>
  <si>
    <t>ODR01396</t>
  </si>
  <si>
    <t>ODR01397</t>
  </si>
  <si>
    <t>ODR01398</t>
  </si>
  <si>
    <t>ODR01399</t>
  </si>
  <si>
    <t>ODR01400</t>
  </si>
  <si>
    <t>ODR01401</t>
  </si>
  <si>
    <t>ODR01402</t>
  </si>
  <si>
    <t>ODR01403</t>
  </si>
  <si>
    <t>2024-12-14</t>
  </si>
  <si>
    <t>ODR01404</t>
  </si>
  <si>
    <t>ODR01405</t>
  </si>
  <si>
    <t>ODR01406</t>
  </si>
  <si>
    <t>ODR01407</t>
  </si>
  <si>
    <t>2025-12-25</t>
  </si>
  <si>
    <t>ODR01408</t>
  </si>
  <si>
    <t>ODR01409</t>
  </si>
  <si>
    <t>ODR01410</t>
  </si>
  <si>
    <t>ODR01411</t>
  </si>
  <si>
    <t>ODR01412</t>
  </si>
  <si>
    <t>2025-02-28</t>
  </si>
  <si>
    <t>ODR01413</t>
  </si>
  <si>
    <t>ODR01414</t>
  </si>
  <si>
    <t>ODR01415</t>
  </si>
  <si>
    <t>ODR01416</t>
  </si>
  <si>
    <t>ODR01417</t>
  </si>
  <si>
    <t>ODR01418</t>
  </si>
  <si>
    <t>ODR01419</t>
  </si>
  <si>
    <t>ODR01420</t>
  </si>
  <si>
    <t>ODR01421</t>
  </si>
  <si>
    <t>2025-06-21</t>
  </si>
  <si>
    <t>ODR01422</t>
  </si>
  <si>
    <t>ODR01423</t>
  </si>
  <si>
    <t>ODR01424</t>
  </si>
  <si>
    <t>ODR01425</t>
  </si>
  <si>
    <t>ODR01426</t>
  </si>
  <si>
    <t>ODR01427</t>
  </si>
  <si>
    <t>ODR01428</t>
  </si>
  <si>
    <t>ODR01429</t>
  </si>
  <si>
    <t>ODR01430</t>
  </si>
  <si>
    <t>ODR01431</t>
  </si>
  <si>
    <t>ODR01432</t>
  </si>
  <si>
    <t>ODR01433</t>
  </si>
  <si>
    <t>ODR01434</t>
  </si>
  <si>
    <t>ODR01435</t>
  </si>
  <si>
    <t>ODR01436</t>
  </si>
  <si>
    <t>ODR01437</t>
  </si>
  <si>
    <t>ODR01438</t>
  </si>
  <si>
    <t>ODR01439</t>
  </si>
  <si>
    <t>ODR01440</t>
  </si>
  <si>
    <t>ODR01441</t>
  </si>
  <si>
    <t>ODR01442</t>
  </si>
  <si>
    <t>ODR01443</t>
  </si>
  <si>
    <t>ODR01444</t>
  </si>
  <si>
    <t>ODR01445</t>
  </si>
  <si>
    <t>ODR01446</t>
  </si>
  <si>
    <t>ODR01447</t>
  </si>
  <si>
    <t>ODR01448</t>
  </si>
  <si>
    <t>ODR01449</t>
  </si>
  <si>
    <t>ODR01450</t>
  </si>
  <si>
    <t>ODR01451</t>
  </si>
  <si>
    <t>ODR01452</t>
  </si>
  <si>
    <t>ODR01453</t>
  </si>
  <si>
    <t>ODR01454</t>
  </si>
  <si>
    <t>2025-10-24</t>
  </si>
  <si>
    <t>ODR01455</t>
  </si>
  <si>
    <t>ODR01456</t>
  </si>
  <si>
    <t>ODR01457</t>
  </si>
  <si>
    <t>ODR01458</t>
  </si>
  <si>
    <t>ODR01459</t>
  </si>
  <si>
    <t>ODR01460</t>
  </si>
  <si>
    <t>ODR01461</t>
  </si>
  <si>
    <t>ODR01462</t>
  </si>
  <si>
    <t>ODR01463</t>
  </si>
  <si>
    <t>ODR01464</t>
  </si>
  <si>
    <t>ODR01465</t>
  </si>
  <si>
    <t>2025-04-30</t>
  </si>
  <si>
    <t>ODR01466</t>
  </si>
  <si>
    <t>ODR01467</t>
  </si>
  <si>
    <t>ODR01468</t>
  </si>
  <si>
    <t>ODR01469</t>
  </si>
  <si>
    <t>ODR01470</t>
  </si>
  <si>
    <t>ODR01471</t>
  </si>
  <si>
    <t>2024-11-05</t>
  </si>
  <si>
    <t>ODR01472</t>
  </si>
  <si>
    <t>ODR01473</t>
  </si>
  <si>
    <t>2024-12-10</t>
  </si>
  <si>
    <t>ODR01474</t>
  </si>
  <si>
    <t>ODR01475</t>
  </si>
  <si>
    <t>ODR01476</t>
  </si>
  <si>
    <t>ODR01477</t>
  </si>
  <si>
    <t>2025-07-08</t>
  </si>
  <si>
    <t>ODR01478</t>
  </si>
  <si>
    <t>ODR01479</t>
  </si>
  <si>
    <t>ODR01480</t>
  </si>
  <si>
    <t>2026-01-21</t>
  </si>
  <si>
    <t>ODR01481</t>
  </si>
  <si>
    <t>ODR01482</t>
  </si>
  <si>
    <t>2024-05-18</t>
  </si>
  <si>
    <t>ODR01483</t>
  </si>
  <si>
    <t>2024-09-22</t>
  </si>
  <si>
    <t>ODR01484</t>
  </si>
  <si>
    <t>ODR01485</t>
  </si>
  <si>
    <t>ODR01486</t>
  </si>
  <si>
    <t>ODR01487</t>
  </si>
  <si>
    <t>2025-07-13</t>
  </si>
  <si>
    <t>ODR01488</t>
  </si>
  <si>
    <t>ODR01489</t>
  </si>
  <si>
    <t>ODR01490</t>
  </si>
  <si>
    <t>ODR01491</t>
  </si>
  <si>
    <t>ODR01492</t>
  </si>
  <si>
    <t>ODR01493</t>
  </si>
  <si>
    <t>ODR01494</t>
  </si>
  <si>
    <t>2026-02-15</t>
  </si>
  <si>
    <t>ODR01495</t>
  </si>
  <si>
    <t>2024-12-24</t>
  </si>
  <si>
    <t>ODR01496</t>
  </si>
  <si>
    <t>ODR01497</t>
  </si>
  <si>
    <t>ODR01498</t>
  </si>
  <si>
    <t>ODR01499</t>
  </si>
  <si>
    <t>2025-04-23</t>
  </si>
  <si>
    <t>ODR01500</t>
  </si>
  <si>
    <t>ODR01501</t>
  </si>
  <si>
    <t>ODR01502</t>
  </si>
  <si>
    <t>ODR01503</t>
  </si>
  <si>
    <t>2025-02-18</t>
  </si>
  <si>
    <t>ODR01504</t>
  </si>
  <si>
    <t>ODR01505</t>
  </si>
  <si>
    <t>2024-06-25</t>
  </si>
  <si>
    <t>ODR01506</t>
  </si>
  <si>
    <t>ODR01507</t>
  </si>
  <si>
    <t>ODR01508</t>
  </si>
  <si>
    <t>ODR01509</t>
  </si>
  <si>
    <t>ODR01510</t>
  </si>
  <si>
    <t>ODR01511</t>
  </si>
  <si>
    <t>2024-04-24</t>
  </si>
  <si>
    <t>ODR01512</t>
  </si>
  <si>
    <t>ODR01513</t>
  </si>
  <si>
    <t>ODR01514</t>
  </si>
  <si>
    <t>ODR01515</t>
  </si>
  <si>
    <t>ODR01516</t>
  </si>
  <si>
    <t>ODR01517</t>
  </si>
  <si>
    <t>ODR01518</t>
  </si>
  <si>
    <t>ODR01519</t>
  </si>
  <si>
    <t>ODR01520</t>
  </si>
  <si>
    <t>ODR01521</t>
  </si>
  <si>
    <t>ODR01522</t>
  </si>
  <si>
    <t>ODR01523</t>
  </si>
  <si>
    <t>2025-03-24</t>
  </si>
  <si>
    <t>ODR01524</t>
  </si>
  <si>
    <t>2025-02-22</t>
  </si>
  <si>
    <t>ODR01525</t>
  </si>
  <si>
    <t>ODR01526</t>
  </si>
  <si>
    <t>ODR01527</t>
  </si>
  <si>
    <t>ODR01528</t>
  </si>
  <si>
    <t>ODR01529</t>
  </si>
  <si>
    <t>ODR01530</t>
  </si>
  <si>
    <t>2026-01-05</t>
  </si>
  <si>
    <t>ODR01531</t>
  </si>
  <si>
    <t>ODR01532</t>
  </si>
  <si>
    <t>ODR01533</t>
  </si>
  <si>
    <t>ODR01534</t>
  </si>
  <si>
    <t>ODR01535</t>
  </si>
  <si>
    <t>ODR01536</t>
  </si>
  <si>
    <t>ODR01537</t>
  </si>
  <si>
    <t>2025-12-05</t>
  </si>
  <si>
    <t>ODR01538</t>
  </si>
  <si>
    <t>ODR01539</t>
  </si>
  <si>
    <t>ODR01540</t>
  </si>
  <si>
    <t>ODR01541</t>
  </si>
  <si>
    <t>ODR01542</t>
  </si>
  <si>
    <t>ODR01543</t>
  </si>
  <si>
    <t>ODR01544</t>
  </si>
  <si>
    <t>ODR01545</t>
  </si>
  <si>
    <t>2025-08-03</t>
  </si>
  <si>
    <t>ODR01546</t>
  </si>
  <si>
    <t>ODR01547</t>
  </si>
  <si>
    <t>ODR01548</t>
  </si>
  <si>
    <t>ODR01549</t>
  </si>
  <si>
    <t>ODR01550</t>
  </si>
  <si>
    <t>ODR01551</t>
  </si>
  <si>
    <t>ODR01552</t>
  </si>
  <si>
    <t>ODR01553</t>
  </si>
  <si>
    <t>ODR01554</t>
  </si>
  <si>
    <t>ODR01555</t>
  </si>
  <si>
    <t>ODR01556</t>
  </si>
  <si>
    <t>ODR01557</t>
  </si>
  <si>
    <t>ODR01558</t>
  </si>
  <si>
    <t>ODR01559</t>
  </si>
  <si>
    <t>ODR01560</t>
  </si>
  <si>
    <t>ODR01561</t>
  </si>
  <si>
    <t>ODR01562</t>
  </si>
  <si>
    <t>2025-08-15</t>
  </si>
  <si>
    <t>ODR01563</t>
  </si>
  <si>
    <t>ODR01564</t>
  </si>
  <si>
    <t>ODR01565</t>
  </si>
  <si>
    <t>ODR01566</t>
  </si>
  <si>
    <t>2025-11-28</t>
  </si>
  <si>
    <t>ODR01567</t>
  </si>
  <si>
    <t>2025-06-11</t>
  </si>
  <si>
    <t>ODR01568</t>
  </si>
  <si>
    <t>ODR01569</t>
  </si>
  <si>
    <t>ODR01570</t>
  </si>
  <si>
    <t>ODR01571</t>
  </si>
  <si>
    <t>ODR01572</t>
  </si>
  <si>
    <t>2024-04-14</t>
  </si>
  <si>
    <t>ODR01573</t>
  </si>
  <si>
    <t>ODR01574</t>
  </si>
  <si>
    <t>2026-01-29</t>
  </si>
  <si>
    <t>ODR01575</t>
  </si>
  <si>
    <t>ODR01576</t>
  </si>
  <si>
    <t>ODR01577</t>
  </si>
  <si>
    <t>ODR01578</t>
  </si>
  <si>
    <t>ODR01579</t>
  </si>
  <si>
    <t>2025-03-21</t>
  </si>
  <si>
    <t>ODR01580</t>
  </si>
  <si>
    <t>ODR01581</t>
  </si>
  <si>
    <t>ODR01582</t>
  </si>
  <si>
    <t>2024-11-09</t>
  </si>
  <si>
    <t>ODR01583</t>
  </si>
  <si>
    <t>ODR01584</t>
  </si>
  <si>
    <t>ODR01585</t>
  </si>
  <si>
    <t>ODR01586</t>
  </si>
  <si>
    <t>ODR01587</t>
  </si>
  <si>
    <t>ODR01588</t>
  </si>
  <si>
    <t>ODR01589</t>
  </si>
  <si>
    <t>ODR01590</t>
  </si>
  <si>
    <t>ODR01591</t>
  </si>
  <si>
    <t>ODR01592</t>
  </si>
  <si>
    <t>ODR01593</t>
  </si>
  <si>
    <t>ODR01594</t>
  </si>
  <si>
    <t>ODR01595</t>
  </si>
  <si>
    <t>ODR01596</t>
  </si>
  <si>
    <t>ODR01597</t>
  </si>
  <si>
    <t>ODR01598</t>
  </si>
  <si>
    <t>ODR01599</t>
  </si>
  <si>
    <t>ODR01600</t>
  </si>
  <si>
    <t>ODR01601</t>
  </si>
  <si>
    <t>ODR01602</t>
  </si>
  <si>
    <t>ODR01603</t>
  </si>
  <si>
    <t>ODR01604</t>
  </si>
  <si>
    <t>ODR01605</t>
  </si>
  <si>
    <t>ODR01606</t>
  </si>
  <si>
    <t>2026-01-13</t>
  </si>
  <si>
    <t>ODR01607</t>
  </si>
  <si>
    <t>ODR01608</t>
  </si>
  <si>
    <t>ODR01609</t>
  </si>
  <si>
    <t>ODR01610</t>
  </si>
  <si>
    <t>ODR01611</t>
  </si>
  <si>
    <t>ODR01612</t>
  </si>
  <si>
    <t>ODR01613</t>
  </si>
  <si>
    <t>ODR01614</t>
  </si>
  <si>
    <t>ODR01615</t>
  </si>
  <si>
    <t>ODR01616</t>
  </si>
  <si>
    <t>ODR01617</t>
  </si>
  <si>
    <t>ODR01618</t>
  </si>
  <si>
    <t>ODR01619</t>
  </si>
  <si>
    <t>ODR01620</t>
  </si>
  <si>
    <t>ODR01621</t>
  </si>
  <si>
    <t>ODR01622</t>
  </si>
  <si>
    <t>ODR01623</t>
  </si>
  <si>
    <t>ODR01624</t>
  </si>
  <si>
    <t>ODR01625</t>
  </si>
  <si>
    <t>ODR01626</t>
  </si>
  <si>
    <t>ODR01627</t>
  </si>
  <si>
    <t>ODR01628</t>
  </si>
  <si>
    <t>ODR01629</t>
  </si>
  <si>
    <t>ODR01630</t>
  </si>
  <si>
    <t>ODR01631</t>
  </si>
  <si>
    <t>ODR01632</t>
  </si>
  <si>
    <t>ODR01633</t>
  </si>
  <si>
    <t>ODR01634</t>
  </si>
  <si>
    <t>ODR01635</t>
  </si>
  <si>
    <t>ODR01636</t>
  </si>
  <si>
    <t>ODR01637</t>
  </si>
  <si>
    <t>ODR01638</t>
  </si>
  <si>
    <t>ODR01639</t>
  </si>
  <si>
    <t>ODR01640</t>
  </si>
  <si>
    <t>ODR01641</t>
  </si>
  <si>
    <t>ODR01642</t>
  </si>
  <si>
    <t>ODR01643</t>
  </si>
  <si>
    <t>ODR01644</t>
  </si>
  <si>
    <t>2024-05-28</t>
  </si>
  <si>
    <t>ODR01645</t>
  </si>
  <si>
    <t>2024-12-27</t>
  </si>
  <si>
    <t>ODR01646</t>
  </si>
  <si>
    <t>ODR01647</t>
  </si>
  <si>
    <t>ODR01648</t>
  </si>
  <si>
    <t>ODR01649</t>
  </si>
  <si>
    <t>2025-06-05</t>
  </si>
  <si>
    <t>ODR01650</t>
  </si>
  <si>
    <t>ODR01651</t>
  </si>
  <si>
    <t>ODR01652</t>
  </si>
  <si>
    <t>ODR01653</t>
  </si>
  <si>
    <t>ODR01654</t>
  </si>
  <si>
    <t>ODR01655</t>
  </si>
  <si>
    <t>2025-04-05</t>
  </si>
  <si>
    <t>ODR01656</t>
  </si>
  <si>
    <t>ODR01657</t>
  </si>
  <si>
    <t>ODR01658</t>
  </si>
  <si>
    <t>2024-12-22</t>
  </si>
  <si>
    <t>ODR01659</t>
  </si>
  <si>
    <t>ODR01660</t>
  </si>
  <si>
    <t>ODR01661</t>
  </si>
  <si>
    <t>ODR01662</t>
  </si>
  <si>
    <t>ODR01663</t>
  </si>
  <si>
    <t>ODR01664</t>
  </si>
  <si>
    <t>ODR01665</t>
  </si>
  <si>
    <t>ODR01666</t>
  </si>
  <si>
    <t>ODR01667</t>
  </si>
  <si>
    <t>ODR01668</t>
  </si>
  <si>
    <t>ODR01669</t>
  </si>
  <si>
    <t>ODR01670</t>
  </si>
  <si>
    <t>ODR01671</t>
  </si>
  <si>
    <t>ODR01672</t>
  </si>
  <si>
    <t>ODR01673</t>
  </si>
  <si>
    <t>ODR01674</t>
  </si>
  <si>
    <t>ODR01675</t>
  </si>
  <si>
    <t>ODR01676</t>
  </si>
  <si>
    <t>ODR01677</t>
  </si>
  <si>
    <t>2025-05-23</t>
  </si>
  <si>
    <t>ODR01678</t>
  </si>
  <si>
    <t>2025-06-24</t>
  </si>
  <si>
    <t>ODR01679</t>
  </si>
  <si>
    <t>ODR01680</t>
  </si>
  <si>
    <t>ODR01681</t>
  </si>
  <si>
    <t>ODR01682</t>
  </si>
  <si>
    <t>ODR01683</t>
  </si>
  <si>
    <t>ODR01684</t>
  </si>
  <si>
    <t>ODR01685</t>
  </si>
  <si>
    <t>ODR01686</t>
  </si>
  <si>
    <t>ODR01687</t>
  </si>
  <si>
    <t>ODR01688</t>
  </si>
  <si>
    <t>2025-10-23</t>
  </si>
  <si>
    <t>ODR01689</t>
  </si>
  <si>
    <t>ODR01690</t>
  </si>
  <si>
    <t>ODR01691</t>
  </si>
  <si>
    <t>ODR01692</t>
  </si>
  <si>
    <t>ODR01693</t>
  </si>
  <si>
    <t>ODR01694</t>
  </si>
  <si>
    <t>ODR01695</t>
  </si>
  <si>
    <t>ODR01696</t>
  </si>
  <si>
    <t>ODR01697</t>
  </si>
  <si>
    <t>ODR01698</t>
  </si>
  <si>
    <t>ODR01699</t>
  </si>
  <si>
    <t>ODR01700</t>
  </si>
  <si>
    <t>ODR01701</t>
  </si>
  <si>
    <t>ODR01702</t>
  </si>
  <si>
    <t>ODR01703</t>
  </si>
  <si>
    <t>ODR01704</t>
  </si>
  <si>
    <t>ODR01705</t>
  </si>
  <si>
    <t>2024-12-02</t>
  </si>
  <si>
    <t>ODR01706</t>
  </si>
  <si>
    <t>ODR01707</t>
  </si>
  <si>
    <t>ODR01708</t>
  </si>
  <si>
    <t>2025-04-13</t>
  </si>
  <si>
    <t>ODR01709</t>
  </si>
  <si>
    <t>ODR01710</t>
  </si>
  <si>
    <t>2024-10-29</t>
  </si>
  <si>
    <t>ODR01711</t>
  </si>
  <si>
    <t>ODR01712</t>
  </si>
  <si>
    <t>ODR01713</t>
  </si>
  <si>
    <t>ODR01714</t>
  </si>
  <si>
    <t>ODR01715</t>
  </si>
  <si>
    <t>ODR01716</t>
  </si>
  <si>
    <t>ODR01717</t>
  </si>
  <si>
    <t>ODR01718</t>
  </si>
  <si>
    <t>ODR01719</t>
  </si>
  <si>
    <t>ODR01720</t>
  </si>
  <si>
    <t>ODR01721</t>
  </si>
  <si>
    <t>ODR01722</t>
  </si>
  <si>
    <t>ODR01723</t>
  </si>
  <si>
    <t>ODR01724</t>
  </si>
  <si>
    <t>ODR01725</t>
  </si>
  <si>
    <t>ODR01726</t>
  </si>
  <si>
    <t>ODR01727</t>
  </si>
  <si>
    <t>ODR01728</t>
  </si>
  <si>
    <t>ODR01729</t>
  </si>
  <si>
    <t>2024-08-16</t>
  </si>
  <si>
    <t>ODR01730</t>
  </si>
  <si>
    <t>2024-05-23</t>
  </si>
  <si>
    <t>ODR01731</t>
  </si>
  <si>
    <t>ODR01732</t>
  </si>
  <si>
    <t>ODR01733</t>
  </si>
  <si>
    <t>ODR01734</t>
  </si>
  <si>
    <t>ODR01735</t>
  </si>
  <si>
    <t>ODR01736</t>
  </si>
  <si>
    <t>ODR01737</t>
  </si>
  <si>
    <t>ODR01738</t>
  </si>
  <si>
    <t>ODR01739</t>
  </si>
  <si>
    <t>ODR01740</t>
  </si>
  <si>
    <t>ODR01741</t>
  </si>
  <si>
    <t>2025-02-04</t>
  </si>
  <si>
    <t>ODR01742</t>
  </si>
  <si>
    <t>ODR01743</t>
  </si>
  <si>
    <t>ODR01744</t>
  </si>
  <si>
    <t>ODR01745</t>
  </si>
  <si>
    <t>ODR01746</t>
  </si>
  <si>
    <t>ODR01747</t>
  </si>
  <si>
    <t>ODR01748</t>
  </si>
  <si>
    <t>ODR01749</t>
  </si>
  <si>
    <t>2025-02-02</t>
  </si>
  <si>
    <t>ODR01750</t>
  </si>
  <si>
    <t>ODR01751</t>
  </si>
  <si>
    <t>ODR01752</t>
  </si>
  <si>
    <t>ODR01753</t>
  </si>
  <si>
    <t>ODR01754</t>
  </si>
  <si>
    <t>ODR01755</t>
  </si>
  <si>
    <t>ODR01756</t>
  </si>
  <si>
    <t>ODR01757</t>
  </si>
  <si>
    <t>ODR01758</t>
  </si>
  <si>
    <t>2024-08-15</t>
  </si>
  <si>
    <t>ODR01759</t>
  </si>
  <si>
    <t>ODR01760</t>
  </si>
  <si>
    <t>ODR01761</t>
  </si>
  <si>
    <t>ODR01762</t>
  </si>
  <si>
    <t>ODR01763</t>
  </si>
  <si>
    <t>ODR01764</t>
  </si>
  <si>
    <t>ODR01765</t>
  </si>
  <si>
    <t>ODR01766</t>
  </si>
  <si>
    <t>ODR01767</t>
  </si>
  <si>
    <t>ODR01768</t>
  </si>
  <si>
    <t>ODR01769</t>
  </si>
  <si>
    <t>ODR01770</t>
  </si>
  <si>
    <t>ODR01771</t>
  </si>
  <si>
    <t>ODR01772</t>
  </si>
  <si>
    <t>ODR01773</t>
  </si>
  <si>
    <t>ODR01774</t>
  </si>
  <si>
    <t>ODR01775</t>
  </si>
  <si>
    <t>ODR01776</t>
  </si>
  <si>
    <t>ODR01777</t>
  </si>
  <si>
    <t>ODR01778</t>
  </si>
  <si>
    <t>ODR01779</t>
  </si>
  <si>
    <t>ODR01780</t>
  </si>
  <si>
    <t>2024-08-12</t>
  </si>
  <si>
    <t>ODR01781</t>
  </si>
  <si>
    <t>ODR01782</t>
  </si>
  <si>
    <t>2025-04-18</t>
  </si>
  <si>
    <t>ODR01783</t>
  </si>
  <si>
    <t>ODR01784</t>
  </si>
  <si>
    <t>ODR01785</t>
  </si>
  <si>
    <t>ODR01786</t>
  </si>
  <si>
    <t>ODR01787</t>
  </si>
  <si>
    <t>ODR01788</t>
  </si>
  <si>
    <t>ODR01789</t>
  </si>
  <si>
    <t>ODR01790</t>
  </si>
  <si>
    <t>ODR01791</t>
  </si>
  <si>
    <t>2024-04-05</t>
  </si>
  <si>
    <t>ODR01792</t>
  </si>
  <si>
    <t>ODR01793</t>
  </si>
  <si>
    <t>ODR01794</t>
  </si>
  <si>
    <t>ODR01795</t>
  </si>
  <si>
    <t>2025-04-08</t>
  </si>
  <si>
    <t>ODR01796</t>
  </si>
  <si>
    <t>ODR01797</t>
  </si>
  <si>
    <t>ODR01798</t>
  </si>
  <si>
    <t>ODR01799</t>
  </si>
  <si>
    <t>ODR01800</t>
  </si>
  <si>
    <t>ODR01801</t>
  </si>
  <si>
    <t>ODR01802</t>
  </si>
  <si>
    <t>ODR01803</t>
  </si>
  <si>
    <t>ODR01804</t>
  </si>
  <si>
    <t>2024-10-08</t>
  </si>
  <si>
    <t>ODR01805</t>
  </si>
  <si>
    <t>ODR01806</t>
  </si>
  <si>
    <t>ODR01807</t>
  </si>
  <si>
    <t>ODR01808</t>
  </si>
  <si>
    <t>ODR01809</t>
  </si>
  <si>
    <t>ODR01810</t>
  </si>
  <si>
    <t>ODR01811</t>
  </si>
  <si>
    <t>ODR01812</t>
  </si>
  <si>
    <t>ODR01813</t>
  </si>
  <si>
    <t>ODR01814</t>
  </si>
  <si>
    <t>ODR01815</t>
  </si>
  <si>
    <t>2025-07-28</t>
  </si>
  <si>
    <t>ODR01816</t>
  </si>
  <si>
    <t>2025-10-29</t>
  </si>
  <si>
    <t>ODR01817</t>
  </si>
  <si>
    <t>2024-09-12</t>
  </si>
  <si>
    <t>ODR01818</t>
  </si>
  <si>
    <t>ODR01819</t>
  </si>
  <si>
    <t>ODR01820</t>
  </si>
  <si>
    <t>ODR01821</t>
  </si>
  <si>
    <t>ODR01822</t>
  </si>
  <si>
    <t>ODR01823</t>
  </si>
  <si>
    <t>ODR01824</t>
  </si>
  <si>
    <t>ODR01825</t>
  </si>
  <si>
    <t>ODR01826</t>
  </si>
  <si>
    <t>ODR01827</t>
  </si>
  <si>
    <t>ODR01828</t>
  </si>
  <si>
    <t>ODR01829</t>
  </si>
  <si>
    <t>ODR01830</t>
  </si>
  <si>
    <t>2024-09-05</t>
  </si>
  <si>
    <t>ODR01831</t>
  </si>
  <si>
    <t>ODR01832</t>
  </si>
  <si>
    <t>2025-01-07</t>
  </si>
  <si>
    <t>ODR01833</t>
  </si>
  <si>
    <t>ODR01834</t>
  </si>
  <si>
    <t>ODR01835</t>
  </si>
  <si>
    <t>ODR01836</t>
  </si>
  <si>
    <t>ODR01837</t>
  </si>
  <si>
    <t>ODR01838</t>
  </si>
  <si>
    <t>ODR01839</t>
  </si>
  <si>
    <t>ODR01840</t>
  </si>
  <si>
    <t>ODR01841</t>
  </si>
  <si>
    <t>ODR01842</t>
  </si>
  <si>
    <t>ODR01843</t>
  </si>
  <si>
    <t>ODR01844</t>
  </si>
  <si>
    <t>ODR01845</t>
  </si>
  <si>
    <t>ODR01846</t>
  </si>
  <si>
    <t>ODR01847</t>
  </si>
  <si>
    <t>ODR01848</t>
  </si>
  <si>
    <t>ODR01849</t>
  </si>
  <si>
    <t>ODR01850</t>
  </si>
  <si>
    <t>ODR01851</t>
  </si>
  <si>
    <t>ODR01852</t>
  </si>
  <si>
    <t>ODR01853</t>
  </si>
  <si>
    <t>ODR01854</t>
  </si>
  <si>
    <t>ODR01855</t>
  </si>
  <si>
    <t>ODR01856</t>
  </si>
  <si>
    <t>ODR01857</t>
  </si>
  <si>
    <t>ODR01858</t>
  </si>
  <si>
    <t>ODR01859</t>
  </si>
  <si>
    <t>ODR01860</t>
  </si>
  <si>
    <t>ODR01861</t>
  </si>
  <si>
    <t>ODR01862</t>
  </si>
  <si>
    <t>ODR01863</t>
  </si>
  <si>
    <t>ODR01864</t>
  </si>
  <si>
    <t>ODR01865</t>
  </si>
  <si>
    <t>ODR01866</t>
  </si>
  <si>
    <t>ODR01867</t>
  </si>
  <si>
    <t>ODR01868</t>
  </si>
  <si>
    <t>ODR01869</t>
  </si>
  <si>
    <t>ODR01870</t>
  </si>
  <si>
    <t>ODR01871</t>
  </si>
  <si>
    <t>2024-11-01</t>
  </si>
  <si>
    <t>ODR01872</t>
  </si>
  <si>
    <t>ODR01873</t>
  </si>
  <si>
    <t>ODR01874</t>
  </si>
  <si>
    <t>ODR01875</t>
  </si>
  <si>
    <t>ODR01876</t>
  </si>
  <si>
    <t>ODR01877</t>
  </si>
  <si>
    <t>ODR01878</t>
  </si>
  <si>
    <t>ODR01879</t>
  </si>
  <si>
    <t>ODR01880</t>
  </si>
  <si>
    <t>ODR01881</t>
  </si>
  <si>
    <t>ODR01882</t>
  </si>
  <si>
    <t>ODR01883</t>
  </si>
  <si>
    <t>ODR01884</t>
  </si>
  <si>
    <t>ODR01885</t>
  </si>
  <si>
    <t>ODR01886</t>
  </si>
  <si>
    <t>ODR01887</t>
  </si>
  <si>
    <t>ODR01888</t>
  </si>
  <si>
    <t>ODR01889</t>
  </si>
  <si>
    <t>ODR01890</t>
  </si>
  <si>
    <t>ODR01891</t>
  </si>
  <si>
    <t>ODR01892</t>
  </si>
  <si>
    <t>ODR01893</t>
  </si>
  <si>
    <t>ODR01894</t>
  </si>
  <si>
    <t>ODR01895</t>
  </si>
  <si>
    <t>ODR01896</t>
  </si>
  <si>
    <t>ODR01897</t>
  </si>
  <si>
    <t>2024-09-02</t>
  </si>
  <si>
    <t>ODR01898</t>
  </si>
  <si>
    <t>ODR01899</t>
  </si>
  <si>
    <t>ODR01900</t>
  </si>
  <si>
    <t>ODR01901</t>
  </si>
  <si>
    <t>ODR01902</t>
  </si>
  <si>
    <t>ODR01903</t>
  </si>
  <si>
    <t>ODR01904</t>
  </si>
  <si>
    <t>ODR01905</t>
  </si>
  <si>
    <t>ODR01906</t>
  </si>
  <si>
    <t>ODR01907</t>
  </si>
  <si>
    <t>ODR01908</t>
  </si>
  <si>
    <t>ODR01909</t>
  </si>
  <si>
    <t>ODR01910</t>
  </si>
  <si>
    <t>ODR01911</t>
  </si>
  <si>
    <t>ODR01912</t>
  </si>
  <si>
    <t>ODR01913</t>
  </si>
  <si>
    <t>2024-11-26</t>
  </si>
  <si>
    <t>ODR01914</t>
  </si>
  <si>
    <t>ODR01915</t>
  </si>
  <si>
    <t>ODR01916</t>
  </si>
  <si>
    <t>ODR01917</t>
  </si>
  <si>
    <t>ODR01918</t>
  </si>
  <si>
    <t>ODR01919</t>
  </si>
  <si>
    <t>ODR01920</t>
  </si>
  <si>
    <t>ODR01921</t>
  </si>
  <si>
    <t>ODR01922</t>
  </si>
  <si>
    <t>ODR01923</t>
  </si>
  <si>
    <t>ODR01924</t>
  </si>
  <si>
    <t>ODR01925</t>
  </si>
  <si>
    <t>ODR01926</t>
  </si>
  <si>
    <t>ODR01927</t>
  </si>
  <si>
    <t>ODR01928</t>
  </si>
  <si>
    <t>ODR01929</t>
  </si>
  <si>
    <t>ODR01930</t>
  </si>
  <si>
    <t>ODR01931</t>
  </si>
  <si>
    <t>2024-12-13</t>
  </si>
  <si>
    <t>ODR01932</t>
  </si>
  <si>
    <t>ODR01933</t>
  </si>
  <si>
    <t>ODR01934</t>
  </si>
  <si>
    <t>ODR01935</t>
  </si>
  <si>
    <t>ODR01936</t>
  </si>
  <si>
    <t>ODR01937</t>
  </si>
  <si>
    <t>ODR01938</t>
  </si>
  <si>
    <t>ODR01939</t>
  </si>
  <si>
    <t>ODR01940</t>
  </si>
  <si>
    <t>2025-06-29</t>
  </si>
  <si>
    <t>ODR01941</t>
  </si>
  <si>
    <t>ODR01942</t>
  </si>
  <si>
    <t>ODR01943</t>
  </si>
  <si>
    <t>ODR01944</t>
  </si>
  <si>
    <t>ODR01945</t>
  </si>
  <si>
    <t>ODR01946</t>
  </si>
  <si>
    <t>ODR01947</t>
  </si>
  <si>
    <t>ODR01948</t>
  </si>
  <si>
    <t>ODR01949</t>
  </si>
  <si>
    <t>ODR01950</t>
  </si>
  <si>
    <t>ODR01951</t>
  </si>
  <si>
    <t>ODR01952</t>
  </si>
  <si>
    <t>ODR01953</t>
  </si>
  <si>
    <t>2025-03-14</t>
  </si>
  <si>
    <t>ODR01954</t>
  </si>
  <si>
    <t>ODR01955</t>
  </si>
  <si>
    <t>ODR01956</t>
  </si>
  <si>
    <t>ODR01957</t>
  </si>
  <si>
    <t>2025-08-20</t>
  </si>
  <si>
    <t>ODR01958</t>
  </si>
  <si>
    <t>ODR01959</t>
  </si>
  <si>
    <t>ODR01960</t>
  </si>
  <si>
    <t>ODR01961</t>
  </si>
  <si>
    <t>ODR01962</t>
  </si>
  <si>
    <t>ODR01963</t>
  </si>
  <si>
    <t>ODR01964</t>
  </si>
  <si>
    <t>ODR01965</t>
  </si>
  <si>
    <t>ODR01966</t>
  </si>
  <si>
    <t>ODR01967</t>
  </si>
  <si>
    <t>ODR01968</t>
  </si>
  <si>
    <t>ODR01969</t>
  </si>
  <si>
    <t>ODR01970</t>
  </si>
  <si>
    <t>ODR01971</t>
  </si>
  <si>
    <t>ODR01972</t>
  </si>
  <si>
    <t>ODR01973</t>
  </si>
  <si>
    <t>ODR01974</t>
  </si>
  <si>
    <t>ODR01975</t>
  </si>
  <si>
    <t>ODR01976</t>
  </si>
  <si>
    <t>ODR01977</t>
  </si>
  <si>
    <t>ODR01978</t>
  </si>
  <si>
    <t>ODR01979</t>
  </si>
  <si>
    <t>ODR01980</t>
  </si>
  <si>
    <t>ODR01981</t>
  </si>
  <si>
    <t>ODR01982</t>
  </si>
  <si>
    <t>ODR01983</t>
  </si>
  <si>
    <t>ODR01984</t>
  </si>
  <si>
    <t>ODR01985</t>
  </si>
  <si>
    <t>ODR01986</t>
  </si>
  <si>
    <t>ODR01987</t>
  </si>
  <si>
    <t>ODR01988</t>
  </si>
  <si>
    <t>ODR01989</t>
  </si>
  <si>
    <t>ODR01990</t>
  </si>
  <si>
    <t>ODR01991</t>
  </si>
  <si>
    <t>ODR01992</t>
  </si>
  <si>
    <t>ODR01993</t>
  </si>
  <si>
    <t>ODR01994</t>
  </si>
  <si>
    <t>ODR01995</t>
  </si>
  <si>
    <t>2024-11-04</t>
  </si>
  <si>
    <t>ODR01996</t>
  </si>
  <si>
    <t>ODR01997</t>
  </si>
  <si>
    <t>ODR01998</t>
  </si>
  <si>
    <t>ODR01999</t>
  </si>
  <si>
    <t>ODR02000</t>
  </si>
  <si>
    <t>ODR02001</t>
  </si>
  <si>
    <t>ODR02002</t>
  </si>
  <si>
    <t>ODR02003</t>
  </si>
  <si>
    <t>ODR02004</t>
  </si>
  <si>
    <t>ODR02005</t>
  </si>
  <si>
    <t>ODR02006</t>
  </si>
  <si>
    <t>ODR02007</t>
  </si>
  <si>
    <t>ODR02008</t>
  </si>
  <si>
    <t>ODR02009</t>
  </si>
  <si>
    <t>ODR02010</t>
  </si>
  <si>
    <t>ODR02011</t>
  </si>
  <si>
    <t>ODR02012</t>
  </si>
  <si>
    <t>ODR02013</t>
  </si>
  <si>
    <t>ODR02014</t>
  </si>
  <si>
    <t>ODR02015</t>
  </si>
  <si>
    <t>ODR02016</t>
  </si>
  <si>
    <t>ODR02017</t>
  </si>
  <si>
    <t>ODR02018</t>
  </si>
  <si>
    <t>ODR02019</t>
  </si>
  <si>
    <t>ODR02020</t>
  </si>
  <si>
    <t>ODR02021</t>
  </si>
  <si>
    <t>ODR02022</t>
  </si>
  <si>
    <t>ODR02023</t>
  </si>
  <si>
    <t>ODR02024</t>
  </si>
  <si>
    <t>ODR02025</t>
  </si>
  <si>
    <t>ODR02026</t>
  </si>
  <si>
    <t>ODR02027</t>
  </si>
  <si>
    <t>ODR02028</t>
  </si>
  <si>
    <t>ODR02029</t>
  </si>
  <si>
    <t>ODR02030</t>
  </si>
  <si>
    <t>ODR02031</t>
  </si>
  <si>
    <t>ODR02032</t>
  </si>
  <si>
    <t>2024-11-19</t>
  </si>
  <si>
    <t>ODR02033</t>
  </si>
  <si>
    <t>ODR02034</t>
  </si>
  <si>
    <t>ODR02035</t>
  </si>
  <si>
    <t>ODR02036</t>
  </si>
  <si>
    <t>ODR02037</t>
  </si>
  <si>
    <t>ODR02038</t>
  </si>
  <si>
    <t>2025-03-28</t>
  </si>
  <si>
    <t>ODR02039</t>
  </si>
  <si>
    <t>ODR02040</t>
  </si>
  <si>
    <t>ODR02041</t>
  </si>
  <si>
    <t>ODR02042</t>
  </si>
  <si>
    <t>ODR02043</t>
  </si>
  <si>
    <t>ODR02044</t>
  </si>
  <si>
    <t>ODR02045</t>
  </si>
  <si>
    <t>ODR02046</t>
  </si>
  <si>
    <t>ODR02047</t>
  </si>
  <si>
    <t>ODR02048</t>
  </si>
  <si>
    <t>ODR02049</t>
  </si>
  <si>
    <t>ODR02050</t>
  </si>
  <si>
    <t>ODR02051</t>
  </si>
  <si>
    <t>ODR02052</t>
  </si>
  <si>
    <t>ODR02053</t>
  </si>
  <si>
    <t>ODR02054</t>
  </si>
  <si>
    <t>ODR02055</t>
  </si>
  <si>
    <t>ODR02056</t>
  </si>
  <si>
    <t>ODR02057</t>
  </si>
  <si>
    <t>ODR02058</t>
  </si>
  <si>
    <t>2024-07-26</t>
  </si>
  <si>
    <t>ODR02059</t>
  </si>
  <si>
    <t>ODR02060</t>
  </si>
  <si>
    <t>ODR02061</t>
  </si>
  <si>
    <t>ODR02062</t>
  </si>
  <si>
    <t>ODR02063</t>
  </si>
  <si>
    <t>ODR02064</t>
  </si>
  <si>
    <t>ODR02065</t>
  </si>
  <si>
    <t>ODR02066</t>
  </si>
  <si>
    <t>ODR02067</t>
  </si>
  <si>
    <t>ODR02068</t>
  </si>
  <si>
    <t>ODR02069</t>
  </si>
  <si>
    <t>ODR02070</t>
  </si>
  <si>
    <t>ODR02071</t>
  </si>
  <si>
    <t>ODR02072</t>
  </si>
  <si>
    <t>ODR02073</t>
  </si>
  <si>
    <t>ODR02074</t>
  </si>
  <si>
    <t>ODR02075</t>
  </si>
  <si>
    <t>2025-02-14</t>
  </si>
  <si>
    <t>ODR02076</t>
  </si>
  <si>
    <t>ODR02077</t>
  </si>
  <si>
    <t>ODR02078</t>
  </si>
  <si>
    <t>ODR02079</t>
  </si>
  <si>
    <t>ODR02080</t>
  </si>
  <si>
    <t>ODR02081</t>
  </si>
  <si>
    <t>ODR02082</t>
  </si>
  <si>
    <t>ODR02083</t>
  </si>
  <si>
    <t>ODR02084</t>
  </si>
  <si>
    <t>ODR02085</t>
  </si>
  <si>
    <t>ODR02086</t>
  </si>
  <si>
    <t>ODR02087</t>
  </si>
  <si>
    <t>ODR02088</t>
  </si>
  <si>
    <t>ODR02089</t>
  </si>
  <si>
    <t>ODR02090</t>
  </si>
  <si>
    <t>2024-12-11</t>
  </si>
  <si>
    <t>ODR02091</t>
  </si>
  <si>
    <t>ODR02092</t>
  </si>
  <si>
    <t>ODR02093</t>
  </si>
  <si>
    <t>ODR02094</t>
  </si>
  <si>
    <t>ODR02095</t>
  </si>
  <si>
    <t>ODR02096</t>
  </si>
  <si>
    <t>ODR02097</t>
  </si>
  <si>
    <t>ODR02098</t>
  </si>
  <si>
    <t>ODR02099</t>
  </si>
  <si>
    <t>ODR02100</t>
  </si>
  <si>
    <t>ODR02101</t>
  </si>
  <si>
    <t>ODR02102</t>
  </si>
  <si>
    <t>ODR02103</t>
  </si>
  <si>
    <t>ODR02104</t>
  </si>
  <si>
    <t>ODR02105</t>
  </si>
  <si>
    <t>ODR02106</t>
  </si>
  <si>
    <t>ODR02107</t>
  </si>
  <si>
    <t>ODR02108</t>
  </si>
  <si>
    <t>ODR02109</t>
  </si>
  <si>
    <t>ODR02110</t>
  </si>
  <si>
    <t>2025-01-15</t>
  </si>
  <si>
    <t>ODR02111</t>
  </si>
  <si>
    <t>ODR02112</t>
  </si>
  <si>
    <t>ODR02113</t>
  </si>
  <si>
    <t>ODR02114</t>
  </si>
  <si>
    <t>ODR02115</t>
  </si>
  <si>
    <t>ODR02116</t>
  </si>
  <si>
    <t>ODR02117</t>
  </si>
  <si>
    <t>ODR02118</t>
  </si>
  <si>
    <t>ODR02119</t>
  </si>
  <si>
    <t>ODR02120</t>
  </si>
  <si>
    <t>ODR02121</t>
  </si>
  <si>
    <t>ODR02122</t>
  </si>
  <si>
    <t>ODR02123</t>
  </si>
  <si>
    <t>ODR02124</t>
  </si>
  <si>
    <t>ODR02125</t>
  </si>
  <si>
    <t>ODR02126</t>
  </si>
  <si>
    <t>ODR02127</t>
  </si>
  <si>
    <t>ODR02128</t>
  </si>
  <si>
    <t>ODR02129</t>
  </si>
  <si>
    <t>ODR02130</t>
  </si>
  <si>
    <t>ODR02131</t>
  </si>
  <si>
    <t>ODR02132</t>
  </si>
  <si>
    <t>ODR02133</t>
  </si>
  <si>
    <t>ODR02134</t>
  </si>
  <si>
    <t>ODR02135</t>
  </si>
  <si>
    <t>ODR02136</t>
  </si>
  <si>
    <t>ODR02137</t>
  </si>
  <si>
    <t>2024-09-04</t>
  </si>
  <si>
    <t>ODR02138</t>
  </si>
  <si>
    <t>ODR02139</t>
  </si>
  <si>
    <t>ODR02140</t>
  </si>
  <si>
    <t>ODR02141</t>
  </si>
  <si>
    <t>ODR02142</t>
  </si>
  <si>
    <t>ODR02143</t>
  </si>
  <si>
    <t>ODR02144</t>
  </si>
  <si>
    <t>ODR02145</t>
  </si>
  <si>
    <t>ODR02146</t>
  </si>
  <si>
    <t>ODR02147</t>
  </si>
  <si>
    <t>ODR02148</t>
  </si>
  <si>
    <t>ODR02149</t>
  </si>
  <si>
    <t>ODR02150</t>
  </si>
  <si>
    <t>2025-06-07</t>
  </si>
  <si>
    <t>ODR02151</t>
  </si>
  <si>
    <t>ODR02152</t>
  </si>
  <si>
    <t>ODR02153</t>
  </si>
  <si>
    <t>ODR02154</t>
  </si>
  <si>
    <t>ODR02155</t>
  </si>
  <si>
    <t>ODR02156</t>
  </si>
  <si>
    <t>ODR02157</t>
  </si>
  <si>
    <t>2025-12-06</t>
  </si>
  <si>
    <t>ODR02158</t>
  </si>
  <si>
    <t>ODR02159</t>
  </si>
  <si>
    <t>ODR02160</t>
  </si>
  <si>
    <t>ODR02161</t>
  </si>
  <si>
    <t>ODR02162</t>
  </si>
  <si>
    <t>ODR02163</t>
  </si>
  <si>
    <t>ODR02164</t>
  </si>
  <si>
    <t>ODR02165</t>
  </si>
  <si>
    <t>ODR02166</t>
  </si>
  <si>
    <t>ODR02167</t>
  </si>
  <si>
    <t>ODR02168</t>
  </si>
  <si>
    <t>ODR02169</t>
  </si>
  <si>
    <t>ODR02170</t>
  </si>
  <si>
    <t>ODR02171</t>
  </si>
  <si>
    <t>ODR02172</t>
  </si>
  <si>
    <t>ODR02173</t>
  </si>
  <si>
    <t>ODR02174</t>
  </si>
  <si>
    <t>ODR02175</t>
  </si>
  <si>
    <t>ODR02176</t>
  </si>
  <si>
    <t>ODR02177</t>
  </si>
  <si>
    <t>ODR02178</t>
  </si>
  <si>
    <t>ODR02179</t>
  </si>
  <si>
    <t>ODR02180</t>
  </si>
  <si>
    <t>ODR02181</t>
  </si>
  <si>
    <t>ODR02182</t>
  </si>
  <si>
    <t>ODR02183</t>
  </si>
  <si>
    <t>ODR02184</t>
  </si>
  <si>
    <t>ODR02185</t>
  </si>
  <si>
    <t>ODR02186</t>
  </si>
  <si>
    <t>ODR02187</t>
  </si>
  <si>
    <t>ODR02188</t>
  </si>
  <si>
    <t>ODR02189</t>
  </si>
  <si>
    <t>ODR02190</t>
  </si>
  <si>
    <t>ODR02191</t>
  </si>
  <si>
    <t>ODR02192</t>
  </si>
  <si>
    <t>ODR02193</t>
  </si>
  <si>
    <t>2026-01-28</t>
  </si>
  <si>
    <t>ODR02194</t>
  </si>
  <si>
    <t>ODR02195</t>
  </si>
  <si>
    <t>ODR02196</t>
  </si>
  <si>
    <t>ODR02197</t>
  </si>
  <si>
    <t>ODR02198</t>
  </si>
  <si>
    <t>ODR02199</t>
  </si>
  <si>
    <t>ODR02200</t>
  </si>
  <si>
    <t>ODR02201</t>
  </si>
  <si>
    <t>ODR02202</t>
  </si>
  <si>
    <t>ODR02203</t>
  </si>
  <si>
    <t>ODR02204</t>
  </si>
  <si>
    <t>ODR02205</t>
  </si>
  <si>
    <t>ODR02206</t>
  </si>
  <si>
    <t>ODR02207</t>
  </si>
  <si>
    <t>ODR02208</t>
  </si>
  <si>
    <t>ODR02209</t>
  </si>
  <si>
    <t>ODR02210</t>
  </si>
  <si>
    <t>ODR02211</t>
  </si>
  <si>
    <t>ODR02212</t>
  </si>
  <si>
    <t>ODR02213</t>
  </si>
  <si>
    <t>ODR02214</t>
  </si>
  <si>
    <t>ODR02215</t>
  </si>
  <si>
    <t>ODR02216</t>
  </si>
  <si>
    <t>ODR02217</t>
  </si>
  <si>
    <t>ODR02218</t>
  </si>
  <si>
    <t>ODR02219</t>
  </si>
  <si>
    <t>ODR02220</t>
  </si>
  <si>
    <t>ODR02221</t>
  </si>
  <si>
    <t>ODR02222</t>
  </si>
  <si>
    <t>ODR02223</t>
  </si>
  <si>
    <t>ODR02224</t>
  </si>
  <si>
    <t>ODR02225</t>
  </si>
  <si>
    <t>ODR02226</t>
  </si>
  <si>
    <t>ODR02227</t>
  </si>
  <si>
    <t>ODR02228</t>
  </si>
  <si>
    <t>ODR02229</t>
  </si>
  <si>
    <t>ODR02230</t>
  </si>
  <si>
    <t>ODR02231</t>
  </si>
  <si>
    <t>ODR02232</t>
  </si>
  <si>
    <t>ODR02233</t>
  </si>
  <si>
    <t>ODR02234</t>
  </si>
  <si>
    <t>ODR02235</t>
  </si>
  <si>
    <t>ODR02236</t>
  </si>
  <si>
    <t>ODR02237</t>
  </si>
  <si>
    <t>ODR02238</t>
  </si>
  <si>
    <t>ODR02239</t>
  </si>
  <si>
    <t>ODR02240</t>
  </si>
  <si>
    <t>ODR02241</t>
  </si>
  <si>
    <t>ODR02242</t>
  </si>
  <si>
    <t>ODR02243</t>
  </si>
  <si>
    <t>ODR02244</t>
  </si>
  <si>
    <t>ODR02245</t>
  </si>
  <si>
    <t>ODR02246</t>
  </si>
  <si>
    <t>ODR02247</t>
  </si>
  <si>
    <t>ODR02248</t>
  </si>
  <si>
    <t>ODR02249</t>
  </si>
  <si>
    <t>ODR02250</t>
  </si>
  <si>
    <t>ODR02251</t>
  </si>
  <si>
    <t>ODR02252</t>
  </si>
  <si>
    <t>ODR02253</t>
  </si>
  <si>
    <t>ODR02254</t>
  </si>
  <si>
    <t>ODR02255</t>
  </si>
  <si>
    <t>ODR02256</t>
  </si>
  <si>
    <t>ODR02257</t>
  </si>
  <si>
    <t>ODR02258</t>
  </si>
  <si>
    <t>ODR02259</t>
  </si>
  <si>
    <t>ODR02260</t>
  </si>
  <si>
    <t>ODR02261</t>
  </si>
  <si>
    <t>ODR02262</t>
  </si>
  <si>
    <t>ODR02263</t>
  </si>
  <si>
    <t>ODR02264</t>
  </si>
  <si>
    <t>ODR02265</t>
  </si>
  <si>
    <t>ODR02266</t>
  </si>
  <si>
    <t>ODR02267</t>
  </si>
  <si>
    <t>ODR02268</t>
  </si>
  <si>
    <t>ODR02269</t>
  </si>
  <si>
    <t>ODR02270</t>
  </si>
  <si>
    <t>ODR02271</t>
  </si>
  <si>
    <t>ODR02272</t>
  </si>
  <si>
    <t>ODR02273</t>
  </si>
  <si>
    <t>ODR02274</t>
  </si>
  <si>
    <t>ODR02275</t>
  </si>
  <si>
    <t>ODR02276</t>
  </si>
  <si>
    <t>ODR02277</t>
  </si>
  <si>
    <t>2024-06-26</t>
  </si>
  <si>
    <t>ODR02278</t>
  </si>
  <si>
    <t>ODR02279</t>
  </si>
  <si>
    <t>ODR02280</t>
  </si>
  <si>
    <t>2024-07-30</t>
  </si>
  <si>
    <t>ODR02281</t>
  </si>
  <si>
    <t>ODR02282</t>
  </si>
  <si>
    <t>ODR02283</t>
  </si>
  <si>
    <t>ODR02284</t>
  </si>
  <si>
    <t>ODR02285</t>
  </si>
  <si>
    <t>ODR02286</t>
  </si>
  <si>
    <t>ODR02287</t>
  </si>
  <si>
    <t>ODR02288</t>
  </si>
  <si>
    <t>ODR02289</t>
  </si>
  <si>
    <t>ODR02290</t>
  </si>
  <si>
    <t>ODR02291</t>
  </si>
  <si>
    <t>2026-03-06</t>
  </si>
  <si>
    <t>ODR02292</t>
  </si>
  <si>
    <t>ODR02293</t>
  </si>
  <si>
    <t>ODR02294</t>
  </si>
  <si>
    <t>ODR02295</t>
  </si>
  <si>
    <t>ODR02296</t>
  </si>
  <si>
    <t>2026-02-05</t>
  </si>
  <si>
    <t>ODR02297</t>
  </si>
  <si>
    <t>ODR02298</t>
  </si>
  <si>
    <t>ODR02299</t>
  </si>
  <si>
    <t>ODR02300</t>
  </si>
  <si>
    <t>ODR02301</t>
  </si>
  <si>
    <t>ODR02302</t>
  </si>
  <si>
    <t>ODR02303</t>
  </si>
  <si>
    <t>ODR02304</t>
  </si>
  <si>
    <t>ODR02305</t>
  </si>
  <si>
    <t>ODR02306</t>
  </si>
  <si>
    <t>ODR02307</t>
  </si>
  <si>
    <t>ODR02308</t>
  </si>
  <si>
    <t>ODR02309</t>
  </si>
  <si>
    <t>2025-02-12</t>
  </si>
  <si>
    <t>ODR02310</t>
  </si>
  <si>
    <t>ODR02311</t>
  </si>
  <si>
    <t>ODR02312</t>
  </si>
  <si>
    <t>ODR02313</t>
  </si>
  <si>
    <t>ODR02314</t>
  </si>
  <si>
    <t>ODR02315</t>
  </si>
  <si>
    <t>ODR02316</t>
  </si>
  <si>
    <t>2026-03-15</t>
  </si>
  <si>
    <t>ODR02317</t>
  </si>
  <si>
    <t>ODR02318</t>
  </si>
  <si>
    <t>ODR02319</t>
  </si>
  <si>
    <t>ODR02320</t>
  </si>
  <si>
    <t>ODR02321</t>
  </si>
  <si>
    <t>ODR02322</t>
  </si>
  <si>
    <t>ODR02323</t>
  </si>
  <si>
    <t>ODR02324</t>
  </si>
  <si>
    <t>ODR02325</t>
  </si>
  <si>
    <t>ODR02326</t>
  </si>
  <si>
    <t>ODR02327</t>
  </si>
  <si>
    <t>ODR02328</t>
  </si>
  <si>
    <t>ODR02329</t>
  </si>
  <si>
    <t>ODR02330</t>
  </si>
  <si>
    <t>ODR02331</t>
  </si>
  <si>
    <t>ODR02332</t>
  </si>
  <si>
    <t>ODR02333</t>
  </si>
  <si>
    <t>ODR02334</t>
  </si>
  <si>
    <t>ODR02335</t>
  </si>
  <si>
    <t>ODR02336</t>
  </si>
  <si>
    <t>ODR02337</t>
  </si>
  <si>
    <t>ODR02338</t>
  </si>
  <si>
    <t>ODR02339</t>
  </si>
  <si>
    <t>ODR02340</t>
  </si>
  <si>
    <t>ODR02341</t>
  </si>
  <si>
    <t>ODR02342</t>
  </si>
  <si>
    <t>ODR02343</t>
  </si>
  <si>
    <t>ODR02344</t>
  </si>
  <si>
    <t>ODR02345</t>
  </si>
  <si>
    <t>ODR02346</t>
  </si>
  <si>
    <t>ODR02347</t>
  </si>
  <si>
    <t>ODR02348</t>
  </si>
  <si>
    <t>ODR02349</t>
  </si>
  <si>
    <t>ODR02350</t>
  </si>
  <si>
    <t>ODR02351</t>
  </si>
  <si>
    <t>ODR02352</t>
  </si>
  <si>
    <t>ODR02353</t>
  </si>
  <si>
    <t>ODR02354</t>
  </si>
  <si>
    <t>ODR02355</t>
  </si>
  <si>
    <t>ODR02356</t>
  </si>
  <si>
    <t>ODR02357</t>
  </si>
  <si>
    <t>ODR02358</t>
  </si>
  <si>
    <t>ODR02359</t>
  </si>
  <si>
    <t>ODR02360</t>
  </si>
  <si>
    <t>ODR02361</t>
  </si>
  <si>
    <t>ODR02362</t>
  </si>
  <si>
    <t>ODR02363</t>
  </si>
  <si>
    <t>ODR02364</t>
  </si>
  <si>
    <t>ODR02365</t>
  </si>
  <si>
    <t>ODR02366</t>
  </si>
  <si>
    <t>ODR02367</t>
  </si>
  <si>
    <t>ODR02368</t>
  </si>
  <si>
    <t>ODR02369</t>
  </si>
  <si>
    <t>ODR02370</t>
  </si>
  <si>
    <t>ODR02371</t>
  </si>
  <si>
    <t>ODR02372</t>
  </si>
  <si>
    <t>ODR02373</t>
  </si>
  <si>
    <t>ODR02374</t>
  </si>
  <si>
    <t>ODR02375</t>
  </si>
  <si>
    <t>2024-12-31</t>
  </si>
  <si>
    <t>ODR02376</t>
  </si>
  <si>
    <t>ODR02377</t>
  </si>
  <si>
    <t>ODR02378</t>
  </si>
  <si>
    <t>ODR02379</t>
  </si>
  <si>
    <t>ODR02380</t>
  </si>
  <si>
    <t>ODR02381</t>
  </si>
  <si>
    <t>ODR02382</t>
  </si>
  <si>
    <t>ODR02383</t>
  </si>
  <si>
    <t>ODR02384</t>
  </si>
  <si>
    <t>ODR02385</t>
  </si>
  <si>
    <t>ODR02386</t>
  </si>
  <si>
    <t>2025-05-21</t>
  </si>
  <si>
    <t>ODR02387</t>
  </si>
  <si>
    <t>ODR02388</t>
  </si>
  <si>
    <t>ODR02389</t>
  </si>
  <si>
    <t>ODR02390</t>
  </si>
  <si>
    <t>ODR02391</t>
  </si>
  <si>
    <t>ODR02392</t>
  </si>
  <si>
    <t>ODR02393</t>
  </si>
  <si>
    <t>ODR02394</t>
  </si>
  <si>
    <t>ODR02395</t>
  </si>
  <si>
    <t>ODR02396</t>
  </si>
  <si>
    <t>ODR02397</t>
  </si>
  <si>
    <t>ODR02398</t>
  </si>
  <si>
    <t>ODR02399</t>
  </si>
  <si>
    <t>ODR02400</t>
  </si>
  <si>
    <t>ODR02401</t>
  </si>
  <si>
    <t>ODR02402</t>
  </si>
  <si>
    <t>ODR02403</t>
  </si>
  <si>
    <t>ODR02404</t>
  </si>
  <si>
    <t>ODR02405</t>
  </si>
  <si>
    <t>ODR02406</t>
  </si>
  <si>
    <t>ODR02407</t>
  </si>
  <si>
    <t>ODR02408</t>
  </si>
  <si>
    <t>ODR02409</t>
  </si>
  <si>
    <t>ODR02410</t>
  </si>
  <si>
    <t>ODR02411</t>
  </si>
  <si>
    <t>ODR02412</t>
  </si>
  <si>
    <t>ODR02413</t>
  </si>
  <si>
    <t>ODR02414</t>
  </si>
  <si>
    <t>ODR02415</t>
  </si>
  <si>
    <t>ODR02416</t>
  </si>
  <si>
    <t>ODR02417</t>
  </si>
  <si>
    <t>2025-04-12</t>
  </si>
  <si>
    <t>ODR02418</t>
  </si>
  <si>
    <t>ODR02419</t>
  </si>
  <si>
    <t>ODR02420</t>
  </si>
  <si>
    <t>ODR02421</t>
  </si>
  <si>
    <t>ODR02422</t>
  </si>
  <si>
    <t>ODR02423</t>
  </si>
  <si>
    <t>ODR02424</t>
  </si>
  <si>
    <t>ODR02425</t>
  </si>
  <si>
    <t>ODR02426</t>
  </si>
  <si>
    <t>ODR02427</t>
  </si>
  <si>
    <t>ODR02428</t>
  </si>
  <si>
    <t>ODR02429</t>
  </si>
  <si>
    <t>ODR02430</t>
  </si>
  <si>
    <t>ODR02431</t>
  </si>
  <si>
    <t>ODR02432</t>
  </si>
  <si>
    <t>ODR02433</t>
  </si>
  <si>
    <t>ODR02434</t>
  </si>
  <si>
    <t>ODR02435</t>
  </si>
  <si>
    <t>ODR02436</t>
  </si>
  <si>
    <t>ODR02437</t>
  </si>
  <si>
    <t>ODR02438</t>
  </si>
  <si>
    <t>ODR02439</t>
  </si>
  <si>
    <t>ODR02440</t>
  </si>
  <si>
    <t>ODR02441</t>
  </si>
  <si>
    <t>ODR02442</t>
  </si>
  <si>
    <t>ODR02443</t>
  </si>
  <si>
    <t>ODR02444</t>
  </si>
  <si>
    <t>ODR02445</t>
  </si>
  <si>
    <t>ODR02446</t>
  </si>
  <si>
    <t>ODR02447</t>
  </si>
  <si>
    <t>ODR02448</t>
  </si>
  <si>
    <t>ODR02449</t>
  </si>
  <si>
    <t>ODR02450</t>
  </si>
  <si>
    <t>ODR02451</t>
  </si>
  <si>
    <t>ODR02452</t>
  </si>
  <si>
    <t>ODR02453</t>
  </si>
  <si>
    <t>ODR02454</t>
  </si>
  <si>
    <t>2025-06-19</t>
  </si>
  <si>
    <t>ODR02455</t>
  </si>
  <si>
    <t>ODR02456</t>
  </si>
  <si>
    <t>ODR02457</t>
  </si>
  <si>
    <t>ODR02458</t>
  </si>
  <si>
    <t>ODR02459</t>
  </si>
  <si>
    <t>ODR02460</t>
  </si>
  <si>
    <t>ODR02461</t>
  </si>
  <si>
    <t>ODR02462</t>
  </si>
  <si>
    <t>ODR02463</t>
  </si>
  <si>
    <t>ODR02464</t>
  </si>
  <si>
    <t>2024-05-07</t>
  </si>
  <si>
    <t>ODR02465</t>
  </si>
  <si>
    <t>ODR02466</t>
  </si>
  <si>
    <t>ODR02467</t>
  </si>
  <si>
    <t>ODR02468</t>
  </si>
  <si>
    <t>ODR02469</t>
  </si>
  <si>
    <t>ODR02470</t>
  </si>
  <si>
    <t>ODR02471</t>
  </si>
  <si>
    <t>ODR02472</t>
  </si>
  <si>
    <t>ODR02473</t>
  </si>
  <si>
    <t>ODR02474</t>
  </si>
  <si>
    <t>ODR02475</t>
  </si>
  <si>
    <t>ODR02476</t>
  </si>
  <si>
    <t>ODR02477</t>
  </si>
  <si>
    <t>ODR02478</t>
  </si>
  <si>
    <t>ODR02479</t>
  </si>
  <si>
    <t>ODR02480</t>
  </si>
  <si>
    <t>ODR02481</t>
  </si>
  <si>
    <t>ODR02482</t>
  </si>
  <si>
    <t>ODR02483</t>
  </si>
  <si>
    <t>ODR02484</t>
  </si>
  <si>
    <t>ODR02485</t>
  </si>
  <si>
    <t>ODR02486</t>
  </si>
  <si>
    <t>ODR02487</t>
  </si>
  <si>
    <t>ODR02488</t>
  </si>
  <si>
    <t>ODR02489</t>
  </si>
  <si>
    <t>ODR02490</t>
  </si>
  <si>
    <t>ODR02491</t>
  </si>
  <si>
    <t>ODR02492</t>
  </si>
  <si>
    <t>ODR02493</t>
  </si>
  <si>
    <t>ODR02494</t>
  </si>
  <si>
    <t>ODR02495</t>
  </si>
  <si>
    <t>ODR02496</t>
  </si>
  <si>
    <t>ODR02497</t>
  </si>
  <si>
    <t>ODR02498</t>
  </si>
  <si>
    <t>ODR02499</t>
  </si>
  <si>
    <t>ODR02500</t>
  </si>
  <si>
    <t>ODR02501</t>
  </si>
  <si>
    <t>ODR02502</t>
  </si>
  <si>
    <t>ODR02503</t>
  </si>
  <si>
    <t>ODR02504</t>
  </si>
  <si>
    <t>ODR02505</t>
  </si>
  <si>
    <t>ODR02506</t>
  </si>
  <si>
    <t>ODR02507</t>
  </si>
  <si>
    <t>ODR02508</t>
  </si>
  <si>
    <t>ODR02509</t>
  </si>
  <si>
    <t>ODR02510</t>
  </si>
  <si>
    <t>ODR02511</t>
  </si>
  <si>
    <t>ODR02512</t>
  </si>
  <si>
    <t>ODR02513</t>
  </si>
  <si>
    <t>ODR02514</t>
  </si>
  <si>
    <t>ODR02515</t>
  </si>
  <si>
    <t>ODR02516</t>
  </si>
  <si>
    <t>ODR02517</t>
  </si>
  <si>
    <t>ODR02518</t>
  </si>
  <si>
    <t>ODR02519</t>
  </si>
  <si>
    <t>ODR02520</t>
  </si>
  <si>
    <t>ODR02521</t>
  </si>
  <si>
    <t>ODR02522</t>
  </si>
  <si>
    <t>ODR02523</t>
  </si>
  <si>
    <t>ODR02524</t>
  </si>
  <si>
    <t>ODR02525</t>
  </si>
  <si>
    <t>ODR02526</t>
  </si>
  <si>
    <t>ODR02527</t>
  </si>
  <si>
    <t>ODR02528</t>
  </si>
  <si>
    <t>ODR02529</t>
  </si>
  <si>
    <t>ODR02530</t>
  </si>
  <si>
    <t>ODR02531</t>
  </si>
  <si>
    <t>ODR02532</t>
  </si>
  <si>
    <t>ODR02533</t>
  </si>
  <si>
    <t>ODR02534</t>
  </si>
  <si>
    <t>ODR02535</t>
  </si>
  <si>
    <t>ODR02536</t>
  </si>
  <si>
    <t>ODR02537</t>
  </si>
  <si>
    <t>ODR02538</t>
  </si>
  <si>
    <t>ODR02539</t>
  </si>
  <si>
    <t>ODR02540</t>
  </si>
  <si>
    <t>ODR02541</t>
  </si>
  <si>
    <t>ODR02542</t>
  </si>
  <si>
    <t>ODR02543</t>
  </si>
  <si>
    <t>2024-06-24</t>
  </si>
  <si>
    <t>ODR02544</t>
  </si>
  <si>
    <t>ODR02545</t>
  </si>
  <si>
    <t>ODR02546</t>
  </si>
  <si>
    <t>ODR02547</t>
  </si>
  <si>
    <t>ODR02548</t>
  </si>
  <si>
    <t>ODR02549</t>
  </si>
  <si>
    <t>ODR02550</t>
  </si>
  <si>
    <t>ODR02551</t>
  </si>
  <si>
    <t>ODR02552</t>
  </si>
  <si>
    <t>ODR02553</t>
  </si>
  <si>
    <t>ODR02554</t>
  </si>
  <si>
    <t>ODR02555</t>
  </si>
  <si>
    <t>ODR02556</t>
  </si>
  <si>
    <t>ODR02557</t>
  </si>
  <si>
    <t>ODR02558</t>
  </si>
  <si>
    <t>ODR02559</t>
  </si>
  <si>
    <t>ODR02560</t>
  </si>
  <si>
    <t>ODR02561</t>
  </si>
  <si>
    <t>ODR02562</t>
  </si>
  <si>
    <t>ODR02563</t>
  </si>
  <si>
    <t>2024-04-07</t>
  </si>
  <si>
    <t>ODR02564</t>
  </si>
  <si>
    <t>ODR02565</t>
  </si>
  <si>
    <t>ODR02566</t>
  </si>
  <si>
    <t>2025-04-01</t>
  </si>
  <si>
    <t>ODR02567</t>
  </si>
  <si>
    <t>ODR02568</t>
  </si>
  <si>
    <t>ODR02569</t>
  </si>
  <si>
    <t>ODR02570</t>
  </si>
  <si>
    <t>ODR02571</t>
  </si>
  <si>
    <t>2024-09-14</t>
  </si>
  <si>
    <t>ODR02572</t>
  </si>
  <si>
    <t>ODR02573</t>
  </si>
  <si>
    <t>ODR02574</t>
  </si>
  <si>
    <t>ODR02575</t>
  </si>
  <si>
    <t>ODR02576</t>
  </si>
  <si>
    <t>ODR02577</t>
  </si>
  <si>
    <t>ODR02578</t>
  </si>
  <si>
    <t>ODR02579</t>
  </si>
  <si>
    <t>ODR02580</t>
  </si>
  <si>
    <t>ODR02581</t>
  </si>
  <si>
    <t>ODR02582</t>
  </si>
  <si>
    <t>ODR02583</t>
  </si>
  <si>
    <t>ODR02584</t>
  </si>
  <si>
    <t>ODR02585</t>
  </si>
  <si>
    <t>ODR02586</t>
  </si>
  <si>
    <t>ODR02587</t>
  </si>
  <si>
    <t>ODR02588</t>
  </si>
  <si>
    <t>ODR02589</t>
  </si>
  <si>
    <t>ODR02590</t>
  </si>
  <si>
    <t>ODR02591</t>
  </si>
  <si>
    <t>ODR02592</t>
  </si>
  <si>
    <t>ODR02593</t>
  </si>
  <si>
    <t>ODR02594</t>
  </si>
  <si>
    <t>ODR02595</t>
  </si>
  <si>
    <t>ODR02596</t>
  </si>
  <si>
    <t>ODR02597</t>
  </si>
  <si>
    <t>ODR02598</t>
  </si>
  <si>
    <t>ODR02599</t>
  </si>
  <si>
    <t>ODR02600</t>
  </si>
  <si>
    <t>ODR02601</t>
  </si>
  <si>
    <t>ODR02602</t>
  </si>
  <si>
    <t>ODR02603</t>
  </si>
  <si>
    <t>ODR02604</t>
  </si>
  <si>
    <t>ODR02605</t>
  </si>
  <si>
    <t>ODR02606</t>
  </si>
  <si>
    <t>ODR02607</t>
  </si>
  <si>
    <t>ODR02608</t>
  </si>
  <si>
    <t>ODR02609</t>
  </si>
  <si>
    <t>ODR02610</t>
  </si>
  <si>
    <t>ODR02611</t>
  </si>
  <si>
    <t>ODR02612</t>
  </si>
  <si>
    <t>ODR02613</t>
  </si>
  <si>
    <t>ODR02614</t>
  </si>
  <si>
    <t>ODR02615</t>
  </si>
  <si>
    <t>ODR02616</t>
  </si>
  <si>
    <t>ODR02617</t>
  </si>
  <si>
    <t>ODR02618</t>
  </si>
  <si>
    <t>ODR02619</t>
  </si>
  <si>
    <t>ODR02620</t>
  </si>
  <si>
    <t>ODR02621</t>
  </si>
  <si>
    <t>ODR02622</t>
  </si>
  <si>
    <t>ODR02623</t>
  </si>
  <si>
    <t>ODR02624</t>
  </si>
  <si>
    <t>ODR02625</t>
  </si>
  <si>
    <t>ODR02626</t>
  </si>
  <si>
    <t>ODR02627</t>
  </si>
  <si>
    <t>ODR02628</t>
  </si>
  <si>
    <t>ODR02629</t>
  </si>
  <si>
    <t>ODR02630</t>
  </si>
  <si>
    <t>ODR02631</t>
  </si>
  <si>
    <t>ODR02632</t>
  </si>
  <si>
    <t>ODR02633</t>
  </si>
  <si>
    <t>ODR02634</t>
  </si>
  <si>
    <t>ODR02635</t>
  </si>
  <si>
    <t>ODR02636</t>
  </si>
  <si>
    <t>ODR02637</t>
  </si>
  <si>
    <t>ODR02638</t>
  </si>
  <si>
    <t>ODR02639</t>
  </si>
  <si>
    <t>ODR02640</t>
  </si>
  <si>
    <t>ODR02641</t>
  </si>
  <si>
    <t>ODR02642</t>
  </si>
  <si>
    <t>ODR02643</t>
  </si>
  <si>
    <t>ODR02644</t>
  </si>
  <si>
    <t>ODR02645</t>
  </si>
  <si>
    <t>ODR02646</t>
  </si>
  <si>
    <t>ODR02647</t>
  </si>
  <si>
    <t>ODR02648</t>
  </si>
  <si>
    <t>ODR02649</t>
  </si>
  <si>
    <t>ODR02650</t>
  </si>
  <si>
    <t>ODR02651</t>
  </si>
  <si>
    <t>ODR02652</t>
  </si>
  <si>
    <t>ODR02653</t>
  </si>
  <si>
    <t>ODR02654</t>
  </si>
  <si>
    <t>ODR02655</t>
  </si>
  <si>
    <t>ODR02656</t>
  </si>
  <si>
    <t>ODR02657</t>
  </si>
  <si>
    <t>ODR02658</t>
  </si>
  <si>
    <t>ODR02659</t>
  </si>
  <si>
    <t>ODR02660</t>
  </si>
  <si>
    <t>ODR02661</t>
  </si>
  <si>
    <t>ODR02662</t>
  </si>
  <si>
    <t>ODR02663</t>
  </si>
  <si>
    <t>ODR02664</t>
  </si>
  <si>
    <t>ODR02665</t>
  </si>
  <si>
    <t>ODR02666</t>
  </si>
  <si>
    <t>ODR02667</t>
  </si>
  <si>
    <t>ODR02668</t>
  </si>
  <si>
    <t>ODR02669</t>
  </si>
  <si>
    <t>ODR02670</t>
  </si>
  <si>
    <t>ODR02671</t>
  </si>
  <si>
    <t>ODR02672</t>
  </si>
  <si>
    <t>ODR02673</t>
  </si>
  <si>
    <t>ODR02674</t>
  </si>
  <si>
    <t>ODR02675</t>
  </si>
  <si>
    <t>ODR02676</t>
  </si>
  <si>
    <t>ODR02677</t>
  </si>
  <si>
    <t>ODR02678</t>
  </si>
  <si>
    <t>ODR02679</t>
  </si>
  <si>
    <t>ODR02680</t>
  </si>
  <si>
    <t>ODR02681</t>
  </si>
  <si>
    <t>ODR02682</t>
  </si>
  <si>
    <t>ODR02683</t>
  </si>
  <si>
    <t>ODR02684</t>
  </si>
  <si>
    <t>ODR02685</t>
  </si>
  <si>
    <t>ODR02686</t>
  </si>
  <si>
    <t>ODR02687</t>
  </si>
  <si>
    <t>ODR02688</t>
  </si>
  <si>
    <t>ODR02689</t>
  </si>
  <si>
    <t>2024-12-19</t>
  </si>
  <si>
    <t>ODR02690</t>
  </si>
  <si>
    <t>ODR02691</t>
  </si>
  <si>
    <t>ODR02692</t>
  </si>
  <si>
    <t>ODR02693</t>
  </si>
  <si>
    <t>ODR02694</t>
  </si>
  <si>
    <t>ODR02695</t>
  </si>
  <si>
    <t>ODR02696</t>
  </si>
  <si>
    <t>ODR02697</t>
  </si>
  <si>
    <t>ODR02698</t>
  </si>
  <si>
    <t>2024-08-07</t>
  </si>
  <si>
    <t>ODR02699</t>
  </si>
  <si>
    <t>ODR02700</t>
  </si>
  <si>
    <t>ODR02701</t>
  </si>
  <si>
    <t>ODR02702</t>
  </si>
  <si>
    <t>ODR02703</t>
  </si>
  <si>
    <t>ODR02704</t>
  </si>
  <si>
    <t>ODR02705</t>
  </si>
  <si>
    <t>ODR02706</t>
  </si>
  <si>
    <t>ODR02707</t>
  </si>
  <si>
    <t>ODR02708</t>
  </si>
  <si>
    <t>ODR02709</t>
  </si>
  <si>
    <t>ODR02710</t>
  </si>
  <si>
    <t>ODR02711</t>
  </si>
  <si>
    <t>ODR02712</t>
  </si>
  <si>
    <t>ODR02713</t>
  </si>
  <si>
    <t>ODR02714</t>
  </si>
  <si>
    <t>ODR02715</t>
  </si>
  <si>
    <t>ODR02716</t>
  </si>
  <si>
    <t>ODR02717</t>
  </si>
  <si>
    <t>ODR02718</t>
  </si>
  <si>
    <t>ODR02719</t>
  </si>
  <si>
    <t>ODR02720</t>
  </si>
  <si>
    <t>ODR02721</t>
  </si>
  <si>
    <t>ODR02722</t>
  </si>
  <si>
    <t>ODR02723</t>
  </si>
  <si>
    <t>ODR02724</t>
  </si>
  <si>
    <t>ODR02725</t>
  </si>
  <si>
    <t>ODR02726</t>
  </si>
  <si>
    <t>ODR02727</t>
  </si>
  <si>
    <t>ODR02728</t>
  </si>
  <si>
    <t>ODR02729</t>
  </si>
  <si>
    <t>ODR02730</t>
  </si>
  <si>
    <t>ODR02731</t>
  </si>
  <si>
    <t>ODR02732</t>
  </si>
  <si>
    <t>ODR02733</t>
  </si>
  <si>
    <t>ODR02734</t>
  </si>
  <si>
    <t>ODR02735</t>
  </si>
  <si>
    <t>ODR02736</t>
  </si>
  <si>
    <t>ODR02737</t>
  </si>
  <si>
    <t>ODR02738</t>
  </si>
  <si>
    <t>ODR02739</t>
  </si>
  <si>
    <t>ODR02740</t>
  </si>
  <si>
    <t>ODR02741</t>
  </si>
  <si>
    <t>ODR02742</t>
  </si>
  <si>
    <t>ODR02743</t>
  </si>
  <si>
    <t>ODR02744</t>
  </si>
  <si>
    <t>ODR02745</t>
  </si>
  <si>
    <t>ODR02746</t>
  </si>
  <si>
    <t>ODR02747</t>
  </si>
  <si>
    <t>ODR02748</t>
  </si>
  <si>
    <t>ODR02749</t>
  </si>
  <si>
    <t>ODR02750</t>
  </si>
  <si>
    <t>ODR02751</t>
  </si>
  <si>
    <t>2026-02-09</t>
  </si>
  <si>
    <t>ODR02752</t>
  </si>
  <si>
    <t>ODR02753</t>
  </si>
  <si>
    <t>ODR02754</t>
  </si>
  <si>
    <t>ODR02755</t>
  </si>
  <si>
    <t>ODR02756</t>
  </si>
  <si>
    <t>ODR02757</t>
  </si>
  <si>
    <t>ODR02758</t>
  </si>
  <si>
    <t>ODR02759</t>
  </si>
  <si>
    <t>ODR02760</t>
  </si>
  <si>
    <t>ODR02761</t>
  </si>
  <si>
    <t>ODR02762</t>
  </si>
  <si>
    <t>ODR02763</t>
  </si>
  <si>
    <t>ODR02764</t>
  </si>
  <si>
    <t>ODR02765</t>
  </si>
  <si>
    <t>ODR02766</t>
  </si>
  <si>
    <t>ODR02767</t>
  </si>
  <si>
    <t>ODR02768</t>
  </si>
  <si>
    <t>ODR02769</t>
  </si>
  <si>
    <t>ODR02770</t>
  </si>
  <si>
    <t>ODR02771</t>
  </si>
  <si>
    <t>ODR02772</t>
  </si>
  <si>
    <t>ODR02773</t>
  </si>
  <si>
    <t>ODR02774</t>
  </si>
  <si>
    <t>ODR02775</t>
  </si>
  <si>
    <t>ODR02776</t>
  </si>
  <si>
    <t>ODR02777</t>
  </si>
  <si>
    <t>ODR02778</t>
  </si>
  <si>
    <t>ODR02779</t>
  </si>
  <si>
    <t>ODR02780</t>
  </si>
  <si>
    <t>ODR02781</t>
  </si>
  <si>
    <t>ODR02782</t>
  </si>
  <si>
    <t>ODR02783</t>
  </si>
  <si>
    <t>ODR02784</t>
  </si>
  <si>
    <t>ODR02785</t>
  </si>
  <si>
    <t>ODR02786</t>
  </si>
  <si>
    <t>ODR02787</t>
  </si>
  <si>
    <t>ODR02788</t>
  </si>
  <si>
    <t>ODR02789</t>
  </si>
  <si>
    <t>ODR02790</t>
  </si>
  <si>
    <t>ODR02791</t>
  </si>
  <si>
    <t>ODR02792</t>
  </si>
  <si>
    <t>ODR02793</t>
  </si>
  <si>
    <t>ODR02794</t>
  </si>
  <si>
    <t>ODR02795</t>
  </si>
  <si>
    <t>ODR02796</t>
  </si>
  <si>
    <t>ODR02797</t>
  </si>
  <si>
    <t>ODR02798</t>
  </si>
  <si>
    <t>ODR02799</t>
  </si>
  <si>
    <t>ODR02800</t>
  </si>
  <si>
    <t>ODR02801</t>
  </si>
  <si>
    <t>ODR02802</t>
  </si>
  <si>
    <t>ODR02803</t>
  </si>
  <si>
    <t>ODR02804</t>
  </si>
  <si>
    <t>ODR02805</t>
  </si>
  <si>
    <t>ODR02806</t>
  </si>
  <si>
    <t>ODR02807</t>
  </si>
  <si>
    <t>ODR02808</t>
  </si>
  <si>
    <t>ODR02809</t>
  </si>
  <si>
    <t>ODR02810</t>
  </si>
  <si>
    <t>ODR02811</t>
  </si>
  <si>
    <t>ODR02812</t>
  </si>
  <si>
    <t>ODR02813</t>
  </si>
  <si>
    <t>ODR02814</t>
  </si>
  <si>
    <t>ODR02815</t>
  </si>
  <si>
    <t>ODR02816</t>
  </si>
  <si>
    <t>ODR02817</t>
  </si>
  <si>
    <t>ODR02818</t>
  </si>
  <si>
    <t>ODR02819</t>
  </si>
  <si>
    <t>ODR02820</t>
  </si>
  <si>
    <t>ODR02821</t>
  </si>
  <si>
    <t>ODR02822</t>
  </si>
  <si>
    <t>ODR02823</t>
  </si>
  <si>
    <t>ODR02824</t>
  </si>
  <si>
    <t>ODR02825</t>
  </si>
  <si>
    <t>ODR02826</t>
  </si>
  <si>
    <t>ODR02827</t>
  </si>
  <si>
    <t>ODR02828</t>
  </si>
  <si>
    <t>ODR02829</t>
  </si>
  <si>
    <t>ODR02830</t>
  </si>
  <si>
    <t>ODR02831</t>
  </si>
  <si>
    <t>ODR02832</t>
  </si>
  <si>
    <t>ODR02833</t>
  </si>
  <si>
    <t>ODR02834</t>
  </si>
  <si>
    <t>ODR02835</t>
  </si>
  <si>
    <t>ODR02836</t>
  </si>
  <si>
    <t>ODR02837</t>
  </si>
  <si>
    <t>ODR02838</t>
  </si>
  <si>
    <t>ODR02839</t>
  </si>
  <si>
    <t>ODR02840</t>
  </si>
  <si>
    <t>ODR02841</t>
  </si>
  <si>
    <t>ODR02842</t>
  </si>
  <si>
    <t>ODR02843</t>
  </si>
  <si>
    <t>ODR02844</t>
  </si>
  <si>
    <t>ODR02845</t>
  </si>
  <si>
    <t>ODR02846</t>
  </si>
  <si>
    <t>ODR02847</t>
  </si>
  <si>
    <t>2025-09-10</t>
  </si>
  <si>
    <t>ODR02848</t>
  </si>
  <si>
    <t>ODR02849</t>
  </si>
  <si>
    <t>ODR02850</t>
  </si>
  <si>
    <t>ODR02851</t>
  </si>
  <si>
    <t>ODR02852</t>
  </si>
  <si>
    <t>ODR02853</t>
  </si>
  <si>
    <t>ODR02854</t>
  </si>
  <si>
    <t>ODR02855</t>
  </si>
  <si>
    <t>ODR02856</t>
  </si>
  <si>
    <t>ODR02857</t>
  </si>
  <si>
    <t>ODR02858</t>
  </si>
  <si>
    <t>ODR02859</t>
  </si>
  <si>
    <t>ODR02860</t>
  </si>
  <si>
    <t>ODR02861</t>
  </si>
  <si>
    <t>ODR02862</t>
  </si>
  <si>
    <t>ODR02863</t>
  </si>
  <si>
    <t>ODR02864</t>
  </si>
  <si>
    <t>ODR02865</t>
  </si>
  <si>
    <t>ODR02866</t>
  </si>
  <si>
    <t>ODR02867</t>
  </si>
  <si>
    <t>ODR02868</t>
  </si>
  <si>
    <t>ODR02869</t>
  </si>
  <si>
    <t>ODR02870</t>
  </si>
  <si>
    <t>ODR02871</t>
  </si>
  <si>
    <t>ODR02872</t>
  </si>
  <si>
    <t>ODR02873</t>
  </si>
  <si>
    <t>ODR02874</t>
  </si>
  <si>
    <t>2025-03-11</t>
  </si>
  <si>
    <t>ODR02875</t>
  </si>
  <si>
    <t>ODR02876</t>
  </si>
  <si>
    <t>ODR02877</t>
  </si>
  <si>
    <t>ODR02878</t>
  </si>
  <si>
    <t>ODR02879</t>
  </si>
  <si>
    <t>ODR02880</t>
  </si>
  <si>
    <t>ODR02881</t>
  </si>
  <si>
    <t>ODR02882</t>
  </si>
  <si>
    <t>ODR02883</t>
  </si>
  <si>
    <t>ODR02884</t>
  </si>
  <si>
    <t>ODR02885</t>
  </si>
  <si>
    <t>ODR02886</t>
  </si>
  <si>
    <t>ODR02887</t>
  </si>
  <si>
    <t>ODR02888</t>
  </si>
  <si>
    <t>ODR02889</t>
  </si>
  <si>
    <t>ODR02890</t>
  </si>
  <si>
    <t>ODR02891</t>
  </si>
  <si>
    <t>ODR02892</t>
  </si>
  <si>
    <t>ODR02893</t>
  </si>
  <si>
    <t>ODR02894</t>
  </si>
  <si>
    <t>ODR02895</t>
  </si>
  <si>
    <t>ODR02896</t>
  </si>
  <si>
    <t>ODR02897</t>
  </si>
  <si>
    <t>ODR02898</t>
  </si>
  <si>
    <t>ODR02899</t>
  </si>
  <si>
    <t>ODR02900</t>
  </si>
  <si>
    <t>ODR02901</t>
  </si>
  <si>
    <t>ODR02902</t>
  </si>
  <si>
    <t>ODR02903</t>
  </si>
  <si>
    <t>ODR02904</t>
  </si>
  <si>
    <t>ODR02905</t>
  </si>
  <si>
    <t>ODR02906</t>
  </si>
  <si>
    <t>ODR02907</t>
  </si>
  <si>
    <t>ODR02908</t>
  </si>
  <si>
    <t>ODR02909</t>
  </si>
  <si>
    <t>ODR02910</t>
  </si>
  <si>
    <t>ODR02911</t>
  </si>
  <si>
    <t>ODR02912</t>
  </si>
  <si>
    <t>ODR02913</t>
  </si>
  <si>
    <t>ODR02914</t>
  </si>
  <si>
    <t>ODR02915</t>
  </si>
  <si>
    <t>ODR02916</t>
  </si>
  <si>
    <t>ODR02917</t>
  </si>
  <si>
    <t>ODR02918</t>
  </si>
  <si>
    <t>ODR02919</t>
  </si>
  <si>
    <t>ODR02920</t>
  </si>
  <si>
    <t>ODR02921</t>
  </si>
  <si>
    <t>ODR02922</t>
  </si>
  <si>
    <t>ODR02923</t>
  </si>
  <si>
    <t>ODR02924</t>
  </si>
  <si>
    <t>ODR02925</t>
  </si>
  <si>
    <t>ODR02926</t>
  </si>
  <si>
    <t>ODR02927</t>
  </si>
  <si>
    <t>ODR02928</t>
  </si>
  <si>
    <t>ODR02929</t>
  </si>
  <si>
    <t>ODR02930</t>
  </si>
  <si>
    <t>ODR02931</t>
  </si>
  <si>
    <t>ODR02932</t>
  </si>
  <si>
    <t>ODR02933</t>
  </si>
  <si>
    <t>ODR02934</t>
  </si>
  <si>
    <t>ODR02935</t>
  </si>
  <si>
    <t>ODR02936</t>
  </si>
  <si>
    <t>ODR02937</t>
  </si>
  <si>
    <t>ODR02938</t>
  </si>
  <si>
    <t>ODR02939</t>
  </si>
  <si>
    <t>ODR02940</t>
  </si>
  <si>
    <t>ODR02941</t>
  </si>
  <si>
    <t>ODR02942</t>
  </si>
  <si>
    <t>ODR02943</t>
  </si>
  <si>
    <t>ODR02944</t>
  </si>
  <si>
    <t>ODR02945</t>
  </si>
  <si>
    <t>ODR02946</t>
  </si>
  <si>
    <t>ODR02947</t>
  </si>
  <si>
    <t>ODR02948</t>
  </si>
  <si>
    <t>ODR02949</t>
  </si>
  <si>
    <t>ODR02950</t>
  </si>
  <si>
    <t>ODR02951</t>
  </si>
  <si>
    <t>ODR02952</t>
  </si>
  <si>
    <t>ODR02953</t>
  </si>
  <si>
    <t>ODR02954</t>
  </si>
  <si>
    <t>ODR02955</t>
  </si>
  <si>
    <t>ODR02956</t>
  </si>
  <si>
    <t>ODR02957</t>
  </si>
  <si>
    <t>ODR02958</t>
  </si>
  <si>
    <t>ODR02959</t>
  </si>
  <si>
    <t>ODR02960</t>
  </si>
  <si>
    <t>ODR02961</t>
  </si>
  <si>
    <t>ODR02962</t>
  </si>
  <si>
    <t>ODR02963</t>
  </si>
  <si>
    <t>ODR02964</t>
  </si>
  <si>
    <t>ODR02965</t>
  </si>
  <si>
    <t>ODR02966</t>
  </si>
  <si>
    <t>ODR02967</t>
  </si>
  <si>
    <t>ODR02968</t>
  </si>
  <si>
    <t>ODR02969</t>
  </si>
  <si>
    <t>ODR02970</t>
  </si>
  <si>
    <t>ODR02971</t>
  </si>
  <si>
    <t>ODR02972</t>
  </si>
  <si>
    <t>ODR02973</t>
  </si>
  <si>
    <t>ODR02974</t>
  </si>
  <si>
    <t>ODR02975</t>
  </si>
  <si>
    <t>ODR02976</t>
  </si>
  <si>
    <t>ODR02977</t>
  </si>
  <si>
    <t>ODR02978</t>
  </si>
  <si>
    <t>ODR02979</t>
  </si>
  <si>
    <t>ODR02980</t>
  </si>
  <si>
    <t>ODR02981</t>
  </si>
  <si>
    <t>ODR02982</t>
  </si>
  <si>
    <t>ODR02983</t>
  </si>
  <si>
    <t>ODR02984</t>
  </si>
  <si>
    <t>ODR02985</t>
  </si>
  <si>
    <t>ODR02986</t>
  </si>
  <si>
    <t>ODR02987</t>
  </si>
  <si>
    <t>ODR02988</t>
  </si>
  <si>
    <t>ODR02989</t>
  </si>
  <si>
    <t>ODR02990</t>
  </si>
  <si>
    <t>ODR02991</t>
  </si>
  <si>
    <t>ODR02992</t>
  </si>
  <si>
    <t>ODR02993</t>
  </si>
  <si>
    <t>ODR02994</t>
  </si>
  <si>
    <t>ODR02995</t>
  </si>
  <si>
    <t>ODR02996</t>
  </si>
  <si>
    <t>ODR02997</t>
  </si>
  <si>
    <t>ODR02998</t>
  </si>
  <si>
    <t>ODR02999</t>
  </si>
  <si>
    <t>ODR03000</t>
  </si>
  <si>
    <t>ODR03001</t>
  </si>
  <si>
    <t>ODR03002</t>
  </si>
  <si>
    <t>ODR03003</t>
  </si>
  <si>
    <t>ODR03004</t>
  </si>
  <si>
    <t>ODR03005</t>
  </si>
  <si>
    <t>ODR03006</t>
  </si>
  <si>
    <t>ODR03007</t>
  </si>
  <si>
    <t>ODR03008</t>
  </si>
  <si>
    <t>ODR03009</t>
  </si>
  <si>
    <t>ODR03010</t>
  </si>
  <si>
    <t>ODR03011</t>
  </si>
  <si>
    <t>ODR03012</t>
  </si>
  <si>
    <t>ODR03013</t>
  </si>
  <si>
    <t>ODR03014</t>
  </si>
  <si>
    <t>ODR03015</t>
  </si>
  <si>
    <t>ODR03016</t>
  </si>
  <si>
    <t>ODR03017</t>
  </si>
  <si>
    <t>2024-09-13</t>
  </si>
  <si>
    <t>ODR03018</t>
  </si>
  <si>
    <t>ODR03019</t>
  </si>
  <si>
    <t>ODR03020</t>
  </si>
  <si>
    <t>ODR03021</t>
  </si>
  <si>
    <t>ODR03022</t>
  </si>
  <si>
    <t>ODR03023</t>
  </si>
  <si>
    <t>ODR03024</t>
  </si>
  <si>
    <t>ODR03025</t>
  </si>
  <si>
    <t>ODR03026</t>
  </si>
  <si>
    <t>ODR03027</t>
  </si>
  <si>
    <t>ODR03028</t>
  </si>
  <si>
    <t>ODR03029</t>
  </si>
  <si>
    <t>ODR03030</t>
  </si>
  <si>
    <t>ODR03031</t>
  </si>
  <si>
    <t>ODR03032</t>
  </si>
  <si>
    <t>ODR03033</t>
  </si>
  <si>
    <t>ODR03034</t>
  </si>
  <si>
    <t>ODR03035</t>
  </si>
  <si>
    <t>ODR03036</t>
  </si>
  <si>
    <t>ODR03037</t>
  </si>
  <si>
    <t>ODR03038</t>
  </si>
  <si>
    <t>ODR03039</t>
  </si>
  <si>
    <t>ODR03040</t>
  </si>
  <si>
    <t>ODR03041</t>
  </si>
  <si>
    <t>ODR03042</t>
  </si>
  <si>
    <t>ODR03043</t>
  </si>
  <si>
    <t>ODR03044</t>
  </si>
  <si>
    <t>ODR03045</t>
  </si>
  <si>
    <t>ODR03046</t>
  </si>
  <si>
    <t>ODR03047</t>
  </si>
  <si>
    <t>ODR03048</t>
  </si>
  <si>
    <t>ODR03049</t>
  </si>
  <si>
    <t>ODR03050</t>
  </si>
  <si>
    <t>ODR03051</t>
  </si>
  <si>
    <t>ODR03052</t>
  </si>
  <si>
    <t>ODR03053</t>
  </si>
  <si>
    <t>ODR03054</t>
  </si>
  <si>
    <t>ODR03055</t>
  </si>
  <si>
    <t>ODR03056</t>
  </si>
  <si>
    <t>ODR03057</t>
  </si>
  <si>
    <t>ODR03058</t>
  </si>
  <si>
    <t>ODR03059</t>
  </si>
  <si>
    <t>ODR03060</t>
  </si>
  <si>
    <t>ODR03061</t>
  </si>
  <si>
    <t>ODR03062</t>
  </si>
  <si>
    <t>ODR03063</t>
  </si>
  <si>
    <t>ODR03064</t>
  </si>
  <si>
    <t>ODR03065</t>
  </si>
  <si>
    <t>ODR03066</t>
  </si>
  <si>
    <t>ODR03067</t>
  </si>
  <si>
    <t>ODR03068</t>
  </si>
  <si>
    <t>ODR03069</t>
  </si>
  <si>
    <t>ODR03070</t>
  </si>
  <si>
    <t>ODR03071</t>
  </si>
  <si>
    <t>ODR03072</t>
  </si>
  <si>
    <t>ODR03073</t>
  </si>
  <si>
    <t>ODR03074</t>
  </si>
  <si>
    <t>ODR03075</t>
  </si>
  <si>
    <t>ODR03076</t>
  </si>
  <si>
    <t>ODR03077</t>
  </si>
  <si>
    <t>ODR03078</t>
  </si>
  <si>
    <t>ODR03079</t>
  </si>
  <si>
    <t>ODR03080</t>
  </si>
  <si>
    <t>ODR03081</t>
  </si>
  <si>
    <t>ODR03082</t>
  </si>
  <si>
    <t>ODR03083</t>
  </si>
  <si>
    <t>ODR03084</t>
  </si>
  <si>
    <t>ODR03085</t>
  </si>
  <si>
    <t>ODR03086</t>
  </si>
  <si>
    <t>ODR03087</t>
  </si>
  <si>
    <t>ODR03088</t>
  </si>
  <si>
    <t>ODR03089</t>
  </si>
  <si>
    <t>ODR03090</t>
  </si>
  <si>
    <t>ODR03091</t>
  </si>
  <si>
    <t>ODR03092</t>
  </si>
  <si>
    <t>ODR03093</t>
  </si>
  <si>
    <t>ODR03094</t>
  </si>
  <si>
    <t>ODR03095</t>
  </si>
  <si>
    <t>ODR03096</t>
  </si>
  <si>
    <t>ODR03097</t>
  </si>
  <si>
    <t>ODR03098</t>
  </si>
  <si>
    <t>ODR03099</t>
  </si>
  <si>
    <t>ODR03100</t>
  </si>
  <si>
    <t>ODR03101</t>
  </si>
  <si>
    <t>ODR03102</t>
  </si>
  <si>
    <t>ODR03103</t>
  </si>
  <si>
    <t>ODR03104</t>
  </si>
  <si>
    <t>ODR03105</t>
  </si>
  <si>
    <t>ODR03106</t>
  </si>
  <si>
    <t>ODR03107</t>
  </si>
  <si>
    <t>ODR03108</t>
  </si>
  <si>
    <t>ODR03109</t>
  </si>
  <si>
    <t>ODR03110</t>
  </si>
  <si>
    <t>ODR03111</t>
  </si>
  <si>
    <t>ODR03112</t>
  </si>
  <si>
    <t>ODR03113</t>
  </si>
  <si>
    <t>ODR03114</t>
  </si>
  <si>
    <t>ODR03115</t>
  </si>
  <si>
    <t>ODR03116</t>
  </si>
  <si>
    <t>ODR03117</t>
  </si>
  <si>
    <t>ODR03118</t>
  </si>
  <si>
    <t>ODR03119</t>
  </si>
  <si>
    <t>ODR03120</t>
  </si>
  <si>
    <t>2026-03-12</t>
  </si>
  <si>
    <t>ODR03121</t>
  </si>
  <si>
    <t>ODR03122</t>
  </si>
  <si>
    <t>ODR03123</t>
  </si>
  <si>
    <t>ODR03124</t>
  </si>
  <si>
    <t>ODR03125</t>
  </si>
  <si>
    <t>ODR03126</t>
  </si>
  <si>
    <t>ODR03127</t>
  </si>
  <si>
    <t>ODR03128</t>
  </si>
  <si>
    <t>ODR03129</t>
  </si>
  <si>
    <t>ODR03130</t>
  </si>
  <si>
    <t>ODR03131</t>
  </si>
  <si>
    <t>ODR03132</t>
  </si>
  <si>
    <t>ODR03133</t>
  </si>
  <si>
    <t>ODR03134</t>
  </si>
  <si>
    <t>ODR03135</t>
  </si>
  <si>
    <t>ODR03136</t>
  </si>
  <si>
    <t>ODR03137</t>
  </si>
  <si>
    <t>ODR03138</t>
  </si>
  <si>
    <t>ODR03139</t>
  </si>
  <si>
    <t>ODR03140</t>
  </si>
  <si>
    <t>ODR03141</t>
  </si>
  <si>
    <t>ODR03142</t>
  </si>
  <si>
    <t>ODR03143</t>
  </si>
  <si>
    <t>ODR03144</t>
  </si>
  <si>
    <t>ODR03145</t>
  </si>
  <si>
    <t>ODR03146</t>
  </si>
  <si>
    <t>ODR03147</t>
  </si>
  <si>
    <t>ODR03148</t>
  </si>
  <si>
    <t>ODR03149</t>
  </si>
  <si>
    <t>ODR03150</t>
  </si>
  <si>
    <t>ODR03151</t>
  </si>
  <si>
    <t>ODR03152</t>
  </si>
  <si>
    <t>ODR03153</t>
  </si>
  <si>
    <t>ODR03154</t>
  </si>
  <si>
    <t>ODR03155</t>
  </si>
  <si>
    <t>ODR03156</t>
  </si>
  <si>
    <t>ODR03157</t>
  </si>
  <si>
    <t>ODR03158</t>
  </si>
  <si>
    <t>ODR03159</t>
  </si>
  <si>
    <t>ODR03160</t>
  </si>
  <si>
    <t>ODR03161</t>
  </si>
  <si>
    <t>ODR03162</t>
  </si>
  <si>
    <t>ODR03163</t>
  </si>
  <si>
    <t>ODR03164</t>
  </si>
  <si>
    <t>ODR03165</t>
  </si>
  <si>
    <t>ODR03166</t>
  </si>
  <si>
    <t>ODR03167</t>
  </si>
  <si>
    <t>ODR03168</t>
  </si>
  <si>
    <t>ODR03169</t>
  </si>
  <si>
    <t>ODR03170</t>
  </si>
  <si>
    <t>ODR03171</t>
  </si>
  <si>
    <t>ODR03172</t>
  </si>
  <si>
    <t>ODR03173</t>
  </si>
  <si>
    <t>ODR03174</t>
  </si>
  <si>
    <t>ODR03175</t>
  </si>
  <si>
    <t>ODR03176</t>
  </si>
  <si>
    <t>ODR03177</t>
  </si>
  <si>
    <t>ODR03178</t>
  </si>
  <si>
    <t>ODR03179</t>
  </si>
  <si>
    <t>ODR03180</t>
  </si>
  <si>
    <t>ODR03181</t>
  </si>
  <si>
    <t>ODR03182</t>
  </si>
  <si>
    <t>ODR03183</t>
  </si>
  <si>
    <t>ODR03184</t>
  </si>
  <si>
    <t>ODR03185</t>
  </si>
  <si>
    <t>ODR03186</t>
  </si>
  <si>
    <t>ODR03187</t>
  </si>
  <si>
    <t>ODR03188</t>
  </si>
  <si>
    <t>ODR03189</t>
  </si>
  <si>
    <t>ODR03190</t>
  </si>
  <si>
    <t>ODR03191</t>
  </si>
  <si>
    <t>ODR03192</t>
  </si>
  <si>
    <t>ODR03193</t>
  </si>
  <si>
    <t>ODR03194</t>
  </si>
  <si>
    <t>ODR03195</t>
  </si>
  <si>
    <t>ODR03196</t>
  </si>
  <si>
    <t>ODR03197</t>
  </si>
  <si>
    <t>ODR03198</t>
  </si>
  <si>
    <t>ODR03199</t>
  </si>
  <si>
    <t>ODR03200</t>
  </si>
  <si>
    <t>ODR03201</t>
  </si>
  <si>
    <t>ODR03202</t>
  </si>
  <si>
    <t>ODR03203</t>
  </si>
  <si>
    <t>ODR03204</t>
  </si>
  <si>
    <t>ODR03205</t>
  </si>
  <si>
    <t>ODR03206</t>
  </si>
  <si>
    <t>ODR03207</t>
  </si>
  <si>
    <t>ODR03208</t>
  </si>
  <si>
    <t>ODR03209</t>
  </si>
  <si>
    <t>ODR03210</t>
  </si>
  <si>
    <t>ODR03211</t>
  </si>
  <si>
    <t>ODR03212</t>
  </si>
  <si>
    <t>ODR03213</t>
  </si>
  <si>
    <t>ODR03214</t>
  </si>
  <si>
    <t>ODR03215</t>
  </si>
  <si>
    <t>ODR03216</t>
  </si>
  <si>
    <t>ODR03217</t>
  </si>
  <si>
    <t>ODR03218</t>
  </si>
  <si>
    <t>ODR03219</t>
  </si>
  <si>
    <t>ODR03220</t>
  </si>
  <si>
    <t>ODR03221</t>
  </si>
  <si>
    <t>ODR03222</t>
  </si>
  <si>
    <t>ODR03223</t>
  </si>
  <si>
    <t>ODR03224</t>
  </si>
  <si>
    <t>ODR03225</t>
  </si>
  <si>
    <t>ODR03226</t>
  </si>
  <si>
    <t>ODR03227</t>
  </si>
  <si>
    <t>ODR03228</t>
  </si>
  <si>
    <t>ODR03229</t>
  </si>
  <si>
    <t>ODR03230</t>
  </si>
  <si>
    <t>ODR03231</t>
  </si>
  <si>
    <t>ODR03232</t>
  </si>
  <si>
    <t>ODR03233</t>
  </si>
  <si>
    <t>ODR03234</t>
  </si>
  <si>
    <t>ODR03235</t>
  </si>
  <si>
    <t>ODR03236</t>
  </si>
  <si>
    <t>ODR03237</t>
  </si>
  <si>
    <t>ODR03238</t>
  </si>
  <si>
    <t>ODR03239</t>
  </si>
  <si>
    <t>ODR03240</t>
  </si>
  <si>
    <t>ODR03241</t>
  </si>
  <si>
    <t>ODR03242</t>
  </si>
  <si>
    <t>ODR03243</t>
  </si>
  <si>
    <t>ODR03244</t>
  </si>
  <si>
    <t>ODR03245</t>
  </si>
  <si>
    <t>ODR03246</t>
  </si>
  <si>
    <t>ODR03247</t>
  </si>
  <si>
    <t>ODR03248</t>
  </si>
  <si>
    <t>ODR03249</t>
  </si>
  <si>
    <t>ODR03250</t>
  </si>
  <si>
    <t>ODR03251</t>
  </si>
  <si>
    <t>ODR03252</t>
  </si>
  <si>
    <t>ODR03253</t>
  </si>
  <si>
    <t>ODR03254</t>
  </si>
  <si>
    <t>ODR03255</t>
  </si>
  <si>
    <t>ODR03256</t>
  </si>
  <si>
    <t>ODR03257</t>
  </si>
  <si>
    <t>ODR03258</t>
  </si>
  <si>
    <t>ODR03259</t>
  </si>
  <si>
    <t>ODR03260</t>
  </si>
  <si>
    <t>ODR03261</t>
  </si>
  <si>
    <t>ODR03262</t>
  </si>
  <si>
    <t>ODR03263</t>
  </si>
  <si>
    <t>ODR03264</t>
  </si>
  <si>
    <t>ODR03265</t>
  </si>
  <si>
    <t>ODR03266</t>
  </si>
  <si>
    <t>ODR03267</t>
  </si>
  <si>
    <t>ODR03268</t>
  </si>
  <si>
    <t>ODR03269</t>
  </si>
  <si>
    <t>ODR03270</t>
  </si>
  <si>
    <t>ODR03271</t>
  </si>
  <si>
    <t>ODR03272</t>
  </si>
  <si>
    <t>ODR03273</t>
  </si>
  <si>
    <t>ODR03274</t>
  </si>
  <si>
    <t>ODR03275</t>
  </si>
  <si>
    <t>ODR03276</t>
  </si>
  <si>
    <t>ODR03277</t>
  </si>
  <si>
    <t>ODR03278</t>
  </si>
  <si>
    <t>ODR03279</t>
  </si>
  <si>
    <t>ODR03280</t>
  </si>
  <si>
    <t>ODR03281</t>
  </si>
  <si>
    <t>ODR03282</t>
  </si>
  <si>
    <t>ODR03283</t>
  </si>
  <si>
    <t>ODR03284</t>
  </si>
  <si>
    <t>ODR03285</t>
  </si>
  <si>
    <t>ODR03286</t>
  </si>
  <si>
    <t>ODR03287</t>
  </si>
  <si>
    <t>ODR03288</t>
  </si>
  <si>
    <t>ODR03289</t>
  </si>
  <si>
    <t>ODR03290</t>
  </si>
  <si>
    <t>ODR03291</t>
  </si>
  <si>
    <t>ODR03292</t>
  </si>
  <si>
    <t>ODR03293</t>
  </si>
  <si>
    <t>ODR03294</t>
  </si>
  <si>
    <t>ODR03295</t>
  </si>
  <si>
    <t>ODR03296</t>
  </si>
  <si>
    <t>ODR03297</t>
  </si>
  <si>
    <t>ODR03298</t>
  </si>
  <si>
    <t>ODR03299</t>
  </si>
  <si>
    <t>ODR03300</t>
  </si>
  <si>
    <t>ODR03301</t>
  </si>
  <si>
    <t>ODR03302</t>
  </si>
  <si>
    <t>ODR03303</t>
  </si>
  <si>
    <t>ODR03304</t>
  </si>
  <si>
    <t>ODR03305</t>
  </si>
  <si>
    <t>ODR03306</t>
  </si>
  <si>
    <t>ODR03307</t>
  </si>
  <si>
    <t>ODR03308</t>
  </si>
  <si>
    <t>ODR03309</t>
  </si>
  <si>
    <t>ODR03310</t>
  </si>
  <si>
    <t>ODR03311</t>
  </si>
  <si>
    <t>ODR03312</t>
  </si>
  <si>
    <t>ODR03313</t>
  </si>
  <si>
    <t>ODR03314</t>
  </si>
  <si>
    <t>ODR03315</t>
  </si>
  <si>
    <t>ODR03316</t>
  </si>
  <si>
    <t>ODR03317</t>
  </si>
  <si>
    <t>ODR03318</t>
  </si>
  <si>
    <t>ODR03319</t>
  </si>
  <si>
    <t>ODR03320</t>
  </si>
  <si>
    <t>ODR03321</t>
  </si>
  <si>
    <t>ODR03322</t>
  </si>
  <si>
    <t>2024-07-15</t>
  </si>
  <si>
    <t>ODR03323</t>
  </si>
  <si>
    <t>ODR03324</t>
  </si>
  <si>
    <t>ODR03325</t>
  </si>
  <si>
    <t>ODR03326</t>
  </si>
  <si>
    <t>ODR03327</t>
  </si>
  <si>
    <t>ODR03328</t>
  </si>
  <si>
    <t>ODR03329</t>
  </si>
  <si>
    <t>ODR03330</t>
  </si>
  <si>
    <t>ODR03331</t>
  </si>
  <si>
    <t>ODR03332</t>
  </si>
  <si>
    <t>ODR03333</t>
  </si>
  <si>
    <t>ODR03334</t>
  </si>
  <si>
    <t>ODR03335</t>
  </si>
  <si>
    <t>ODR03336</t>
  </si>
  <si>
    <t>ODR03337</t>
  </si>
  <si>
    <t>ODR03338</t>
  </si>
  <si>
    <t>ODR03339</t>
  </si>
  <si>
    <t>ODR03340</t>
  </si>
  <si>
    <t>ODR03341</t>
  </si>
  <si>
    <t>ODR03342</t>
  </si>
  <si>
    <t>ODR03343</t>
  </si>
  <si>
    <t>ODR03344</t>
  </si>
  <si>
    <t>ODR03345</t>
  </si>
  <si>
    <t>ODR03346</t>
  </si>
  <si>
    <t>ODR03347</t>
  </si>
  <si>
    <t>ODR03348</t>
  </si>
  <si>
    <t>ODR03349</t>
  </si>
  <si>
    <t>ODR03350</t>
  </si>
  <si>
    <t>ODR03351</t>
  </si>
  <si>
    <t>ODR03352</t>
  </si>
  <si>
    <t>ODR03353</t>
  </si>
  <si>
    <t>ODR03354</t>
  </si>
  <si>
    <t>ODR03355</t>
  </si>
  <si>
    <t>ODR03356</t>
  </si>
  <si>
    <t>ODR03357</t>
  </si>
  <si>
    <t>ODR03358</t>
  </si>
  <si>
    <t>ODR03359</t>
  </si>
  <si>
    <t>ODR03360</t>
  </si>
  <si>
    <t>ODR03361</t>
  </si>
  <si>
    <t>ODR03362</t>
  </si>
  <si>
    <t>ODR03363</t>
  </si>
  <si>
    <t>ODR03364</t>
  </si>
  <si>
    <t>ODR03365</t>
  </si>
  <si>
    <t>ODR03366</t>
  </si>
  <si>
    <t>ODR03367</t>
  </si>
  <si>
    <t>ODR03368</t>
  </si>
  <si>
    <t>ODR03369</t>
  </si>
  <si>
    <t>ODR03370</t>
  </si>
  <si>
    <t>ODR03371</t>
  </si>
  <si>
    <t>ODR03372</t>
  </si>
  <si>
    <t>ODR03373</t>
  </si>
  <si>
    <t>ODR03374</t>
  </si>
  <si>
    <t>ODR03375</t>
  </si>
  <si>
    <t>ODR03376</t>
  </si>
  <si>
    <t>ODR03377</t>
  </si>
  <si>
    <t>ODR03378</t>
  </si>
  <si>
    <t>ODR03379</t>
  </si>
  <si>
    <t>ODR03380</t>
  </si>
  <si>
    <t>ODR03381</t>
  </si>
  <si>
    <t>ODR03382</t>
  </si>
  <si>
    <t>ODR03383</t>
  </si>
  <si>
    <t>ODR03384</t>
  </si>
  <si>
    <t>ODR03385</t>
  </si>
  <si>
    <t>ODR03386</t>
  </si>
  <si>
    <t>ODR03387</t>
  </si>
  <si>
    <t>ODR03388</t>
  </si>
  <si>
    <t>ODR03389</t>
  </si>
  <si>
    <t>ODR03390</t>
  </si>
  <si>
    <t>ODR03391</t>
  </si>
  <si>
    <t>ODR03392</t>
  </si>
  <si>
    <t>ODR03393</t>
  </si>
  <si>
    <t>ODR03394</t>
  </si>
  <si>
    <t>ODR03395</t>
  </si>
  <si>
    <t>ODR03396</t>
  </si>
  <si>
    <t>ODR03397</t>
  </si>
  <si>
    <t>ODR03398</t>
  </si>
  <si>
    <t>ODR03399</t>
  </si>
  <si>
    <t>ODR03400</t>
  </si>
  <si>
    <t>ODR03401</t>
  </si>
  <si>
    <t>ODR03402</t>
  </si>
  <si>
    <t>ODR03403</t>
  </si>
  <si>
    <t>ODR03404</t>
  </si>
  <si>
    <t>ODR03405</t>
  </si>
  <si>
    <t>ODR03406</t>
  </si>
  <si>
    <t>ODR03407</t>
  </si>
  <si>
    <t>ODR03408</t>
  </si>
  <si>
    <t>ODR03409</t>
  </si>
  <si>
    <t>ODR03410</t>
  </si>
  <si>
    <t>ODR03411</t>
  </si>
  <si>
    <t>2025-07-02</t>
  </si>
  <si>
    <t>ODR03412</t>
  </si>
  <si>
    <t>ODR03413</t>
  </si>
  <si>
    <t>ODR03414</t>
  </si>
  <si>
    <t>ODR03415</t>
  </si>
  <si>
    <t>ODR03416</t>
  </si>
  <si>
    <t>ODR03417</t>
  </si>
  <si>
    <t>ODR03418</t>
  </si>
  <si>
    <t>ODR03419</t>
  </si>
  <si>
    <t>ODR03420</t>
  </si>
  <si>
    <t>ODR03421</t>
  </si>
  <si>
    <t>ODR03422</t>
  </si>
  <si>
    <t>ODR03423</t>
  </si>
  <si>
    <t>ODR03424</t>
  </si>
  <si>
    <t>ODR03425</t>
  </si>
  <si>
    <t>ODR03426</t>
  </si>
  <si>
    <t>ODR03427</t>
  </si>
  <si>
    <t>ODR03428</t>
  </si>
  <si>
    <t>ODR03429</t>
  </si>
  <si>
    <t>ODR03430</t>
  </si>
  <si>
    <t>ODR03431</t>
  </si>
  <si>
    <t>ODR03432</t>
  </si>
  <si>
    <t>ODR03433</t>
  </si>
  <si>
    <t>ODR03434</t>
  </si>
  <si>
    <t>ODR03435</t>
  </si>
  <si>
    <t>ODR03436</t>
  </si>
  <si>
    <t>ODR03437</t>
  </si>
  <si>
    <t>ODR03438</t>
  </si>
  <si>
    <t>ODR03439</t>
  </si>
  <si>
    <t>ODR03440</t>
  </si>
  <si>
    <t>2025-01-02</t>
  </si>
  <si>
    <t>ODR03441</t>
  </si>
  <si>
    <t>ODR03442</t>
  </si>
  <si>
    <t>ODR03443</t>
  </si>
  <si>
    <t>ODR03444</t>
  </si>
  <si>
    <t>ODR03445</t>
  </si>
  <si>
    <t>ODR03446</t>
  </si>
  <si>
    <t>ODR03447</t>
  </si>
  <si>
    <t>ODR03448</t>
  </si>
  <si>
    <t>ODR03449</t>
  </si>
  <si>
    <t>ODR03450</t>
  </si>
  <si>
    <t>ODR03451</t>
  </si>
  <si>
    <t>ODR03452</t>
  </si>
  <si>
    <t>ODR03453</t>
  </si>
  <si>
    <t>ODR03454</t>
  </si>
  <si>
    <t>ODR03455</t>
  </si>
  <si>
    <t>ODR03456</t>
  </si>
  <si>
    <t>ODR03457</t>
  </si>
  <si>
    <t>ODR03458</t>
  </si>
  <si>
    <t>ODR03459</t>
  </si>
  <si>
    <t>ODR03460</t>
  </si>
  <si>
    <t>ODR03461</t>
  </si>
  <si>
    <t>ODR03462</t>
  </si>
  <si>
    <t>ODR03463</t>
  </si>
  <si>
    <t>ODR03464</t>
  </si>
  <si>
    <t>ODR03465</t>
  </si>
  <si>
    <t>ODR03466</t>
  </si>
  <si>
    <t>ODR03467</t>
  </si>
  <si>
    <t>ODR03468</t>
  </si>
  <si>
    <t>ODR03469</t>
  </si>
  <si>
    <t>ODR03470</t>
  </si>
  <si>
    <t>ODR03471</t>
  </si>
  <si>
    <t>ODR03472</t>
  </si>
  <si>
    <t>ODR03473</t>
  </si>
  <si>
    <t>ODR03474</t>
  </si>
  <si>
    <t>ODR03475</t>
  </si>
  <si>
    <t>ODR03476</t>
  </si>
  <si>
    <t>ODR03477</t>
  </si>
  <si>
    <t>ODR03478</t>
  </si>
  <si>
    <t>ODR03479</t>
  </si>
  <si>
    <t>ODR03480</t>
  </si>
  <si>
    <t>ODR03481</t>
  </si>
  <si>
    <t>ODR03482</t>
  </si>
  <si>
    <t>ODR03483</t>
  </si>
  <si>
    <t>ODR03484</t>
  </si>
  <si>
    <t>ODR03485</t>
  </si>
  <si>
    <t>ODR03486</t>
  </si>
  <si>
    <t>ODR03487</t>
  </si>
  <si>
    <t>ODR03488</t>
  </si>
  <si>
    <t>ODR03489</t>
  </si>
  <si>
    <t>ODR03490</t>
  </si>
  <si>
    <t>ODR03491</t>
  </si>
  <si>
    <t>ODR03492</t>
  </si>
  <si>
    <t>ODR03493</t>
  </si>
  <si>
    <t>ODR03494</t>
  </si>
  <si>
    <t>ODR03495</t>
  </si>
  <si>
    <t>ODR03496</t>
  </si>
  <si>
    <t>ODR03497</t>
  </si>
  <si>
    <t>ODR03498</t>
  </si>
  <si>
    <t>ODR03499</t>
  </si>
  <si>
    <t>ODR03500</t>
  </si>
  <si>
    <t>ODR03501</t>
  </si>
  <si>
    <t>ODR03502</t>
  </si>
  <si>
    <t>ODR03503</t>
  </si>
  <si>
    <t>ODR03504</t>
  </si>
  <si>
    <t>ODR03505</t>
  </si>
  <si>
    <t>ODR03506</t>
  </si>
  <si>
    <t>ODR03507</t>
  </si>
  <si>
    <t>ODR03508</t>
  </si>
  <si>
    <t>ODR03509</t>
  </si>
  <si>
    <t>ODR03510</t>
  </si>
  <si>
    <t>ODR03511</t>
  </si>
  <si>
    <t>ODR03512</t>
  </si>
  <si>
    <t>ODR03513</t>
  </si>
  <si>
    <t>ODR03514</t>
  </si>
  <si>
    <t>ODR03515</t>
  </si>
  <si>
    <t>ODR03516</t>
  </si>
  <si>
    <t>ODR03517</t>
  </si>
  <si>
    <t>ODR03518</t>
  </si>
  <si>
    <t>ODR03519</t>
  </si>
  <si>
    <t>ODR03520</t>
  </si>
  <si>
    <t>ODR03521</t>
  </si>
  <si>
    <t>ODR03522</t>
  </si>
  <si>
    <t>ODR03523</t>
  </si>
  <si>
    <t>ODR03524</t>
  </si>
  <si>
    <t>ODR03525</t>
  </si>
  <si>
    <t>ODR03526</t>
  </si>
  <si>
    <t>ODR03527</t>
  </si>
  <si>
    <t>ODR03528</t>
  </si>
  <si>
    <t>ODR03529</t>
  </si>
  <si>
    <t>ODR03530</t>
  </si>
  <si>
    <t>ODR03531</t>
  </si>
  <si>
    <t>ODR03532</t>
  </si>
  <si>
    <t>ODR03533</t>
  </si>
  <si>
    <t>ODR03534</t>
  </si>
  <si>
    <t>ODR03535</t>
  </si>
  <si>
    <t>ODR03536</t>
  </si>
  <si>
    <t>ODR03537</t>
  </si>
  <si>
    <t>ODR03538</t>
  </si>
  <si>
    <t>ODR03539</t>
  </si>
  <si>
    <t>ODR03540</t>
  </si>
  <si>
    <t>ODR03541</t>
  </si>
  <si>
    <t>ODR03542</t>
  </si>
  <si>
    <t>ODR03543</t>
  </si>
  <si>
    <t>ODR03544</t>
  </si>
  <si>
    <t>ODR03545</t>
  </si>
  <si>
    <t>ODR03546</t>
  </si>
  <si>
    <t>ODR03547</t>
  </si>
  <si>
    <t>ODR03548</t>
  </si>
  <si>
    <t>ODR03549</t>
  </si>
  <si>
    <t>ODR03550</t>
  </si>
  <si>
    <t>ODR03551</t>
  </si>
  <si>
    <t>ODR03552</t>
  </si>
  <si>
    <t>ODR03553</t>
  </si>
  <si>
    <t>ODR03554</t>
  </si>
  <si>
    <t>ODR03555</t>
  </si>
  <si>
    <t>ODR03556</t>
  </si>
  <si>
    <t>ODR03557</t>
  </si>
  <si>
    <t>ODR03558</t>
  </si>
  <si>
    <t>ODR03559</t>
  </si>
  <si>
    <t>ODR03560</t>
  </si>
  <si>
    <t>ODR03561</t>
  </si>
  <si>
    <t>ODR03562</t>
  </si>
  <si>
    <t>ODR03563</t>
  </si>
  <si>
    <t>ODR03564</t>
  </si>
  <si>
    <t>ODR03565</t>
  </si>
  <si>
    <t>ODR03566</t>
  </si>
  <si>
    <t>ODR03567</t>
  </si>
  <si>
    <t>ODR03568</t>
  </si>
  <si>
    <t>ODR03569</t>
  </si>
  <si>
    <t>ODR03570</t>
  </si>
  <si>
    <t>ODR03571</t>
  </si>
  <si>
    <t>ODR03572</t>
  </si>
  <si>
    <t>ODR03573</t>
  </si>
  <si>
    <t>ODR03574</t>
  </si>
  <si>
    <t>ODR03575</t>
  </si>
  <si>
    <t>ODR03576</t>
  </si>
  <si>
    <t>ODR03577</t>
  </si>
  <si>
    <t>ODR03578</t>
  </si>
  <si>
    <t>ODR03579</t>
  </si>
  <si>
    <t>ODR03580</t>
  </si>
  <si>
    <t>ODR03581</t>
  </si>
  <si>
    <t>ODR03582</t>
  </si>
  <si>
    <t>ODR03583</t>
  </si>
  <si>
    <t>ODR03584</t>
  </si>
  <si>
    <t>ODR03585</t>
  </si>
  <si>
    <t>ODR03586</t>
  </si>
  <si>
    <t>ODR03587</t>
  </si>
  <si>
    <t>ODR03588</t>
  </si>
  <si>
    <t>ODR03589</t>
  </si>
  <si>
    <t>ODR03590</t>
  </si>
  <si>
    <t>ODR03591</t>
  </si>
  <si>
    <t>ODR03592</t>
  </si>
  <si>
    <t>ODR03593</t>
  </si>
  <si>
    <t>ODR03594</t>
  </si>
  <si>
    <t>ODR03595</t>
  </si>
  <si>
    <t>ODR03596</t>
  </si>
  <si>
    <t>ODR03597</t>
  </si>
  <si>
    <t>ODR03598</t>
  </si>
  <si>
    <t>ODR03599</t>
  </si>
  <si>
    <t>ODR03600</t>
  </si>
  <si>
    <t>ODR03601</t>
  </si>
  <si>
    <t>ODR03602</t>
  </si>
  <si>
    <t>ODR03603</t>
  </si>
  <si>
    <t>ODR03604</t>
  </si>
  <si>
    <t>ODR03605</t>
  </si>
  <si>
    <t>ODR03606</t>
  </si>
  <si>
    <t>ODR03607</t>
  </si>
  <si>
    <t>ODR03608</t>
  </si>
  <si>
    <t>ODR03609</t>
  </si>
  <si>
    <t>ODR03610</t>
  </si>
  <si>
    <t>ODR03611</t>
  </si>
  <si>
    <t>ODR03612</t>
  </si>
  <si>
    <t>ODR03613</t>
  </si>
  <si>
    <t>ODR03614</t>
  </si>
  <si>
    <t>ODR03615</t>
  </si>
  <si>
    <t>ODR03616</t>
  </si>
  <si>
    <t>ODR03617</t>
  </si>
  <si>
    <t>ODR03618</t>
  </si>
  <si>
    <t>ODR03619</t>
  </si>
  <si>
    <t>ODR03620</t>
  </si>
  <si>
    <t>ODR03621</t>
  </si>
  <si>
    <t>ODR03622</t>
  </si>
  <si>
    <t>ODR03623</t>
  </si>
  <si>
    <t>ODR03624</t>
  </si>
  <si>
    <t>ODR03625</t>
  </si>
  <si>
    <t>ODR03626</t>
  </si>
  <si>
    <t>ODR03627</t>
  </si>
  <si>
    <t>ODR03628</t>
  </si>
  <si>
    <t>ODR03629</t>
  </si>
  <si>
    <t>ODR03630</t>
  </si>
  <si>
    <t>ODR03631</t>
  </si>
  <si>
    <t>ODR03632</t>
  </si>
  <si>
    <t>ODR03633</t>
  </si>
  <si>
    <t>ODR03634</t>
  </si>
  <si>
    <t>ODR03635</t>
  </si>
  <si>
    <t>ODR03636</t>
  </si>
  <si>
    <t>ODR03637</t>
  </si>
  <si>
    <t>ODR03638</t>
  </si>
  <si>
    <t>ODR03639</t>
  </si>
  <si>
    <t>ODR03640</t>
  </si>
  <si>
    <t>ODR03641</t>
  </si>
  <si>
    <t>ODR03642</t>
  </si>
  <si>
    <t>ODR03643</t>
  </si>
  <si>
    <t>ODR03644</t>
  </si>
  <si>
    <t>ODR03645</t>
  </si>
  <si>
    <t>ODR03646</t>
  </si>
  <si>
    <t>ODR03647</t>
  </si>
  <si>
    <t>ODR03648</t>
  </si>
  <si>
    <t>ODR03649</t>
  </si>
  <si>
    <t>ODR03650</t>
  </si>
  <si>
    <t>ODR03651</t>
  </si>
  <si>
    <t>ODR03652</t>
  </si>
  <si>
    <t>ODR03653</t>
  </si>
  <si>
    <t>ODR03654</t>
  </si>
  <si>
    <t>ODR03655</t>
  </si>
  <si>
    <t>ODR03656</t>
  </si>
  <si>
    <t>ODR03657</t>
  </si>
  <si>
    <t>ODR03658</t>
  </si>
  <si>
    <t>ODR03659</t>
  </si>
  <si>
    <t>ODR03660</t>
  </si>
  <si>
    <t>ODR03661</t>
  </si>
  <si>
    <t>ODR03662</t>
  </si>
  <si>
    <t>ODR03663</t>
  </si>
  <si>
    <t>ODR03664</t>
  </si>
  <si>
    <t>ODR03665</t>
  </si>
  <si>
    <t>ODR03666</t>
  </si>
  <si>
    <t>ODR03667</t>
  </si>
  <si>
    <t>ODR03668</t>
  </si>
  <si>
    <t>ODR03669</t>
  </si>
  <si>
    <t>ODR03670</t>
  </si>
  <si>
    <t>ODR03671</t>
  </si>
  <si>
    <t>ODR03672</t>
  </si>
  <si>
    <t>ODR03673</t>
  </si>
  <si>
    <t>ODR03674</t>
  </si>
  <si>
    <t>ODR03675</t>
  </si>
  <si>
    <t>ODR03676</t>
  </si>
  <si>
    <t>ODR03677</t>
  </si>
  <si>
    <t>ODR03678</t>
  </si>
  <si>
    <t>ODR03679</t>
  </si>
  <si>
    <t>ODR03680</t>
  </si>
  <si>
    <t>ODR03681</t>
  </si>
  <si>
    <t>ODR03682</t>
  </si>
  <si>
    <t>2024-11-20</t>
  </si>
  <si>
    <t>ODR03683</t>
  </si>
  <si>
    <t>ODR03684</t>
  </si>
  <si>
    <t>ODR03685</t>
  </si>
  <si>
    <t>ODR03686</t>
  </si>
  <si>
    <t>ODR03687</t>
  </si>
  <si>
    <t>ODR03688</t>
  </si>
  <si>
    <t>ODR03689</t>
  </si>
  <si>
    <t>ODR03690</t>
  </si>
  <si>
    <t>ODR03691</t>
  </si>
  <si>
    <t>ODR03692</t>
  </si>
  <si>
    <t>ODR03693</t>
  </si>
  <si>
    <t>ODR03694</t>
  </si>
  <si>
    <t>ODR03695</t>
  </si>
  <si>
    <t>ODR03696</t>
  </si>
  <si>
    <t>ODR03697</t>
  </si>
  <si>
    <t>ODR03698</t>
  </si>
  <si>
    <t>ODR03699</t>
  </si>
  <si>
    <t>ODR03700</t>
  </si>
  <si>
    <t>ODR03701</t>
  </si>
  <si>
    <t>ODR03702</t>
  </si>
  <si>
    <t>ODR03703</t>
  </si>
  <si>
    <t>ODR03704</t>
  </si>
  <si>
    <t>ODR03705</t>
  </si>
  <si>
    <t>ODR03706</t>
  </si>
  <si>
    <t>ODR03707</t>
  </si>
  <si>
    <t>ODR03708</t>
  </si>
  <si>
    <t>ODR03709</t>
  </si>
  <si>
    <t>ODR03710</t>
  </si>
  <si>
    <t>ODR03711</t>
  </si>
  <si>
    <t>ODR03712</t>
  </si>
  <si>
    <t>ODR03713</t>
  </si>
  <si>
    <t>ODR03714</t>
  </si>
  <si>
    <t>ODR03715</t>
  </si>
  <si>
    <t>ODR03716</t>
  </si>
  <si>
    <t>ODR03717</t>
  </si>
  <si>
    <t>ODR03718</t>
  </si>
  <si>
    <t>ODR03719</t>
  </si>
  <si>
    <t>ODR03720</t>
  </si>
  <si>
    <t>ODR03721</t>
  </si>
  <si>
    <t>ODR03722</t>
  </si>
  <si>
    <t>ODR03723</t>
  </si>
  <si>
    <t>ODR03724</t>
  </si>
  <si>
    <t>ODR03725</t>
  </si>
  <si>
    <t>ODR03726</t>
  </si>
  <si>
    <t>ODR03727</t>
  </si>
  <si>
    <t>ODR03728</t>
  </si>
  <si>
    <t>ODR03729</t>
  </si>
  <si>
    <t>ODR03730</t>
  </si>
  <si>
    <t>ODR03731</t>
  </si>
  <si>
    <t>ODR03732</t>
  </si>
  <si>
    <t>ODR03733</t>
  </si>
  <si>
    <t>ODR03734</t>
  </si>
  <si>
    <t>ODR03735</t>
  </si>
  <si>
    <t>ODR03736</t>
  </si>
  <si>
    <t>ODR03737</t>
  </si>
  <si>
    <t>ODR03738</t>
  </si>
  <si>
    <t>ODR03739</t>
  </si>
  <si>
    <t>ODR03740</t>
  </si>
  <si>
    <t>ODR03741</t>
  </si>
  <si>
    <t>ODR03742</t>
  </si>
  <si>
    <t>ODR03743</t>
  </si>
  <si>
    <t>ODR03744</t>
  </si>
  <si>
    <t>ODR03745</t>
  </si>
  <si>
    <t>ODR03746</t>
  </si>
  <si>
    <t>ODR03747</t>
  </si>
  <si>
    <t>ODR03748</t>
  </si>
  <si>
    <t>ODR03749</t>
  </si>
  <si>
    <t>ODR03750</t>
  </si>
  <si>
    <t>ODR03751</t>
  </si>
  <si>
    <t>ODR03752</t>
  </si>
  <si>
    <t>ODR03753</t>
  </si>
  <si>
    <t>ODR03754</t>
  </si>
  <si>
    <t>ODR03755</t>
  </si>
  <si>
    <t>ODR03756</t>
  </si>
  <si>
    <t>ODR03757</t>
  </si>
  <si>
    <t>ODR03758</t>
  </si>
  <si>
    <t>ODR03759</t>
  </si>
  <si>
    <t>ODR03760</t>
  </si>
  <si>
    <t>ODR03761</t>
  </si>
  <si>
    <t>ODR03762</t>
  </si>
  <si>
    <t>ODR03763</t>
  </si>
  <si>
    <t>ODR03764</t>
  </si>
  <si>
    <t>ODR03765</t>
  </si>
  <si>
    <t>ODR03766</t>
  </si>
  <si>
    <t>ODR03767</t>
  </si>
  <si>
    <t>ODR03768</t>
  </si>
  <si>
    <t>ODR03769</t>
  </si>
  <si>
    <t>ODR03770</t>
  </si>
  <si>
    <t>ODR03771</t>
  </si>
  <si>
    <t>ODR03772</t>
  </si>
  <si>
    <t>ODR03773</t>
  </si>
  <si>
    <t>ODR03774</t>
  </si>
  <si>
    <t>ODR03775</t>
  </si>
  <si>
    <t>ODR03776</t>
  </si>
  <si>
    <t>ODR03777</t>
  </si>
  <si>
    <t>ODR03778</t>
  </si>
  <si>
    <t>ODR03779</t>
  </si>
  <si>
    <t>ODR03780</t>
  </si>
  <si>
    <t>ODR03781</t>
  </si>
  <si>
    <t>ODR03782</t>
  </si>
  <si>
    <t>ODR03783</t>
  </si>
  <si>
    <t>ODR03784</t>
  </si>
  <si>
    <t>ODR03785</t>
  </si>
  <si>
    <t>ODR03786</t>
  </si>
  <si>
    <t>ODR03787</t>
  </si>
  <si>
    <t>ODR03788</t>
  </si>
  <si>
    <t>ODR03789</t>
  </si>
  <si>
    <t>ODR03790</t>
  </si>
  <si>
    <t>ODR03791</t>
  </si>
  <si>
    <t>ODR03792</t>
  </si>
  <si>
    <t>ODR03793</t>
  </si>
  <si>
    <t>ODR03794</t>
  </si>
  <si>
    <t>ODR03795</t>
  </si>
  <si>
    <t>ODR03796</t>
  </si>
  <si>
    <t>ODR03797</t>
  </si>
  <si>
    <t>ODR03798</t>
  </si>
  <si>
    <t>ODR03799</t>
  </si>
  <si>
    <t>ODR03800</t>
  </si>
  <si>
    <t>ODR03801</t>
  </si>
  <si>
    <t>ODR03802</t>
  </si>
  <si>
    <t>ODR03803</t>
  </si>
  <si>
    <t>ODR03804</t>
  </si>
  <si>
    <t>ODR03805</t>
  </si>
  <si>
    <t>ODR03806</t>
  </si>
  <si>
    <t>ODR03807</t>
  </si>
  <si>
    <t>ODR03808</t>
  </si>
  <si>
    <t>ODR03809</t>
  </si>
  <si>
    <t>ODR03810</t>
  </si>
  <si>
    <t>ODR03811</t>
  </si>
  <si>
    <t>ODR03812</t>
  </si>
  <si>
    <t>ODR03813</t>
  </si>
  <si>
    <t>ODR03814</t>
  </si>
  <si>
    <t>ODR03815</t>
  </si>
  <si>
    <t>ODR03816</t>
  </si>
  <si>
    <t>ODR03817</t>
  </si>
  <si>
    <t>ODR03818</t>
  </si>
  <si>
    <t>ODR03819</t>
  </si>
  <si>
    <t>ODR03820</t>
  </si>
  <si>
    <t>ODR03821</t>
  </si>
  <si>
    <t>ODR03822</t>
  </si>
  <si>
    <t>ODR03823</t>
  </si>
  <si>
    <t>ODR03824</t>
  </si>
  <si>
    <t>ODR03825</t>
  </si>
  <si>
    <t>ODR03826</t>
  </si>
  <si>
    <t>ODR03827</t>
  </si>
  <si>
    <t>ODR03828</t>
  </si>
  <si>
    <t>ODR03829</t>
  </si>
  <si>
    <t>ODR03830</t>
  </si>
  <si>
    <t>ODR03831</t>
  </si>
  <si>
    <t>ODR03832</t>
  </si>
  <si>
    <t>ODR03833</t>
  </si>
  <si>
    <t>ODR03834</t>
  </si>
  <si>
    <t>ODR03835</t>
  </si>
  <si>
    <t>ODR03836</t>
  </si>
  <si>
    <t>ODR03837</t>
  </si>
  <si>
    <t>ODR03838</t>
  </si>
  <si>
    <t>ODR03839</t>
  </si>
  <si>
    <t>ODR03840</t>
  </si>
  <si>
    <t>ODR03841</t>
  </si>
  <si>
    <t>ODR03842</t>
  </si>
  <si>
    <t>ODR03843</t>
  </si>
  <si>
    <t>ODR03844</t>
  </si>
  <si>
    <t>ODR03845</t>
  </si>
  <si>
    <t>ODR03846</t>
  </si>
  <si>
    <t>ODR03847</t>
  </si>
  <si>
    <t>ODR03848</t>
  </si>
  <si>
    <t>ODR03849</t>
  </si>
  <si>
    <t>ODR03850</t>
  </si>
  <si>
    <t>ODR03851</t>
  </si>
  <si>
    <t>ODR03852</t>
  </si>
  <si>
    <t>ODR03853</t>
  </si>
  <si>
    <t>ODR03854</t>
  </si>
  <si>
    <t>ODR03855</t>
  </si>
  <si>
    <t>ODR03856</t>
  </si>
  <si>
    <t>ODR03857</t>
  </si>
  <si>
    <t>ODR03858</t>
  </si>
  <si>
    <t>ODR03859</t>
  </si>
  <si>
    <t>ODR03860</t>
  </si>
  <si>
    <t>ODR03861</t>
  </si>
  <si>
    <t>2025-04-17</t>
  </si>
  <si>
    <t>ODR03862</t>
  </si>
  <si>
    <t>ODR03863</t>
  </si>
  <si>
    <t>ODR03864</t>
  </si>
  <si>
    <t>ODR03865</t>
  </si>
  <si>
    <t>ODR03866</t>
  </si>
  <si>
    <t>ODR03867</t>
  </si>
  <si>
    <t>ODR03868</t>
  </si>
  <si>
    <t>ODR03869</t>
  </si>
  <si>
    <t>ODR03870</t>
  </si>
  <si>
    <t>ODR03871</t>
  </si>
  <si>
    <t>ODR03872</t>
  </si>
  <si>
    <t>ODR03873</t>
  </si>
  <si>
    <t>ODR03874</t>
  </si>
  <si>
    <t>ODR03875</t>
  </si>
  <si>
    <t>ODR03876</t>
  </si>
  <si>
    <t>ODR03877</t>
  </si>
  <si>
    <t>ODR03878</t>
  </si>
  <si>
    <t>ODR03879</t>
  </si>
  <si>
    <t>ODR03880</t>
  </si>
  <si>
    <t>ODR03881</t>
  </si>
  <si>
    <t>ODR03882</t>
  </si>
  <si>
    <t>ODR03883</t>
  </si>
  <si>
    <t>ODR03884</t>
  </si>
  <si>
    <t>ODR03885</t>
  </si>
  <si>
    <t>ODR03886</t>
  </si>
  <si>
    <t>ODR03887</t>
  </si>
  <si>
    <t>ODR03888</t>
  </si>
  <si>
    <t>ODR03889</t>
  </si>
  <si>
    <t>ODR03890</t>
  </si>
  <si>
    <t>ODR03891</t>
  </si>
  <si>
    <t>ODR03892</t>
  </si>
  <si>
    <t>ODR03893</t>
  </si>
  <si>
    <t>ODR03894</t>
  </si>
  <si>
    <t>ODR03895</t>
  </si>
  <si>
    <t>ODR03896</t>
  </si>
  <si>
    <t>ODR03897</t>
  </si>
  <si>
    <t>ODR03898</t>
  </si>
  <si>
    <t>ODR03899</t>
  </si>
  <si>
    <t>ODR03900</t>
  </si>
  <si>
    <t>ODR03901</t>
  </si>
  <si>
    <t>ODR03902</t>
  </si>
  <si>
    <t>ODR03903</t>
  </si>
  <si>
    <t>ODR03904</t>
  </si>
  <si>
    <t>ODR03905</t>
  </si>
  <si>
    <t>ODR03906</t>
  </si>
  <si>
    <t>ODR03907</t>
  </si>
  <si>
    <t>ODR03908</t>
  </si>
  <si>
    <t>ODR03909</t>
  </si>
  <si>
    <t>ODR03910</t>
  </si>
  <si>
    <t>ODR03911</t>
  </si>
  <si>
    <t>ODR03912</t>
  </si>
  <si>
    <t>ODR03913</t>
  </si>
  <si>
    <t>ODR03914</t>
  </si>
  <si>
    <t>ODR03915</t>
  </si>
  <si>
    <t>ODR03916</t>
  </si>
  <si>
    <t>ODR03917</t>
  </si>
  <si>
    <t>ODR03918</t>
  </si>
  <si>
    <t>ODR03919</t>
  </si>
  <si>
    <t>ODR03920</t>
  </si>
  <si>
    <t>ODR03921</t>
  </si>
  <si>
    <t>ODR03922</t>
  </si>
  <si>
    <t>ODR03923</t>
  </si>
  <si>
    <t>ODR03924</t>
  </si>
  <si>
    <t>ODR03925</t>
  </si>
  <si>
    <t>ODR03926</t>
  </si>
  <si>
    <t>ODR03927</t>
  </si>
  <si>
    <t>ODR03928</t>
  </si>
  <si>
    <t>ODR03929</t>
  </si>
  <si>
    <t>ODR03930</t>
  </si>
  <si>
    <t>ODR03931</t>
  </si>
  <si>
    <t>ODR03932</t>
  </si>
  <si>
    <t>ODR03933</t>
  </si>
  <si>
    <t>ODR03934</t>
  </si>
  <si>
    <t>ODR03935</t>
  </si>
  <si>
    <t>ODR03936</t>
  </si>
  <si>
    <t>ODR03937</t>
  </si>
  <si>
    <t>ODR03938</t>
  </si>
  <si>
    <t>ODR03939</t>
  </si>
  <si>
    <t>ODR03940</t>
  </si>
  <si>
    <t>ODR03941</t>
  </si>
  <si>
    <t>ODR03942</t>
  </si>
  <si>
    <t>ODR03943</t>
  </si>
  <si>
    <t>ODR03944</t>
  </si>
  <si>
    <t>ODR03945</t>
  </si>
  <si>
    <t>ODR03946</t>
  </si>
  <si>
    <t>ODR03947</t>
  </si>
  <si>
    <t>ODR03948</t>
  </si>
  <si>
    <t>ODR03949</t>
  </si>
  <si>
    <t>ODR03950</t>
  </si>
  <si>
    <t>ODR03951</t>
  </si>
  <si>
    <t>ODR03952</t>
  </si>
  <si>
    <t>ODR03953</t>
  </si>
  <si>
    <t>ODR03954</t>
  </si>
  <si>
    <t>ODR03955</t>
  </si>
  <si>
    <t>ODR03956</t>
  </si>
  <si>
    <t>ODR03957</t>
  </si>
  <si>
    <t>ODR03958</t>
  </si>
  <si>
    <t>ODR03959</t>
  </si>
  <si>
    <t>ODR03960</t>
  </si>
  <si>
    <t>ODR03961</t>
  </si>
  <si>
    <t>ODR03962</t>
  </si>
  <si>
    <t>ODR03963</t>
  </si>
  <si>
    <t>ODR03964</t>
  </si>
  <si>
    <t>ODR03965</t>
  </si>
  <si>
    <t>ODR03966</t>
  </si>
  <si>
    <t>ODR03967</t>
  </si>
  <si>
    <t>ODR03968</t>
  </si>
  <si>
    <t>ODR03969</t>
  </si>
  <si>
    <t>ODR03970</t>
  </si>
  <si>
    <t>ODR03971</t>
  </si>
  <si>
    <t>ODR03972</t>
  </si>
  <si>
    <t>ODR03973</t>
  </si>
  <si>
    <t>ODR03974</t>
  </si>
  <si>
    <t>ODR03975</t>
  </si>
  <si>
    <t>ODR03976</t>
  </si>
  <si>
    <t>ODR03977</t>
  </si>
  <si>
    <t>ODR03978</t>
  </si>
  <si>
    <t>ODR03979</t>
  </si>
  <si>
    <t>ODR03980</t>
  </si>
  <si>
    <t>ODR03981</t>
  </si>
  <si>
    <t>ODR03982</t>
  </si>
  <si>
    <t>ODR03983</t>
  </si>
  <si>
    <t>ODR03984</t>
  </si>
  <si>
    <t>ODR03985</t>
  </si>
  <si>
    <t>ODR03986</t>
  </si>
  <si>
    <t>ODR03987</t>
  </si>
  <si>
    <t>ODR03988</t>
  </si>
  <si>
    <t>ODR03989</t>
  </si>
  <si>
    <t>ODR03990</t>
  </si>
  <si>
    <t>ODR03991</t>
  </si>
  <si>
    <t>ODR03992</t>
  </si>
  <si>
    <t>ODR03993</t>
  </si>
  <si>
    <t>ODR03994</t>
  </si>
  <si>
    <t>ODR03995</t>
  </si>
  <si>
    <t>ODR03996</t>
  </si>
  <si>
    <t>ODR03997</t>
  </si>
  <si>
    <t>ODR03998</t>
  </si>
  <si>
    <t>ODR03999</t>
  </si>
  <si>
    <t>ODR04000</t>
  </si>
  <si>
    <t>ODR04001</t>
  </si>
  <si>
    <t>ODR04002</t>
  </si>
  <si>
    <t>ODR04003</t>
  </si>
  <si>
    <t>ODR04004</t>
  </si>
  <si>
    <t>ODR04005</t>
  </si>
  <si>
    <t>ODR04006</t>
  </si>
  <si>
    <t>ODR04007</t>
  </si>
  <si>
    <t>ODR04008</t>
  </si>
  <si>
    <t>ODR04009</t>
  </si>
  <si>
    <t>ODR04010</t>
  </si>
  <si>
    <t>ODR04011</t>
  </si>
  <si>
    <t>ODR04012</t>
  </si>
  <si>
    <t>ODR04013</t>
  </si>
  <si>
    <t>ODR04014</t>
  </si>
  <si>
    <t>ODR04015</t>
  </si>
  <si>
    <t>ODR04016</t>
  </si>
  <si>
    <t>ODR04017</t>
  </si>
  <si>
    <t>ODR04018</t>
  </si>
  <si>
    <t>ODR04019</t>
  </si>
  <si>
    <t>ODR04020</t>
  </si>
  <si>
    <t>ODR04021</t>
  </si>
  <si>
    <t>ODR04022</t>
  </si>
  <si>
    <t>ODR04023</t>
  </si>
  <si>
    <t>ODR04024</t>
  </si>
  <si>
    <t>ODR04025</t>
  </si>
  <si>
    <t>ODR04026</t>
  </si>
  <si>
    <t>ODR04027</t>
  </si>
  <si>
    <t>ODR04028</t>
  </si>
  <si>
    <t>ODR04029</t>
  </si>
  <si>
    <t>ODR04030</t>
  </si>
  <si>
    <t>ODR04031</t>
  </si>
  <si>
    <t>ODR04032</t>
  </si>
  <si>
    <t>ODR04033</t>
  </si>
  <si>
    <t>ODR04034</t>
  </si>
  <si>
    <t>ODR04035</t>
  </si>
  <si>
    <t>ODR04036</t>
  </si>
  <si>
    <t>ODR04037</t>
  </si>
  <si>
    <t>ODR04038</t>
  </si>
  <si>
    <t>ODR04039</t>
  </si>
  <si>
    <t>ODR04040</t>
  </si>
  <si>
    <t>ODR04041</t>
  </si>
  <si>
    <t>ODR04042</t>
  </si>
  <si>
    <t>ODR04043</t>
  </si>
  <si>
    <t>ODR04044</t>
  </si>
  <si>
    <t>ODR04045</t>
  </si>
  <si>
    <t>ODR04046</t>
  </si>
  <si>
    <t>ODR04047</t>
  </si>
  <si>
    <t>ODR04048</t>
  </si>
  <si>
    <t>ODR04049</t>
  </si>
  <si>
    <t>ODR04050</t>
  </si>
  <si>
    <t>ODR04051</t>
  </si>
  <si>
    <t>ODR04052</t>
  </si>
  <si>
    <t>ODR04053</t>
  </si>
  <si>
    <t>ODR04054</t>
  </si>
  <si>
    <t>ODR04055</t>
  </si>
  <si>
    <t>ODR04056</t>
  </si>
  <si>
    <t>ODR04057</t>
  </si>
  <si>
    <t>ODR04058</t>
  </si>
  <si>
    <t>ODR04059</t>
  </si>
  <si>
    <t>ODR04060</t>
  </si>
  <si>
    <t>ODR04061</t>
  </si>
  <si>
    <t>ODR04062</t>
  </si>
  <si>
    <t>ODR04063</t>
  </si>
  <si>
    <t>ODR04064</t>
  </si>
  <si>
    <t>ODR04065</t>
  </si>
  <si>
    <t>ODR04066</t>
  </si>
  <si>
    <t>ODR04067</t>
  </si>
  <si>
    <t>ODR04068</t>
  </si>
  <si>
    <t>ODR04069</t>
  </si>
  <si>
    <t>ODR04070</t>
  </si>
  <si>
    <t>ODR04071</t>
  </si>
  <si>
    <t>ODR04072</t>
  </si>
  <si>
    <t>ODR04073</t>
  </si>
  <si>
    <t>ODR04074</t>
  </si>
  <si>
    <t>ODR04075</t>
  </si>
  <si>
    <t>ODR04076</t>
  </si>
  <si>
    <t>ODR04077</t>
  </si>
  <si>
    <t>ODR04078</t>
  </si>
  <si>
    <t>ODR04079</t>
  </si>
  <si>
    <t>ODR04080</t>
  </si>
  <si>
    <t>ODR04081</t>
  </si>
  <si>
    <t>ODR04082</t>
  </si>
  <si>
    <t>ODR04083</t>
  </si>
  <si>
    <t>ODR04084</t>
  </si>
  <si>
    <t>ODR04085</t>
  </si>
  <si>
    <t>ODR04086</t>
  </si>
  <si>
    <t>ODR04087</t>
  </si>
  <si>
    <t>ODR04088</t>
  </si>
  <si>
    <t>ODR04089</t>
  </si>
  <si>
    <t>ODR04090</t>
  </si>
  <si>
    <t>ODR04091</t>
  </si>
  <si>
    <t>ODR04092</t>
  </si>
  <si>
    <t>ODR04093</t>
  </si>
  <si>
    <t>ODR04094</t>
  </si>
  <si>
    <t>ODR04095</t>
  </si>
  <si>
    <t>ODR04096</t>
  </si>
  <si>
    <t>ODR04097</t>
  </si>
  <si>
    <t>ODR04098</t>
  </si>
  <si>
    <t>ODR04099</t>
  </si>
  <si>
    <t>ODR04100</t>
  </si>
  <si>
    <t>ODR04101</t>
  </si>
  <si>
    <t>ODR04102</t>
  </si>
  <si>
    <t>ODR04103</t>
  </si>
  <si>
    <t>ODR04104</t>
  </si>
  <si>
    <t>ODR04105</t>
  </si>
  <si>
    <t>ODR04106</t>
  </si>
  <si>
    <t>ODR04107</t>
  </si>
  <si>
    <t>ODR04108</t>
  </si>
  <si>
    <t>ODR04109</t>
  </si>
  <si>
    <t>ODR04110</t>
  </si>
  <si>
    <t>ODR04111</t>
  </si>
  <si>
    <t>ODR04112</t>
  </si>
  <si>
    <t>ODR04113</t>
  </si>
  <si>
    <t>ODR04114</t>
  </si>
  <si>
    <t>ODR04115</t>
  </si>
  <si>
    <t>ODR04116</t>
  </si>
  <si>
    <t>ODR04117</t>
  </si>
  <si>
    <t>ODR04118</t>
  </si>
  <si>
    <t>ODR04119</t>
  </si>
  <si>
    <t>ODR04120</t>
  </si>
  <si>
    <t>ODR04121</t>
  </si>
  <si>
    <t>ODR04122</t>
  </si>
  <si>
    <t>ODR04123</t>
  </si>
  <si>
    <t>ODR04124</t>
  </si>
  <si>
    <t>ODR04125</t>
  </si>
  <si>
    <t>ODR04126</t>
  </si>
  <si>
    <t>ODR04127</t>
  </si>
  <si>
    <t>ODR04128</t>
  </si>
  <si>
    <t>ODR04129</t>
  </si>
  <si>
    <t>ODR04130</t>
  </si>
  <si>
    <t>ODR04131</t>
  </si>
  <si>
    <t>ODR04132</t>
  </si>
  <si>
    <t>ODR04133</t>
  </si>
  <si>
    <t>ODR04134</t>
  </si>
  <si>
    <t>ODR04135</t>
  </si>
  <si>
    <t>ODR04136</t>
  </si>
  <si>
    <t>ODR04137</t>
  </si>
  <si>
    <t>ODR04138</t>
  </si>
  <si>
    <t>ODR04139</t>
  </si>
  <si>
    <t>ODR04140</t>
  </si>
  <si>
    <t>ODR04141</t>
  </si>
  <si>
    <t>ODR04142</t>
  </si>
  <si>
    <t>ODR04143</t>
  </si>
  <si>
    <t>ODR04144</t>
  </si>
  <si>
    <t>ODR04145</t>
  </si>
  <si>
    <t>ODR04146</t>
  </si>
  <si>
    <t>ODR04147</t>
  </si>
  <si>
    <t>ODR04148</t>
  </si>
  <si>
    <t>ODR04149</t>
  </si>
  <si>
    <t>ODR04150</t>
  </si>
  <si>
    <t>ODR04151</t>
  </si>
  <si>
    <t>ODR04152</t>
  </si>
  <si>
    <t>ODR04153</t>
  </si>
  <si>
    <t>ODR04154</t>
  </si>
  <si>
    <t>ODR04155</t>
  </si>
  <si>
    <t>ODR04156</t>
  </si>
  <si>
    <t>ODR04157</t>
  </si>
  <si>
    <t>ODR04158</t>
  </si>
  <si>
    <t>ODR04159</t>
  </si>
  <si>
    <t>ODR04160</t>
  </si>
  <si>
    <t>ODR04161</t>
  </si>
  <si>
    <t>ODR04162</t>
  </si>
  <si>
    <t>ODR04163</t>
  </si>
  <si>
    <t>ODR04164</t>
  </si>
  <si>
    <t>ODR04165</t>
  </si>
  <si>
    <t>ODR04166</t>
  </si>
  <si>
    <t>ODR04167</t>
  </si>
  <si>
    <t>ODR04168</t>
  </si>
  <si>
    <t>ODR04169</t>
  </si>
  <si>
    <t>ODR04170</t>
  </si>
  <si>
    <t>ODR04171</t>
  </si>
  <si>
    <t>ODR04172</t>
  </si>
  <si>
    <t>ODR04173</t>
  </si>
  <si>
    <t>ODR04174</t>
  </si>
  <si>
    <t>ODR04175</t>
  </si>
  <si>
    <t>ODR04176</t>
  </si>
  <si>
    <t>ODR04177</t>
  </si>
  <si>
    <t>ODR04178</t>
  </si>
  <si>
    <t>ODR04179</t>
  </si>
  <si>
    <t>ODR04180</t>
  </si>
  <si>
    <t>ODR04181</t>
  </si>
  <si>
    <t>ODR04182</t>
  </si>
  <si>
    <t>ODR04183</t>
  </si>
  <si>
    <t>ODR04184</t>
  </si>
  <si>
    <t>ODR04185</t>
  </si>
  <si>
    <t>ODR04186</t>
  </si>
  <si>
    <t>ODR04187</t>
  </si>
  <si>
    <t>ODR04188</t>
  </si>
  <si>
    <t>ODR04189</t>
  </si>
  <si>
    <t>ODR04190</t>
  </si>
  <si>
    <t>ODR04191</t>
  </si>
  <si>
    <t>ODR04192</t>
  </si>
  <si>
    <t>ODR04193</t>
  </si>
  <si>
    <t>ODR04194</t>
  </si>
  <si>
    <t>ODR04195</t>
  </si>
  <si>
    <t>ODR04196</t>
  </si>
  <si>
    <t>ODR04197</t>
  </si>
  <si>
    <t>ODR04198</t>
  </si>
  <si>
    <t>ODR04199</t>
  </si>
  <si>
    <t>ODR04200</t>
  </si>
  <si>
    <t>ODR04201</t>
  </si>
  <si>
    <t>ODR04202</t>
  </si>
  <si>
    <t>ODR04203</t>
  </si>
  <si>
    <t>ODR04204</t>
  </si>
  <si>
    <t>ODR04205</t>
  </si>
  <si>
    <t>ODR04206</t>
  </si>
  <si>
    <t>ODR04207</t>
  </si>
  <si>
    <t>ODR04208</t>
  </si>
  <si>
    <t>ODR04209</t>
  </si>
  <si>
    <t>ODR04210</t>
  </si>
  <si>
    <t>ODR04211</t>
  </si>
  <si>
    <t>ODR04212</t>
  </si>
  <si>
    <t>ODR04213</t>
  </si>
  <si>
    <t>ODR04214</t>
  </si>
  <si>
    <t>ODR04215</t>
  </si>
  <si>
    <t>ODR04216</t>
  </si>
  <si>
    <t>ODR04217</t>
  </si>
  <si>
    <t>ODR04218</t>
  </si>
  <si>
    <t>ODR04219</t>
  </si>
  <si>
    <t>ODR04220</t>
  </si>
  <si>
    <t>ODR04221</t>
  </si>
  <si>
    <t>ODR04222</t>
  </si>
  <si>
    <t>ODR04223</t>
  </si>
  <si>
    <t>ODR04224</t>
  </si>
  <si>
    <t>ODR04225</t>
  </si>
  <si>
    <t>ODR04226</t>
  </si>
  <si>
    <t>ODR04227</t>
  </si>
  <si>
    <t>ODR04228</t>
  </si>
  <si>
    <t>ODR04229</t>
  </si>
  <si>
    <t>ODR04230</t>
  </si>
  <si>
    <t>ODR04231</t>
  </si>
  <si>
    <t>ODR04232</t>
  </si>
  <si>
    <t>ODR04233</t>
  </si>
  <si>
    <t>ODR04234</t>
  </si>
  <si>
    <t>ODR04235</t>
  </si>
  <si>
    <t>ODR04236</t>
  </si>
  <si>
    <t>ODR04237</t>
  </si>
  <si>
    <t>ODR04238</t>
  </si>
  <si>
    <t>ODR04239</t>
  </si>
  <si>
    <t>ODR04240</t>
  </si>
  <si>
    <t>ODR04241</t>
  </si>
  <si>
    <t>ODR04242</t>
  </si>
  <si>
    <t>ODR04243</t>
  </si>
  <si>
    <t>ODR04244</t>
  </si>
  <si>
    <t>ODR04245</t>
  </si>
  <si>
    <t>ODR04246</t>
  </si>
  <si>
    <t>ODR04247</t>
  </si>
  <si>
    <t>ODR04248</t>
  </si>
  <si>
    <t>ODR04249</t>
  </si>
  <si>
    <t>ODR04250</t>
  </si>
  <si>
    <t>ODR04251</t>
  </si>
  <si>
    <t>ODR04252</t>
  </si>
  <si>
    <t>ODR04253</t>
  </si>
  <si>
    <t>ODR04254</t>
  </si>
  <si>
    <t>ODR04255</t>
  </si>
  <si>
    <t>ODR04256</t>
  </si>
  <si>
    <t>ODR04257</t>
  </si>
  <si>
    <t>ODR04258</t>
  </si>
  <si>
    <t>ODR04259</t>
  </si>
  <si>
    <t>ODR04260</t>
  </si>
  <si>
    <t>ODR04261</t>
  </si>
  <si>
    <t>ODR04262</t>
  </si>
  <si>
    <t>ODR04263</t>
  </si>
  <si>
    <t>ODR04264</t>
  </si>
  <si>
    <t>ODR04265</t>
  </si>
  <si>
    <t>ODR04266</t>
  </si>
  <si>
    <t>ODR04267</t>
  </si>
  <si>
    <t>ODR04268</t>
  </si>
  <si>
    <t>ODR04269</t>
  </si>
  <si>
    <t>ODR04270</t>
  </si>
  <si>
    <t>ODR04271</t>
  </si>
  <si>
    <t>ODR04272</t>
  </si>
  <si>
    <t>ODR04273</t>
  </si>
  <si>
    <t>ODR04274</t>
  </si>
  <si>
    <t>ODR04275</t>
  </si>
  <si>
    <t>ODR04276</t>
  </si>
  <si>
    <t>ODR04277</t>
  </si>
  <si>
    <t>ODR04278</t>
  </si>
  <si>
    <t>ODR04279</t>
  </si>
  <si>
    <t>ODR04280</t>
  </si>
  <si>
    <t>ODR04281</t>
  </si>
  <si>
    <t>ODR04282</t>
  </si>
  <si>
    <t>ODR04283</t>
  </si>
  <si>
    <t>ODR04284</t>
  </si>
  <si>
    <t>ODR04285</t>
  </si>
  <si>
    <t>2024-12-30</t>
  </si>
  <si>
    <t>ODR04286</t>
  </si>
  <si>
    <t>ODR04287</t>
  </si>
  <si>
    <t>ODR04288</t>
  </si>
  <si>
    <t>ODR04289</t>
  </si>
  <si>
    <t>ODR04290</t>
  </si>
  <si>
    <t>ODR04291</t>
  </si>
  <si>
    <t>ODR04292</t>
  </si>
  <si>
    <t>ODR04293</t>
  </si>
  <si>
    <t>ODR04294</t>
  </si>
  <si>
    <t>ODR04295</t>
  </si>
  <si>
    <t>ODR04296</t>
  </si>
  <si>
    <t>ODR04297</t>
  </si>
  <si>
    <t>ODR04298</t>
  </si>
  <si>
    <t>ODR04299</t>
  </si>
  <si>
    <t>ODR04300</t>
  </si>
  <si>
    <t>ODR04301</t>
  </si>
  <si>
    <t>ODR04302</t>
  </si>
  <si>
    <t>ODR04303</t>
  </si>
  <si>
    <t>2025-12-11</t>
  </si>
  <si>
    <t>ODR04304</t>
  </si>
  <si>
    <t>ODR04305</t>
  </si>
  <si>
    <t>ODR04306</t>
  </si>
  <si>
    <t>ODR04307</t>
  </si>
  <si>
    <t>ODR04308</t>
  </si>
  <si>
    <t>ODR04309</t>
  </si>
  <si>
    <t>ODR04310</t>
  </si>
  <si>
    <t>ODR04311</t>
  </si>
  <si>
    <t>ODR04312</t>
  </si>
  <si>
    <t>ODR04313</t>
  </si>
  <si>
    <t>ODR04314</t>
  </si>
  <si>
    <t>ODR04315</t>
  </si>
  <si>
    <t>ODR04316</t>
  </si>
  <si>
    <t>ODR04317</t>
  </si>
  <si>
    <t>ODR04318</t>
  </si>
  <si>
    <t>ODR04319</t>
  </si>
  <si>
    <t>ODR04320</t>
  </si>
  <si>
    <t>ODR04321</t>
  </si>
  <si>
    <t>ODR04322</t>
  </si>
  <si>
    <t>ODR04323</t>
  </si>
  <si>
    <t>ODR04324</t>
  </si>
  <si>
    <t>ODR04325</t>
  </si>
  <si>
    <t>ODR04326</t>
  </si>
  <si>
    <t>ODR04327</t>
  </si>
  <si>
    <t>ODR04328</t>
  </si>
  <si>
    <t>ODR04329</t>
  </si>
  <si>
    <t>ODR04330</t>
  </si>
  <si>
    <t>ODR04331</t>
  </si>
  <si>
    <t>ODR04332</t>
  </si>
  <si>
    <t>ODR04333</t>
  </si>
  <si>
    <t>ODR04334</t>
  </si>
  <si>
    <t>ODR04335</t>
  </si>
  <si>
    <t>ODR04336</t>
  </si>
  <si>
    <t>ODR04337</t>
  </si>
  <si>
    <t>ODR04338</t>
  </si>
  <si>
    <t>ODR04339</t>
  </si>
  <si>
    <t>ODR04340</t>
  </si>
  <si>
    <t>ODR04341</t>
  </si>
  <si>
    <t>ODR04342</t>
  </si>
  <si>
    <t>ODR04343</t>
  </si>
  <si>
    <t>ODR04344</t>
  </si>
  <si>
    <t>ODR04345</t>
  </si>
  <si>
    <t>ODR04346</t>
  </si>
  <si>
    <t>ODR04347</t>
  </si>
  <si>
    <t>ODR04348</t>
  </si>
  <si>
    <t>ODR04349</t>
  </si>
  <si>
    <t>ODR04350</t>
  </si>
  <si>
    <t>ODR04351</t>
  </si>
  <si>
    <t>ODR04352</t>
  </si>
  <si>
    <t>ODR04353</t>
  </si>
  <si>
    <t>ODR04354</t>
  </si>
  <si>
    <t>ODR04355</t>
  </si>
  <si>
    <t>ODR04356</t>
  </si>
  <si>
    <t>ODR04357</t>
  </si>
  <si>
    <t>ODR04358</t>
  </si>
  <si>
    <t>ODR04359</t>
  </si>
  <si>
    <t>ODR04360</t>
  </si>
  <si>
    <t>ODR04361</t>
  </si>
  <si>
    <t>ODR04362</t>
  </si>
  <si>
    <t>ODR04363</t>
  </si>
  <si>
    <t>ODR04364</t>
  </si>
  <si>
    <t>ODR04365</t>
  </si>
  <si>
    <t>ODR04366</t>
  </si>
  <si>
    <t>ODR04367</t>
  </si>
  <si>
    <t>ODR04368</t>
  </si>
  <si>
    <t>ODR04369</t>
  </si>
  <si>
    <t>ODR04370</t>
  </si>
  <si>
    <t>ODR04371</t>
  </si>
  <si>
    <t>ODR04372</t>
  </si>
  <si>
    <t>ODR04373</t>
  </si>
  <si>
    <t>ODR04374</t>
  </si>
  <si>
    <t>ODR04375</t>
  </si>
  <si>
    <t>ODR04376</t>
  </si>
  <si>
    <t>ODR04377</t>
  </si>
  <si>
    <t>ODR04378</t>
  </si>
  <si>
    <t>ODR04379</t>
  </si>
  <si>
    <t>ODR04380</t>
  </si>
  <si>
    <t>ODR04381</t>
  </si>
  <si>
    <t>ODR04382</t>
  </si>
  <si>
    <t>ODR04383</t>
  </si>
  <si>
    <t>ODR04384</t>
  </si>
  <si>
    <t>ODR04385</t>
  </si>
  <si>
    <t>ODR04386</t>
  </si>
  <si>
    <t>ODR04387</t>
  </si>
  <si>
    <t>ODR04388</t>
  </si>
  <si>
    <t>ODR04389</t>
  </si>
  <si>
    <t>ODR04390</t>
  </si>
  <si>
    <t>ODR04391</t>
  </si>
  <si>
    <t>ODR04392</t>
  </si>
  <si>
    <t>ODR04393</t>
  </si>
  <si>
    <t>ODR04394</t>
  </si>
  <si>
    <t>ODR04395</t>
  </si>
  <si>
    <t>ODR04396</t>
  </si>
  <si>
    <t>ODR04397</t>
  </si>
  <si>
    <t>ODR04398</t>
  </si>
  <si>
    <t>ODR04399</t>
  </si>
  <si>
    <t>ODR04400</t>
  </si>
  <si>
    <t>ODR04401</t>
  </si>
  <si>
    <t>ODR04402</t>
  </si>
  <si>
    <t>ODR04403</t>
  </si>
  <si>
    <t>ODR04404</t>
  </si>
  <si>
    <t>ODR04405</t>
  </si>
  <si>
    <t>ODR04406</t>
  </si>
  <si>
    <t>ODR04407</t>
  </si>
  <si>
    <t>ODR04408</t>
  </si>
  <si>
    <t>ODR04409</t>
  </si>
  <si>
    <t>ODR04410</t>
  </si>
  <si>
    <t>ODR04411</t>
  </si>
  <si>
    <t>ODR04412</t>
  </si>
  <si>
    <t>ODR04413</t>
  </si>
  <si>
    <t>ODR04414</t>
  </si>
  <si>
    <t>ODR04415</t>
  </si>
  <si>
    <t>ODR04416</t>
  </si>
  <si>
    <t>ODR04417</t>
  </si>
  <si>
    <t>ODR04418</t>
  </si>
  <si>
    <t>ODR04419</t>
  </si>
  <si>
    <t>ODR04420</t>
  </si>
  <si>
    <t>ODR04421</t>
  </si>
  <si>
    <t>ODR04422</t>
  </si>
  <si>
    <t>ODR04423</t>
  </si>
  <si>
    <t>ODR04424</t>
  </si>
  <si>
    <t>ODR04425</t>
  </si>
  <si>
    <t>ODR04426</t>
  </si>
  <si>
    <t>ODR04427</t>
  </si>
  <si>
    <t>ODR04428</t>
  </si>
  <si>
    <t>ODR04429</t>
  </si>
  <si>
    <t>ODR04430</t>
  </si>
  <si>
    <t>ODR04431</t>
  </si>
  <si>
    <t>ODR04432</t>
  </si>
  <si>
    <t>ODR04433</t>
  </si>
  <si>
    <t>ODR04434</t>
  </si>
  <si>
    <t>ODR04435</t>
  </si>
  <si>
    <t>ODR04436</t>
  </si>
  <si>
    <t>ODR04437</t>
  </si>
  <si>
    <t>ODR04438</t>
  </si>
  <si>
    <t>ODR04439</t>
  </si>
  <si>
    <t>ODR04440</t>
  </si>
  <si>
    <t>ODR04441</t>
  </si>
  <si>
    <t>ODR04442</t>
  </si>
  <si>
    <t>ODR04443</t>
  </si>
  <si>
    <t>ODR04444</t>
  </si>
  <si>
    <t>ODR04445</t>
  </si>
  <si>
    <t>ODR04446</t>
  </si>
  <si>
    <t>ODR04447</t>
  </si>
  <si>
    <t>ODR04448</t>
  </si>
  <si>
    <t>ODR04449</t>
  </si>
  <si>
    <t>ODR04450</t>
  </si>
  <si>
    <t>ODR04451</t>
  </si>
  <si>
    <t>ODR04452</t>
  </si>
  <si>
    <t>ODR04453</t>
  </si>
  <si>
    <t>ODR04454</t>
  </si>
  <si>
    <t>ODR04455</t>
  </si>
  <si>
    <t>ODR04456</t>
  </si>
  <si>
    <t>ODR04457</t>
  </si>
  <si>
    <t>ODR04458</t>
  </si>
  <si>
    <t>ODR04459</t>
  </si>
  <si>
    <t>ODR04460</t>
  </si>
  <si>
    <t>ODR04461</t>
  </si>
  <si>
    <t>ODR04462</t>
  </si>
  <si>
    <t>ODR04463</t>
  </si>
  <si>
    <t>ODR04464</t>
  </si>
  <si>
    <t>ODR04465</t>
  </si>
  <si>
    <t>ODR04466</t>
  </si>
  <si>
    <t>ODR04467</t>
  </si>
  <si>
    <t>ODR04468</t>
  </si>
  <si>
    <t>ODR04469</t>
  </si>
  <si>
    <t>ODR04470</t>
  </si>
  <si>
    <t>ODR04471</t>
  </si>
  <si>
    <t>ODR04472</t>
  </si>
  <si>
    <t>ODR04473</t>
  </si>
  <si>
    <t>ODR04474</t>
  </si>
  <si>
    <t>ODR04475</t>
  </si>
  <si>
    <t>ODR04476</t>
  </si>
  <si>
    <t>ODR04477</t>
  </si>
  <si>
    <t>ODR04478</t>
  </si>
  <si>
    <t>ODR04479</t>
  </si>
  <si>
    <t>ODR04480</t>
  </si>
  <si>
    <t>ODR04481</t>
  </si>
  <si>
    <t>ODR04482</t>
  </si>
  <si>
    <t>ODR04483</t>
  </si>
  <si>
    <t>ODR04484</t>
  </si>
  <si>
    <t>ODR04485</t>
  </si>
  <si>
    <t>ODR04486</t>
  </si>
  <si>
    <t>ODR04487</t>
  </si>
  <si>
    <t>ODR04488</t>
  </si>
  <si>
    <t>ODR04489</t>
  </si>
  <si>
    <t>ODR04490</t>
  </si>
  <si>
    <t>ODR04491</t>
  </si>
  <si>
    <t>ODR04492</t>
  </si>
  <si>
    <t>ODR04493</t>
  </si>
  <si>
    <t>ODR04494</t>
  </si>
  <si>
    <t>ODR04495</t>
  </si>
  <si>
    <t>ODR04496</t>
  </si>
  <si>
    <t>ODR04497</t>
  </si>
  <si>
    <t>ODR04498</t>
  </si>
  <si>
    <t>ODR04499</t>
  </si>
  <si>
    <t>ODR04500</t>
  </si>
  <si>
    <t>Orders_Status</t>
  </si>
  <si>
    <t>Total_Orders</t>
  </si>
  <si>
    <t>Total Orders</t>
  </si>
  <si>
    <t>Order_%</t>
  </si>
  <si>
    <t>Column1</t>
  </si>
  <si>
    <t>Column2</t>
  </si>
  <si>
    <t>Unit_Price</t>
  </si>
  <si>
    <t>Cogs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</si>
</sst>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00080"/>
        <bgColor rgb="FF80008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</cellXfs>
  <cellStyles count="1">
    <cellStyle name="Normal" xfId="0" builtinId="0"/>
  </cellStyles>
  <dxfs count="11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800080"/>
          <bgColor rgb="FF80008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800080"/>
          <bgColor rgb="FF80008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800080"/>
          <bgColor rgb="FF80008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7DAC7C-EBAF-49B4-8C9A-7413F11412FD}" name="Table3" displayName="Table3" ref="A1:G501" totalsRowShown="0" headerRowDxfId="5" headerRowBorderDxfId="4" tableBorderDxfId="3">
  <autoFilter ref="A1:G501" xr:uid="{787DAC7C-EBAF-49B4-8C9A-7413F11412FD}"/>
  <tableColumns count="7">
    <tableColumn id="1" xr3:uid="{401FAAC5-F2C2-4B26-B1EE-DF4D39CCA328}" name="CustomerID"/>
    <tableColumn id="2" xr3:uid="{2EB7EB1E-D3FC-4C4D-9820-04AF524A7723}" name="CustomerName"/>
    <tableColumn id="3" xr3:uid="{06888EBF-469E-4BD9-BC85-4ED983C62A96}" name="Gender"/>
    <tableColumn id="4" xr3:uid="{8E6FA7E2-E333-4931-B37D-B20FFAD1B6CF}" name="AgeGroup"/>
    <tableColumn id="5" xr3:uid="{4D7D9151-2AD7-4E3D-B335-1220E7316C0A}" name="City"/>
    <tableColumn id="6" xr3:uid="{2993019D-F650-455A-8B7A-9AA4054331A2}" name="State"/>
    <tableColumn id="7" xr3:uid="{568A0604-21EF-483D-8CB2-1593DF9A4134}" name="AcquisitionChannel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3F36F56-03B2-4F95-AFC2-96DCFA9E1E2D}" name="Table2" displayName="Table2" ref="A1:E16" totalsRowShown="0" headerRowDxfId="2" headerRowBorderDxfId="1" tableBorderDxfId="0">
  <autoFilter ref="A1:E16" xr:uid="{33F36F56-03B2-4F95-AFC2-96DCFA9E1E2D}"/>
  <tableColumns count="5">
    <tableColumn id="1" xr3:uid="{2C7D3F0D-8BB1-455E-90FE-99363E33EB0F}" name="ProductID"/>
    <tableColumn id="2" xr3:uid="{46117BBD-BF7F-453F-9D89-A69AD7D147ED}" name="ProductName"/>
    <tableColumn id="3" xr3:uid="{648669E5-8A54-41DB-A2AD-445FC7B5026B}" name="Category"/>
    <tableColumn id="4" xr3:uid="{D0C9EF65-C04D-4352-B14C-D7FBC4ACC3C8}" name="UnitCost_INR"/>
    <tableColumn id="5" xr3:uid="{4478A4A0-A12C-479A-ADFB-9514FC4B721E}" name="MRP_INR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AC99D0-8D37-4D96-B0EE-4A0219E1ECB1}" name="Table1" displayName="Table1" ref="A1:O4501" totalsRowShown="0" headerRowDxfId="10" headerRowBorderDxfId="9" tableBorderDxfId="8">
  <autoFilter ref="A1:O4501" xr:uid="{95AC99D0-8D37-4D96-B0EE-4A0219E1ECB1}"/>
  <tableColumns count="15">
    <tableColumn id="1" xr3:uid="{2B4D3257-7485-4B94-A9AB-02CA877974AF}" name="OrderID"/>
    <tableColumn id="2" xr3:uid="{B52CA6FC-7FC5-4BEC-8C05-5D903BF2A039}" name="OrderDate"/>
    <tableColumn id="3" xr3:uid="{63C295C9-AF1C-4F79-BC7D-085C4E64DBC8}" name="CustomerID"/>
    <tableColumn id="4" xr3:uid="{E63EC859-242F-46C0-A14C-2C73B5B679AD}" name="ProductID"/>
    <tableColumn id="5" xr3:uid="{AFD71A0B-61DA-40D3-97B7-29311D996D7A}" name="Quantity"/>
    <tableColumn id="13" xr3:uid="{89364C08-7660-4FD6-93DD-79CABDD3E545}" name="Unit_Price" dataDxfId="7">
      <calculatedColumnFormula>_xlfn.XLOOKUP(Table1[[#This Row],[ProductID]],Products!A:A,Products!D:D,,0)</calculatedColumnFormula>
    </tableColumn>
    <tableColumn id="16" xr3:uid="{0A849AEE-2A97-4F83-A863-DF265F113C67}" name="Column2"/>
    <tableColumn id="15" xr3:uid="{76CA8A33-38E9-4387-9A72-2CDA0BBA21F6}" name="Column1"/>
    <tableColumn id="6" xr3:uid="{4F2707A2-8C48-4143-945A-CC27C5F300B0}" name="MRP_INR"/>
    <tableColumn id="7" xr3:uid="{5914F0A4-49B0-4FF3-B62E-29C86A7A1BF0}" name="SellingPrice_INR"/>
    <tableColumn id="8" xr3:uid="{49495212-DFAD-4ADB-8C64-7C105F793509}" name="CouponCode"/>
    <tableColumn id="9" xr3:uid="{61848FC4-0F25-4D96-9268-C9B1D26F8651}" name="TotalOrderValue_INR"/>
    <tableColumn id="10" xr3:uid="{D9914E46-8E8B-496D-8116-51A30BA1DDCC}" name="PaymentMethod"/>
    <tableColumn id="11" xr3:uid="{90028304-735B-41E3-B7F2-6DCF231E6AF1}" name="OrderStatus"/>
    <tableColumn id="14" xr3:uid="{3BFA4279-6ABA-440C-B4D4-6D3809E45ABE}" name="Cogs" dataDxfId="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1"/>
  <sheetViews>
    <sheetView workbookViewId="0">
      <pane ySplit="1" topLeftCell="A477" activePane="bottomLeft" state="frozen"/>
      <selection pane="bottomLeft" activeCell="I485" sqref="I485"/>
    </sheetView>
  </sheetViews>
  <sheetFormatPr defaultRowHeight="14.4" x14ac:dyDescent="0.3"/>
  <cols>
    <col min="1" max="1" width="13" customWidth="1"/>
    <col min="2" max="2" width="16" customWidth="1"/>
    <col min="3" max="3" width="9" customWidth="1"/>
    <col min="4" max="4" width="11.33203125" customWidth="1"/>
    <col min="5" max="5" width="13" customWidth="1"/>
    <col min="6" max="6" width="16" customWidth="1"/>
    <col min="7" max="7" width="21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</row>
    <row r="3" spans="1:7" x14ac:dyDescent="0.3">
      <c r="A3" t="s">
        <v>14</v>
      </c>
      <c r="B3" t="s">
        <v>15</v>
      </c>
      <c r="C3" t="s">
        <v>9</v>
      </c>
      <c r="D3" t="s">
        <v>16</v>
      </c>
      <c r="E3" t="s">
        <v>11</v>
      </c>
      <c r="F3" t="s">
        <v>12</v>
      </c>
      <c r="G3" t="s">
        <v>17</v>
      </c>
    </row>
    <row r="4" spans="1:7" x14ac:dyDescent="0.3">
      <c r="A4" t="s">
        <v>18</v>
      </c>
      <c r="B4" t="s">
        <v>19</v>
      </c>
      <c r="C4" t="s">
        <v>9</v>
      </c>
      <c r="D4" t="s">
        <v>10</v>
      </c>
      <c r="E4" t="s">
        <v>11</v>
      </c>
      <c r="F4" t="s">
        <v>12</v>
      </c>
      <c r="G4" t="s">
        <v>13</v>
      </c>
    </row>
    <row r="5" spans="1:7" x14ac:dyDescent="0.3">
      <c r="A5" t="s">
        <v>20</v>
      </c>
      <c r="B5" t="s">
        <v>21</v>
      </c>
      <c r="C5" t="s">
        <v>9</v>
      </c>
      <c r="D5" t="s">
        <v>22</v>
      </c>
      <c r="E5" t="s">
        <v>23</v>
      </c>
      <c r="F5" t="s">
        <v>24</v>
      </c>
      <c r="G5" t="s">
        <v>13</v>
      </c>
    </row>
    <row r="6" spans="1:7" x14ac:dyDescent="0.3">
      <c r="A6" t="s">
        <v>25</v>
      </c>
      <c r="B6" t="s">
        <v>26</v>
      </c>
      <c r="C6" t="s">
        <v>9</v>
      </c>
      <c r="D6" t="s">
        <v>16</v>
      </c>
      <c r="E6" t="s">
        <v>27</v>
      </c>
      <c r="F6" t="s">
        <v>28</v>
      </c>
      <c r="G6" t="s">
        <v>13</v>
      </c>
    </row>
    <row r="7" spans="1:7" x14ac:dyDescent="0.3">
      <c r="A7" t="s">
        <v>29</v>
      </c>
      <c r="B7" t="s">
        <v>30</v>
      </c>
      <c r="C7" t="s">
        <v>9</v>
      </c>
      <c r="D7" t="s">
        <v>31</v>
      </c>
      <c r="E7" t="s">
        <v>32</v>
      </c>
      <c r="F7" t="s">
        <v>33</v>
      </c>
      <c r="G7" t="s">
        <v>17</v>
      </c>
    </row>
    <row r="8" spans="1:7" x14ac:dyDescent="0.3">
      <c r="A8" t="s">
        <v>34</v>
      </c>
      <c r="B8" t="s">
        <v>35</v>
      </c>
      <c r="C8" t="s">
        <v>9</v>
      </c>
      <c r="D8" t="s">
        <v>16</v>
      </c>
      <c r="E8" t="s">
        <v>36</v>
      </c>
      <c r="F8" t="s">
        <v>28</v>
      </c>
      <c r="G8" t="s">
        <v>13</v>
      </c>
    </row>
    <row r="9" spans="1:7" x14ac:dyDescent="0.3">
      <c r="A9" t="s">
        <v>37</v>
      </c>
      <c r="B9" t="s">
        <v>38</v>
      </c>
      <c r="C9" t="s">
        <v>39</v>
      </c>
      <c r="D9" t="s">
        <v>10</v>
      </c>
      <c r="E9" t="s">
        <v>40</v>
      </c>
      <c r="F9" t="s">
        <v>41</v>
      </c>
      <c r="G9" t="s">
        <v>13</v>
      </c>
    </row>
    <row r="10" spans="1:7" x14ac:dyDescent="0.3">
      <c r="A10" t="s">
        <v>42</v>
      </c>
      <c r="B10" t="s">
        <v>43</v>
      </c>
      <c r="C10" t="s">
        <v>9</v>
      </c>
      <c r="D10" t="s">
        <v>10</v>
      </c>
      <c r="E10" t="s">
        <v>11</v>
      </c>
      <c r="F10" t="s">
        <v>12</v>
      </c>
      <c r="G10" t="s">
        <v>17</v>
      </c>
    </row>
    <row r="11" spans="1:7" x14ac:dyDescent="0.3">
      <c r="A11" t="s">
        <v>44</v>
      </c>
      <c r="B11" t="s">
        <v>45</v>
      </c>
      <c r="C11" t="s">
        <v>46</v>
      </c>
      <c r="D11" t="s">
        <v>31</v>
      </c>
      <c r="E11" t="s">
        <v>27</v>
      </c>
      <c r="F11" t="s">
        <v>28</v>
      </c>
      <c r="G11" t="s">
        <v>17</v>
      </c>
    </row>
    <row r="12" spans="1:7" x14ac:dyDescent="0.3">
      <c r="A12" t="s">
        <v>47</v>
      </c>
      <c r="B12" t="s">
        <v>48</v>
      </c>
      <c r="C12" t="s">
        <v>39</v>
      </c>
      <c r="D12" t="s">
        <v>10</v>
      </c>
      <c r="E12" t="s">
        <v>32</v>
      </c>
      <c r="F12" t="s">
        <v>33</v>
      </c>
      <c r="G12" t="s">
        <v>17</v>
      </c>
    </row>
    <row r="13" spans="1:7" x14ac:dyDescent="0.3">
      <c r="A13" t="s">
        <v>49</v>
      </c>
      <c r="B13" t="s">
        <v>50</v>
      </c>
      <c r="C13" t="s">
        <v>9</v>
      </c>
      <c r="D13" t="s">
        <v>16</v>
      </c>
      <c r="E13" t="s">
        <v>32</v>
      </c>
      <c r="F13" t="s">
        <v>33</v>
      </c>
      <c r="G13" t="s">
        <v>51</v>
      </c>
    </row>
    <row r="14" spans="1:7" x14ac:dyDescent="0.3">
      <c r="A14" t="s">
        <v>52</v>
      </c>
      <c r="B14" t="s">
        <v>53</v>
      </c>
      <c r="C14" t="s">
        <v>46</v>
      </c>
      <c r="D14" t="s">
        <v>10</v>
      </c>
      <c r="E14" t="s">
        <v>54</v>
      </c>
      <c r="F14" t="s">
        <v>55</v>
      </c>
      <c r="G14" t="s">
        <v>56</v>
      </c>
    </row>
    <row r="15" spans="1:7" x14ac:dyDescent="0.3">
      <c r="A15" t="s">
        <v>57</v>
      </c>
      <c r="B15" t="s">
        <v>58</v>
      </c>
      <c r="C15" t="s">
        <v>9</v>
      </c>
      <c r="D15" t="s">
        <v>22</v>
      </c>
      <c r="E15" t="s">
        <v>40</v>
      </c>
      <c r="F15" t="s">
        <v>41</v>
      </c>
      <c r="G15" t="s">
        <v>51</v>
      </c>
    </row>
    <row r="16" spans="1:7" x14ac:dyDescent="0.3">
      <c r="A16" t="s">
        <v>59</v>
      </c>
      <c r="B16" t="s">
        <v>60</v>
      </c>
      <c r="C16" t="s">
        <v>39</v>
      </c>
      <c r="D16" t="s">
        <v>16</v>
      </c>
      <c r="E16" t="s">
        <v>61</v>
      </c>
      <c r="F16" t="s">
        <v>62</v>
      </c>
      <c r="G16" t="s">
        <v>51</v>
      </c>
    </row>
    <row r="17" spans="1:7" x14ac:dyDescent="0.3">
      <c r="A17" t="s">
        <v>63</v>
      </c>
      <c r="B17" t="s">
        <v>64</v>
      </c>
      <c r="C17" t="s">
        <v>46</v>
      </c>
      <c r="D17" t="s">
        <v>16</v>
      </c>
      <c r="E17" t="s">
        <v>23</v>
      </c>
      <c r="F17" t="s">
        <v>24</v>
      </c>
      <c r="G17" t="s">
        <v>56</v>
      </c>
    </row>
    <row r="18" spans="1:7" x14ac:dyDescent="0.3">
      <c r="A18" t="s">
        <v>65</v>
      </c>
      <c r="B18" t="s">
        <v>66</v>
      </c>
      <c r="C18" t="s">
        <v>9</v>
      </c>
      <c r="D18" t="s">
        <v>22</v>
      </c>
      <c r="E18" t="s">
        <v>23</v>
      </c>
      <c r="F18" t="s">
        <v>24</v>
      </c>
      <c r="G18" t="s">
        <v>56</v>
      </c>
    </row>
    <row r="19" spans="1:7" x14ac:dyDescent="0.3">
      <c r="A19" t="s">
        <v>67</v>
      </c>
      <c r="B19" t="s">
        <v>68</v>
      </c>
      <c r="C19" t="s">
        <v>9</v>
      </c>
      <c r="D19" t="s">
        <v>22</v>
      </c>
      <c r="E19" t="s">
        <v>40</v>
      </c>
      <c r="F19" t="s">
        <v>41</v>
      </c>
      <c r="G19" t="s">
        <v>51</v>
      </c>
    </row>
    <row r="20" spans="1:7" x14ac:dyDescent="0.3">
      <c r="A20" t="s">
        <v>69</v>
      </c>
      <c r="B20" t="s">
        <v>70</v>
      </c>
      <c r="C20" t="s">
        <v>9</v>
      </c>
      <c r="D20" t="s">
        <v>10</v>
      </c>
      <c r="E20" t="s">
        <v>11</v>
      </c>
      <c r="F20" t="s">
        <v>12</v>
      </c>
      <c r="G20" t="s">
        <v>17</v>
      </c>
    </row>
    <row r="21" spans="1:7" x14ac:dyDescent="0.3">
      <c r="A21" t="s">
        <v>71</v>
      </c>
      <c r="B21" t="s">
        <v>72</v>
      </c>
      <c r="C21" t="s">
        <v>9</v>
      </c>
      <c r="D21" t="s">
        <v>31</v>
      </c>
      <c r="E21" t="s">
        <v>73</v>
      </c>
      <c r="F21" t="s">
        <v>24</v>
      </c>
      <c r="G21" t="s">
        <v>13</v>
      </c>
    </row>
    <row r="22" spans="1:7" x14ac:dyDescent="0.3">
      <c r="A22" t="s">
        <v>74</v>
      </c>
      <c r="B22" t="s">
        <v>75</v>
      </c>
      <c r="C22" t="s">
        <v>9</v>
      </c>
      <c r="D22" t="s">
        <v>10</v>
      </c>
      <c r="E22" t="s">
        <v>54</v>
      </c>
      <c r="F22" t="s">
        <v>55</v>
      </c>
      <c r="G22" t="s">
        <v>56</v>
      </c>
    </row>
    <row r="23" spans="1:7" x14ac:dyDescent="0.3">
      <c r="A23" t="s">
        <v>76</v>
      </c>
      <c r="B23" t="s">
        <v>77</v>
      </c>
      <c r="C23" t="s">
        <v>39</v>
      </c>
      <c r="D23" t="s">
        <v>16</v>
      </c>
      <c r="E23" t="s">
        <v>23</v>
      </c>
      <c r="F23" t="s">
        <v>24</v>
      </c>
      <c r="G23" t="s">
        <v>78</v>
      </c>
    </row>
    <row r="24" spans="1:7" x14ac:dyDescent="0.3">
      <c r="A24" t="s">
        <v>79</v>
      </c>
      <c r="B24" t="s">
        <v>80</v>
      </c>
      <c r="C24" t="s">
        <v>39</v>
      </c>
      <c r="D24" t="s">
        <v>31</v>
      </c>
      <c r="E24" t="s">
        <v>61</v>
      </c>
      <c r="F24" t="s">
        <v>62</v>
      </c>
      <c r="G24" t="s">
        <v>17</v>
      </c>
    </row>
    <row r="25" spans="1:7" x14ac:dyDescent="0.3">
      <c r="A25" t="s">
        <v>81</v>
      </c>
      <c r="B25" t="s">
        <v>82</v>
      </c>
      <c r="C25" t="s">
        <v>9</v>
      </c>
      <c r="D25" t="s">
        <v>22</v>
      </c>
      <c r="E25" t="s">
        <v>61</v>
      </c>
      <c r="F25" t="s">
        <v>62</v>
      </c>
      <c r="G25" t="s">
        <v>51</v>
      </c>
    </row>
    <row r="26" spans="1:7" x14ac:dyDescent="0.3">
      <c r="A26" t="s">
        <v>83</v>
      </c>
      <c r="B26" t="s">
        <v>84</v>
      </c>
      <c r="C26" t="s">
        <v>39</v>
      </c>
      <c r="D26" t="s">
        <v>22</v>
      </c>
      <c r="E26" t="s">
        <v>73</v>
      </c>
      <c r="F26" t="s">
        <v>24</v>
      </c>
      <c r="G26" t="s">
        <v>17</v>
      </c>
    </row>
    <row r="27" spans="1:7" x14ac:dyDescent="0.3">
      <c r="A27" t="s">
        <v>85</v>
      </c>
      <c r="B27" t="s">
        <v>86</v>
      </c>
      <c r="C27" t="s">
        <v>9</v>
      </c>
      <c r="D27" t="s">
        <v>10</v>
      </c>
      <c r="E27" t="s">
        <v>32</v>
      </c>
      <c r="F27" t="s">
        <v>33</v>
      </c>
      <c r="G27" t="s">
        <v>56</v>
      </c>
    </row>
    <row r="28" spans="1:7" x14ac:dyDescent="0.3">
      <c r="A28" t="s">
        <v>87</v>
      </c>
      <c r="B28" t="s">
        <v>88</v>
      </c>
      <c r="C28" t="s">
        <v>9</v>
      </c>
      <c r="D28" t="s">
        <v>10</v>
      </c>
      <c r="E28" t="s">
        <v>40</v>
      </c>
      <c r="F28" t="s">
        <v>41</v>
      </c>
      <c r="G28" t="s">
        <v>17</v>
      </c>
    </row>
    <row r="29" spans="1:7" x14ac:dyDescent="0.3">
      <c r="A29" t="s">
        <v>89</v>
      </c>
      <c r="B29" t="s">
        <v>90</v>
      </c>
      <c r="C29" t="s">
        <v>9</v>
      </c>
      <c r="D29" t="s">
        <v>31</v>
      </c>
      <c r="E29" t="s">
        <v>61</v>
      </c>
      <c r="F29" t="s">
        <v>62</v>
      </c>
      <c r="G29" t="s">
        <v>17</v>
      </c>
    </row>
    <row r="30" spans="1:7" x14ac:dyDescent="0.3">
      <c r="A30" t="s">
        <v>91</v>
      </c>
      <c r="B30" t="s">
        <v>92</v>
      </c>
      <c r="C30" t="s">
        <v>9</v>
      </c>
      <c r="D30" t="s">
        <v>22</v>
      </c>
      <c r="E30" t="s">
        <v>54</v>
      </c>
      <c r="F30" t="s">
        <v>55</v>
      </c>
      <c r="G30" t="s">
        <v>17</v>
      </c>
    </row>
    <row r="31" spans="1:7" x14ac:dyDescent="0.3">
      <c r="A31" t="s">
        <v>93</v>
      </c>
      <c r="B31" t="s">
        <v>94</v>
      </c>
      <c r="C31" t="s">
        <v>46</v>
      </c>
      <c r="D31" t="s">
        <v>16</v>
      </c>
      <c r="E31" t="s">
        <v>11</v>
      </c>
      <c r="F31" t="s">
        <v>12</v>
      </c>
      <c r="G31" t="s">
        <v>56</v>
      </c>
    </row>
    <row r="32" spans="1:7" x14ac:dyDescent="0.3">
      <c r="A32" t="s">
        <v>95</v>
      </c>
      <c r="B32" t="s">
        <v>96</v>
      </c>
      <c r="C32" t="s">
        <v>9</v>
      </c>
      <c r="D32" t="s">
        <v>22</v>
      </c>
      <c r="E32" t="s">
        <v>97</v>
      </c>
      <c r="F32" t="s">
        <v>98</v>
      </c>
      <c r="G32" t="s">
        <v>78</v>
      </c>
    </row>
    <row r="33" spans="1:7" x14ac:dyDescent="0.3">
      <c r="A33" t="s">
        <v>99</v>
      </c>
      <c r="B33" t="s">
        <v>100</v>
      </c>
      <c r="C33" t="s">
        <v>9</v>
      </c>
      <c r="D33" t="s">
        <v>22</v>
      </c>
      <c r="E33" t="s">
        <v>101</v>
      </c>
      <c r="F33" t="s">
        <v>62</v>
      </c>
      <c r="G33" t="s">
        <v>78</v>
      </c>
    </row>
    <row r="34" spans="1:7" x14ac:dyDescent="0.3">
      <c r="A34" t="s">
        <v>102</v>
      </c>
      <c r="B34" t="s">
        <v>103</v>
      </c>
      <c r="C34" t="s">
        <v>9</v>
      </c>
      <c r="D34" t="s">
        <v>10</v>
      </c>
      <c r="E34" t="s">
        <v>11</v>
      </c>
      <c r="F34" t="s">
        <v>12</v>
      </c>
      <c r="G34" t="s">
        <v>13</v>
      </c>
    </row>
    <row r="35" spans="1:7" x14ac:dyDescent="0.3">
      <c r="A35" t="s">
        <v>104</v>
      </c>
      <c r="B35" t="s">
        <v>105</v>
      </c>
      <c r="C35" t="s">
        <v>9</v>
      </c>
      <c r="D35" t="s">
        <v>31</v>
      </c>
      <c r="E35" t="s">
        <v>101</v>
      </c>
      <c r="F35" t="s">
        <v>62</v>
      </c>
      <c r="G35" t="s">
        <v>51</v>
      </c>
    </row>
    <row r="36" spans="1:7" x14ac:dyDescent="0.3">
      <c r="A36" t="s">
        <v>106</v>
      </c>
      <c r="B36" t="s">
        <v>107</v>
      </c>
      <c r="C36" t="s">
        <v>9</v>
      </c>
      <c r="D36" t="s">
        <v>10</v>
      </c>
      <c r="E36" t="s">
        <v>97</v>
      </c>
      <c r="F36" t="s">
        <v>98</v>
      </c>
      <c r="G36" t="s">
        <v>17</v>
      </c>
    </row>
    <row r="37" spans="1:7" x14ac:dyDescent="0.3">
      <c r="A37" t="s">
        <v>108</v>
      </c>
      <c r="B37" t="s">
        <v>109</v>
      </c>
      <c r="C37" t="s">
        <v>9</v>
      </c>
      <c r="D37" t="s">
        <v>10</v>
      </c>
      <c r="E37" t="s">
        <v>101</v>
      </c>
      <c r="F37" t="s">
        <v>62</v>
      </c>
      <c r="G37" t="s">
        <v>51</v>
      </c>
    </row>
    <row r="38" spans="1:7" x14ac:dyDescent="0.3">
      <c r="A38" t="s">
        <v>110</v>
      </c>
      <c r="B38" t="s">
        <v>111</v>
      </c>
      <c r="C38" t="s">
        <v>9</v>
      </c>
      <c r="D38" t="s">
        <v>10</v>
      </c>
      <c r="E38" t="s">
        <v>32</v>
      </c>
      <c r="F38" t="s">
        <v>33</v>
      </c>
      <c r="G38" t="s">
        <v>17</v>
      </c>
    </row>
    <row r="39" spans="1:7" x14ac:dyDescent="0.3">
      <c r="A39" t="s">
        <v>112</v>
      </c>
      <c r="B39" t="s">
        <v>113</v>
      </c>
      <c r="C39" t="s">
        <v>9</v>
      </c>
      <c r="D39" t="s">
        <v>31</v>
      </c>
      <c r="E39" t="s">
        <v>11</v>
      </c>
      <c r="F39" t="s">
        <v>12</v>
      </c>
      <c r="G39" t="s">
        <v>56</v>
      </c>
    </row>
    <row r="40" spans="1:7" x14ac:dyDescent="0.3">
      <c r="A40" t="s">
        <v>114</v>
      </c>
      <c r="B40" t="s">
        <v>115</v>
      </c>
      <c r="C40" t="s">
        <v>9</v>
      </c>
      <c r="D40" t="s">
        <v>31</v>
      </c>
      <c r="E40" t="s">
        <v>23</v>
      </c>
      <c r="F40" t="s">
        <v>24</v>
      </c>
      <c r="G40" t="s">
        <v>13</v>
      </c>
    </row>
    <row r="41" spans="1:7" x14ac:dyDescent="0.3">
      <c r="A41" t="s">
        <v>116</v>
      </c>
      <c r="B41" t="s">
        <v>117</v>
      </c>
      <c r="C41" t="s">
        <v>9</v>
      </c>
      <c r="D41" t="s">
        <v>10</v>
      </c>
      <c r="E41" t="s">
        <v>11</v>
      </c>
      <c r="F41" t="s">
        <v>12</v>
      </c>
      <c r="G41" t="s">
        <v>78</v>
      </c>
    </row>
    <row r="42" spans="1:7" x14ac:dyDescent="0.3">
      <c r="A42" t="s">
        <v>118</v>
      </c>
      <c r="B42" t="s">
        <v>119</v>
      </c>
      <c r="C42" t="s">
        <v>39</v>
      </c>
      <c r="D42" t="s">
        <v>16</v>
      </c>
      <c r="E42" t="s">
        <v>54</v>
      </c>
      <c r="F42" t="s">
        <v>55</v>
      </c>
      <c r="G42" t="s">
        <v>51</v>
      </c>
    </row>
    <row r="43" spans="1:7" x14ac:dyDescent="0.3">
      <c r="A43" t="s">
        <v>120</v>
      </c>
      <c r="B43" t="s">
        <v>121</v>
      </c>
      <c r="C43" t="s">
        <v>9</v>
      </c>
      <c r="D43" t="s">
        <v>16</v>
      </c>
      <c r="E43" t="s">
        <v>40</v>
      </c>
      <c r="F43" t="s">
        <v>41</v>
      </c>
      <c r="G43" t="s">
        <v>78</v>
      </c>
    </row>
    <row r="44" spans="1:7" x14ac:dyDescent="0.3">
      <c r="A44" t="s">
        <v>122</v>
      </c>
      <c r="B44" t="s">
        <v>123</v>
      </c>
      <c r="C44" t="s">
        <v>9</v>
      </c>
      <c r="D44" t="s">
        <v>31</v>
      </c>
      <c r="E44" t="s">
        <v>40</v>
      </c>
      <c r="F44" t="s">
        <v>41</v>
      </c>
      <c r="G44" t="s">
        <v>13</v>
      </c>
    </row>
    <row r="45" spans="1:7" x14ac:dyDescent="0.3">
      <c r="A45" t="s">
        <v>124</v>
      </c>
      <c r="B45" t="s">
        <v>125</v>
      </c>
      <c r="C45" t="s">
        <v>46</v>
      </c>
      <c r="D45" t="s">
        <v>10</v>
      </c>
      <c r="E45" t="s">
        <v>40</v>
      </c>
      <c r="F45" t="s">
        <v>41</v>
      </c>
      <c r="G45" t="s">
        <v>51</v>
      </c>
    </row>
    <row r="46" spans="1:7" x14ac:dyDescent="0.3">
      <c r="A46" t="s">
        <v>126</v>
      </c>
      <c r="B46" t="s">
        <v>127</v>
      </c>
      <c r="C46" t="s">
        <v>9</v>
      </c>
      <c r="D46" t="s">
        <v>31</v>
      </c>
      <c r="E46" t="s">
        <v>128</v>
      </c>
      <c r="F46" t="s">
        <v>129</v>
      </c>
      <c r="G46" t="s">
        <v>56</v>
      </c>
    </row>
    <row r="47" spans="1:7" x14ac:dyDescent="0.3">
      <c r="A47" t="s">
        <v>130</v>
      </c>
      <c r="B47" t="s">
        <v>131</v>
      </c>
      <c r="C47" t="s">
        <v>9</v>
      </c>
      <c r="D47" t="s">
        <v>22</v>
      </c>
      <c r="E47" t="s">
        <v>32</v>
      </c>
      <c r="F47" t="s">
        <v>33</v>
      </c>
      <c r="G47" t="s">
        <v>56</v>
      </c>
    </row>
    <row r="48" spans="1:7" x14ac:dyDescent="0.3">
      <c r="A48" t="s">
        <v>132</v>
      </c>
      <c r="B48" t="s">
        <v>133</v>
      </c>
      <c r="C48" t="s">
        <v>9</v>
      </c>
      <c r="D48" t="s">
        <v>31</v>
      </c>
      <c r="E48" t="s">
        <v>11</v>
      </c>
      <c r="F48" t="s">
        <v>12</v>
      </c>
      <c r="G48" t="s">
        <v>13</v>
      </c>
    </row>
    <row r="49" spans="1:7" x14ac:dyDescent="0.3">
      <c r="A49" t="s">
        <v>134</v>
      </c>
      <c r="B49" t="s">
        <v>135</v>
      </c>
      <c r="C49" t="s">
        <v>9</v>
      </c>
      <c r="D49" t="s">
        <v>31</v>
      </c>
      <c r="E49" t="s">
        <v>11</v>
      </c>
      <c r="F49" t="s">
        <v>12</v>
      </c>
      <c r="G49" t="s">
        <v>56</v>
      </c>
    </row>
    <row r="50" spans="1:7" x14ac:dyDescent="0.3">
      <c r="A50" t="s">
        <v>136</v>
      </c>
      <c r="B50" t="s">
        <v>137</v>
      </c>
      <c r="C50" t="s">
        <v>39</v>
      </c>
      <c r="D50" t="s">
        <v>10</v>
      </c>
      <c r="E50" t="s">
        <v>61</v>
      </c>
      <c r="F50" t="s">
        <v>62</v>
      </c>
      <c r="G50" t="s">
        <v>17</v>
      </c>
    </row>
    <row r="51" spans="1:7" x14ac:dyDescent="0.3">
      <c r="A51" t="s">
        <v>138</v>
      </c>
      <c r="B51" t="s">
        <v>139</v>
      </c>
      <c r="C51" t="s">
        <v>9</v>
      </c>
      <c r="D51" t="s">
        <v>31</v>
      </c>
      <c r="E51" t="s">
        <v>11</v>
      </c>
      <c r="F51" t="s">
        <v>12</v>
      </c>
      <c r="G51" t="s">
        <v>78</v>
      </c>
    </row>
    <row r="52" spans="1:7" x14ac:dyDescent="0.3">
      <c r="A52" t="s">
        <v>140</v>
      </c>
      <c r="B52" t="s">
        <v>141</v>
      </c>
      <c r="C52" t="s">
        <v>9</v>
      </c>
      <c r="D52" t="s">
        <v>31</v>
      </c>
      <c r="E52" t="s">
        <v>142</v>
      </c>
      <c r="F52" t="s">
        <v>129</v>
      </c>
      <c r="G52" t="s">
        <v>13</v>
      </c>
    </row>
    <row r="53" spans="1:7" x14ac:dyDescent="0.3">
      <c r="A53" t="s">
        <v>143</v>
      </c>
      <c r="B53" t="s">
        <v>144</v>
      </c>
      <c r="C53" t="s">
        <v>39</v>
      </c>
      <c r="D53" t="s">
        <v>22</v>
      </c>
      <c r="E53" t="s">
        <v>36</v>
      </c>
      <c r="F53" t="s">
        <v>28</v>
      </c>
      <c r="G53" t="s">
        <v>51</v>
      </c>
    </row>
    <row r="54" spans="1:7" x14ac:dyDescent="0.3">
      <c r="A54" t="s">
        <v>145</v>
      </c>
      <c r="B54" t="s">
        <v>146</v>
      </c>
      <c r="C54" t="s">
        <v>9</v>
      </c>
      <c r="D54" t="s">
        <v>10</v>
      </c>
      <c r="E54" t="s">
        <v>147</v>
      </c>
      <c r="F54" t="s">
        <v>98</v>
      </c>
      <c r="G54" t="s">
        <v>17</v>
      </c>
    </row>
    <row r="55" spans="1:7" x14ac:dyDescent="0.3">
      <c r="A55" t="s">
        <v>148</v>
      </c>
      <c r="B55" t="s">
        <v>149</v>
      </c>
      <c r="C55" t="s">
        <v>39</v>
      </c>
      <c r="D55" t="s">
        <v>10</v>
      </c>
      <c r="E55" t="s">
        <v>147</v>
      </c>
      <c r="F55" t="s">
        <v>98</v>
      </c>
      <c r="G55" t="s">
        <v>13</v>
      </c>
    </row>
    <row r="56" spans="1:7" x14ac:dyDescent="0.3">
      <c r="A56" t="s">
        <v>150</v>
      </c>
      <c r="B56" t="s">
        <v>151</v>
      </c>
      <c r="C56" t="s">
        <v>9</v>
      </c>
      <c r="D56" t="s">
        <v>10</v>
      </c>
      <c r="E56" t="s">
        <v>32</v>
      </c>
      <c r="F56" t="s">
        <v>33</v>
      </c>
      <c r="G56" t="s">
        <v>17</v>
      </c>
    </row>
    <row r="57" spans="1:7" x14ac:dyDescent="0.3">
      <c r="A57" t="s">
        <v>152</v>
      </c>
      <c r="B57" t="s">
        <v>153</v>
      </c>
      <c r="C57" t="s">
        <v>39</v>
      </c>
      <c r="D57" t="s">
        <v>16</v>
      </c>
      <c r="E57" t="s">
        <v>32</v>
      </c>
      <c r="F57" t="s">
        <v>33</v>
      </c>
      <c r="G57" t="s">
        <v>13</v>
      </c>
    </row>
    <row r="58" spans="1:7" x14ac:dyDescent="0.3">
      <c r="A58" t="s">
        <v>154</v>
      </c>
      <c r="B58" t="s">
        <v>155</v>
      </c>
      <c r="C58" t="s">
        <v>9</v>
      </c>
      <c r="D58" t="s">
        <v>22</v>
      </c>
      <c r="E58" t="s">
        <v>73</v>
      </c>
      <c r="F58" t="s">
        <v>24</v>
      </c>
      <c r="G58" t="s">
        <v>13</v>
      </c>
    </row>
    <row r="59" spans="1:7" x14ac:dyDescent="0.3">
      <c r="A59" t="s">
        <v>156</v>
      </c>
      <c r="B59" t="s">
        <v>157</v>
      </c>
      <c r="C59" t="s">
        <v>39</v>
      </c>
      <c r="D59" t="s">
        <v>31</v>
      </c>
      <c r="E59" t="s">
        <v>11</v>
      </c>
      <c r="F59" t="s">
        <v>12</v>
      </c>
      <c r="G59" t="s">
        <v>13</v>
      </c>
    </row>
    <row r="60" spans="1:7" x14ac:dyDescent="0.3">
      <c r="A60" t="s">
        <v>158</v>
      </c>
      <c r="B60" t="s">
        <v>159</v>
      </c>
      <c r="C60" t="s">
        <v>9</v>
      </c>
      <c r="D60" t="s">
        <v>31</v>
      </c>
      <c r="E60" t="s">
        <v>54</v>
      </c>
      <c r="F60" t="s">
        <v>55</v>
      </c>
      <c r="G60" t="s">
        <v>17</v>
      </c>
    </row>
    <row r="61" spans="1:7" x14ac:dyDescent="0.3">
      <c r="A61" t="s">
        <v>160</v>
      </c>
      <c r="B61" t="s">
        <v>161</v>
      </c>
      <c r="C61" t="s">
        <v>9</v>
      </c>
      <c r="D61" t="s">
        <v>10</v>
      </c>
      <c r="E61" t="s">
        <v>54</v>
      </c>
      <c r="F61" t="s">
        <v>55</v>
      </c>
      <c r="G61" t="s">
        <v>78</v>
      </c>
    </row>
    <row r="62" spans="1:7" x14ac:dyDescent="0.3">
      <c r="A62" t="s">
        <v>162</v>
      </c>
      <c r="B62" t="s">
        <v>163</v>
      </c>
      <c r="C62" t="s">
        <v>9</v>
      </c>
      <c r="D62" t="s">
        <v>22</v>
      </c>
      <c r="E62" t="s">
        <v>164</v>
      </c>
      <c r="F62" t="s">
        <v>98</v>
      </c>
      <c r="G62" t="s">
        <v>13</v>
      </c>
    </row>
    <row r="63" spans="1:7" x14ac:dyDescent="0.3">
      <c r="A63" t="s">
        <v>165</v>
      </c>
      <c r="B63" t="s">
        <v>166</v>
      </c>
      <c r="C63" t="s">
        <v>39</v>
      </c>
      <c r="D63" t="s">
        <v>22</v>
      </c>
      <c r="E63" t="s">
        <v>36</v>
      </c>
      <c r="F63" t="s">
        <v>28</v>
      </c>
      <c r="G63" t="s">
        <v>56</v>
      </c>
    </row>
    <row r="64" spans="1:7" x14ac:dyDescent="0.3">
      <c r="A64" t="s">
        <v>167</v>
      </c>
      <c r="B64" t="s">
        <v>168</v>
      </c>
      <c r="C64" t="s">
        <v>9</v>
      </c>
      <c r="D64" t="s">
        <v>10</v>
      </c>
      <c r="E64" t="s">
        <v>11</v>
      </c>
      <c r="F64" t="s">
        <v>12</v>
      </c>
      <c r="G64" t="s">
        <v>13</v>
      </c>
    </row>
    <row r="65" spans="1:7" x14ac:dyDescent="0.3">
      <c r="A65" t="s">
        <v>169</v>
      </c>
      <c r="B65" t="s">
        <v>170</v>
      </c>
      <c r="C65" t="s">
        <v>39</v>
      </c>
      <c r="D65" t="s">
        <v>10</v>
      </c>
      <c r="E65" t="s">
        <v>61</v>
      </c>
      <c r="F65" t="s">
        <v>62</v>
      </c>
      <c r="G65" t="s">
        <v>51</v>
      </c>
    </row>
    <row r="66" spans="1:7" x14ac:dyDescent="0.3">
      <c r="A66" t="s">
        <v>171</v>
      </c>
      <c r="B66" t="s">
        <v>172</v>
      </c>
      <c r="C66" t="s">
        <v>9</v>
      </c>
      <c r="D66" t="s">
        <v>16</v>
      </c>
      <c r="E66" t="s">
        <v>101</v>
      </c>
      <c r="F66" t="s">
        <v>62</v>
      </c>
      <c r="G66" t="s">
        <v>17</v>
      </c>
    </row>
    <row r="67" spans="1:7" x14ac:dyDescent="0.3">
      <c r="A67" t="s">
        <v>173</v>
      </c>
      <c r="B67" t="s">
        <v>174</v>
      </c>
      <c r="C67" t="s">
        <v>9</v>
      </c>
      <c r="D67" t="s">
        <v>16</v>
      </c>
      <c r="E67" t="s">
        <v>40</v>
      </c>
      <c r="F67" t="s">
        <v>41</v>
      </c>
      <c r="G67" t="s">
        <v>51</v>
      </c>
    </row>
    <row r="68" spans="1:7" x14ac:dyDescent="0.3">
      <c r="A68" t="s">
        <v>175</v>
      </c>
      <c r="B68" t="s">
        <v>176</v>
      </c>
      <c r="C68" t="s">
        <v>9</v>
      </c>
      <c r="D68" t="s">
        <v>10</v>
      </c>
      <c r="E68" t="s">
        <v>23</v>
      </c>
      <c r="F68" t="s">
        <v>24</v>
      </c>
      <c r="G68" t="s">
        <v>17</v>
      </c>
    </row>
    <row r="69" spans="1:7" x14ac:dyDescent="0.3">
      <c r="A69" t="s">
        <v>177</v>
      </c>
      <c r="B69" t="s">
        <v>178</v>
      </c>
      <c r="C69" t="s">
        <v>9</v>
      </c>
      <c r="D69" t="s">
        <v>31</v>
      </c>
      <c r="E69" t="s">
        <v>142</v>
      </c>
      <c r="F69" t="s">
        <v>129</v>
      </c>
      <c r="G69" t="s">
        <v>51</v>
      </c>
    </row>
    <row r="70" spans="1:7" x14ac:dyDescent="0.3">
      <c r="A70" t="s">
        <v>179</v>
      </c>
      <c r="B70" t="s">
        <v>180</v>
      </c>
      <c r="C70" t="s">
        <v>9</v>
      </c>
      <c r="D70" t="s">
        <v>10</v>
      </c>
      <c r="E70" t="s">
        <v>142</v>
      </c>
      <c r="F70" t="s">
        <v>129</v>
      </c>
      <c r="G70" t="s">
        <v>51</v>
      </c>
    </row>
    <row r="71" spans="1:7" x14ac:dyDescent="0.3">
      <c r="A71" t="s">
        <v>181</v>
      </c>
      <c r="B71" t="s">
        <v>182</v>
      </c>
      <c r="C71" t="s">
        <v>9</v>
      </c>
      <c r="D71" t="s">
        <v>16</v>
      </c>
      <c r="E71" t="s">
        <v>164</v>
      </c>
      <c r="F71" t="s">
        <v>98</v>
      </c>
      <c r="G71" t="s">
        <v>56</v>
      </c>
    </row>
    <row r="72" spans="1:7" x14ac:dyDescent="0.3">
      <c r="A72" t="s">
        <v>183</v>
      </c>
      <c r="B72" t="s">
        <v>184</v>
      </c>
      <c r="C72" t="s">
        <v>9</v>
      </c>
      <c r="D72" t="s">
        <v>22</v>
      </c>
      <c r="E72" t="s">
        <v>73</v>
      </c>
      <c r="F72" t="s">
        <v>24</v>
      </c>
      <c r="G72" t="s">
        <v>13</v>
      </c>
    </row>
    <row r="73" spans="1:7" x14ac:dyDescent="0.3">
      <c r="A73" t="s">
        <v>185</v>
      </c>
      <c r="B73" t="s">
        <v>186</v>
      </c>
      <c r="C73" t="s">
        <v>9</v>
      </c>
      <c r="D73" t="s">
        <v>16</v>
      </c>
      <c r="E73" t="s">
        <v>23</v>
      </c>
      <c r="F73" t="s">
        <v>24</v>
      </c>
      <c r="G73" t="s">
        <v>13</v>
      </c>
    </row>
    <row r="74" spans="1:7" x14ac:dyDescent="0.3">
      <c r="A74" t="s">
        <v>187</v>
      </c>
      <c r="B74" t="s">
        <v>188</v>
      </c>
      <c r="C74" t="s">
        <v>9</v>
      </c>
      <c r="D74" t="s">
        <v>10</v>
      </c>
      <c r="E74" t="s">
        <v>97</v>
      </c>
      <c r="F74" t="s">
        <v>98</v>
      </c>
      <c r="G74" t="s">
        <v>17</v>
      </c>
    </row>
    <row r="75" spans="1:7" x14ac:dyDescent="0.3">
      <c r="A75" t="s">
        <v>189</v>
      </c>
      <c r="B75" t="s">
        <v>190</v>
      </c>
      <c r="C75" t="s">
        <v>9</v>
      </c>
      <c r="D75" t="s">
        <v>22</v>
      </c>
      <c r="E75" t="s">
        <v>23</v>
      </c>
      <c r="F75" t="s">
        <v>24</v>
      </c>
      <c r="G75" t="s">
        <v>78</v>
      </c>
    </row>
    <row r="76" spans="1:7" x14ac:dyDescent="0.3">
      <c r="A76" t="s">
        <v>191</v>
      </c>
      <c r="B76" t="s">
        <v>192</v>
      </c>
      <c r="C76" t="s">
        <v>9</v>
      </c>
      <c r="D76" t="s">
        <v>16</v>
      </c>
      <c r="E76" t="s">
        <v>142</v>
      </c>
      <c r="F76" t="s">
        <v>129</v>
      </c>
      <c r="G76" t="s">
        <v>56</v>
      </c>
    </row>
    <row r="77" spans="1:7" x14ac:dyDescent="0.3">
      <c r="A77" t="s">
        <v>193</v>
      </c>
      <c r="B77" t="s">
        <v>194</v>
      </c>
      <c r="C77" t="s">
        <v>9</v>
      </c>
      <c r="D77" t="s">
        <v>22</v>
      </c>
      <c r="E77" t="s">
        <v>11</v>
      </c>
      <c r="F77" t="s">
        <v>12</v>
      </c>
      <c r="G77" t="s">
        <v>56</v>
      </c>
    </row>
    <row r="78" spans="1:7" x14ac:dyDescent="0.3">
      <c r="A78" t="s">
        <v>195</v>
      </c>
      <c r="B78" t="s">
        <v>196</v>
      </c>
      <c r="C78" t="s">
        <v>9</v>
      </c>
      <c r="D78" t="s">
        <v>22</v>
      </c>
      <c r="E78" t="s">
        <v>32</v>
      </c>
      <c r="F78" t="s">
        <v>33</v>
      </c>
      <c r="G78" t="s">
        <v>56</v>
      </c>
    </row>
    <row r="79" spans="1:7" x14ac:dyDescent="0.3">
      <c r="A79" t="s">
        <v>197</v>
      </c>
      <c r="B79" t="s">
        <v>198</v>
      </c>
      <c r="C79" t="s">
        <v>9</v>
      </c>
      <c r="D79" t="s">
        <v>31</v>
      </c>
      <c r="E79" t="s">
        <v>128</v>
      </c>
      <c r="F79" t="s">
        <v>129</v>
      </c>
      <c r="G79" t="s">
        <v>56</v>
      </c>
    </row>
    <row r="80" spans="1:7" x14ac:dyDescent="0.3">
      <c r="A80" t="s">
        <v>199</v>
      </c>
      <c r="B80" t="s">
        <v>200</v>
      </c>
      <c r="C80" t="s">
        <v>39</v>
      </c>
      <c r="D80" t="s">
        <v>16</v>
      </c>
      <c r="E80" t="s">
        <v>147</v>
      </c>
      <c r="F80" t="s">
        <v>98</v>
      </c>
      <c r="G80" t="s">
        <v>78</v>
      </c>
    </row>
    <row r="81" spans="1:7" x14ac:dyDescent="0.3">
      <c r="A81" t="s">
        <v>201</v>
      </c>
      <c r="B81" t="s">
        <v>202</v>
      </c>
      <c r="C81" t="s">
        <v>9</v>
      </c>
      <c r="D81" t="s">
        <v>16</v>
      </c>
      <c r="E81" t="s">
        <v>73</v>
      </c>
      <c r="F81" t="s">
        <v>24</v>
      </c>
      <c r="G81" t="s">
        <v>56</v>
      </c>
    </row>
    <row r="82" spans="1:7" x14ac:dyDescent="0.3">
      <c r="A82" t="s">
        <v>203</v>
      </c>
      <c r="B82" t="s">
        <v>204</v>
      </c>
      <c r="C82" t="s">
        <v>9</v>
      </c>
      <c r="D82" t="s">
        <v>10</v>
      </c>
      <c r="E82" t="s">
        <v>11</v>
      </c>
      <c r="F82" t="s">
        <v>12</v>
      </c>
      <c r="G82" t="s">
        <v>78</v>
      </c>
    </row>
    <row r="83" spans="1:7" x14ac:dyDescent="0.3">
      <c r="A83" t="s">
        <v>205</v>
      </c>
      <c r="B83" t="s">
        <v>206</v>
      </c>
      <c r="C83" t="s">
        <v>9</v>
      </c>
      <c r="D83" t="s">
        <v>31</v>
      </c>
      <c r="E83" t="s">
        <v>32</v>
      </c>
      <c r="F83" t="s">
        <v>33</v>
      </c>
      <c r="G83" t="s">
        <v>17</v>
      </c>
    </row>
    <row r="84" spans="1:7" x14ac:dyDescent="0.3">
      <c r="A84" t="s">
        <v>207</v>
      </c>
      <c r="B84" t="s">
        <v>208</v>
      </c>
      <c r="C84" t="s">
        <v>9</v>
      </c>
      <c r="D84" t="s">
        <v>22</v>
      </c>
      <c r="E84" t="s">
        <v>54</v>
      </c>
      <c r="F84" t="s">
        <v>55</v>
      </c>
      <c r="G84" t="s">
        <v>78</v>
      </c>
    </row>
    <row r="85" spans="1:7" x14ac:dyDescent="0.3">
      <c r="A85" t="s">
        <v>209</v>
      </c>
      <c r="B85" t="s">
        <v>210</v>
      </c>
      <c r="C85" t="s">
        <v>39</v>
      </c>
      <c r="D85" t="s">
        <v>22</v>
      </c>
      <c r="E85" t="s">
        <v>23</v>
      </c>
      <c r="F85" t="s">
        <v>24</v>
      </c>
      <c r="G85" t="s">
        <v>51</v>
      </c>
    </row>
    <row r="86" spans="1:7" x14ac:dyDescent="0.3">
      <c r="A86" t="s">
        <v>211</v>
      </c>
      <c r="B86" t="s">
        <v>212</v>
      </c>
      <c r="C86" t="s">
        <v>46</v>
      </c>
      <c r="D86" t="s">
        <v>22</v>
      </c>
      <c r="E86" t="s">
        <v>23</v>
      </c>
      <c r="F86" t="s">
        <v>24</v>
      </c>
      <c r="G86" t="s">
        <v>13</v>
      </c>
    </row>
    <row r="87" spans="1:7" x14ac:dyDescent="0.3">
      <c r="A87" t="s">
        <v>213</v>
      </c>
      <c r="B87" t="s">
        <v>214</v>
      </c>
      <c r="C87" t="s">
        <v>9</v>
      </c>
      <c r="D87" t="s">
        <v>16</v>
      </c>
      <c r="E87" t="s">
        <v>54</v>
      </c>
      <c r="F87" t="s">
        <v>55</v>
      </c>
      <c r="G87" t="s">
        <v>51</v>
      </c>
    </row>
    <row r="88" spans="1:7" x14ac:dyDescent="0.3">
      <c r="A88" t="s">
        <v>215</v>
      </c>
      <c r="B88" t="s">
        <v>216</v>
      </c>
      <c r="C88" t="s">
        <v>9</v>
      </c>
      <c r="D88" t="s">
        <v>10</v>
      </c>
      <c r="E88" t="s">
        <v>11</v>
      </c>
      <c r="F88" t="s">
        <v>12</v>
      </c>
      <c r="G88" t="s">
        <v>56</v>
      </c>
    </row>
    <row r="89" spans="1:7" x14ac:dyDescent="0.3">
      <c r="A89" t="s">
        <v>217</v>
      </c>
      <c r="B89" t="s">
        <v>218</v>
      </c>
      <c r="C89" t="s">
        <v>9</v>
      </c>
      <c r="D89" t="s">
        <v>22</v>
      </c>
      <c r="E89" t="s">
        <v>11</v>
      </c>
      <c r="F89" t="s">
        <v>12</v>
      </c>
      <c r="G89" t="s">
        <v>13</v>
      </c>
    </row>
    <row r="90" spans="1:7" x14ac:dyDescent="0.3">
      <c r="A90" t="s">
        <v>219</v>
      </c>
      <c r="B90" t="s">
        <v>220</v>
      </c>
      <c r="C90" t="s">
        <v>9</v>
      </c>
      <c r="D90" t="s">
        <v>22</v>
      </c>
      <c r="E90" t="s">
        <v>101</v>
      </c>
      <c r="F90" t="s">
        <v>62</v>
      </c>
      <c r="G90" t="s">
        <v>78</v>
      </c>
    </row>
    <row r="91" spans="1:7" x14ac:dyDescent="0.3">
      <c r="A91" t="s">
        <v>221</v>
      </c>
      <c r="B91" t="s">
        <v>222</v>
      </c>
      <c r="C91" t="s">
        <v>46</v>
      </c>
      <c r="D91" t="s">
        <v>22</v>
      </c>
      <c r="E91" t="s">
        <v>40</v>
      </c>
      <c r="F91" t="s">
        <v>41</v>
      </c>
      <c r="G91" t="s">
        <v>17</v>
      </c>
    </row>
    <row r="92" spans="1:7" x14ac:dyDescent="0.3">
      <c r="A92" t="s">
        <v>223</v>
      </c>
      <c r="B92" t="s">
        <v>224</v>
      </c>
      <c r="C92" t="s">
        <v>9</v>
      </c>
      <c r="D92" t="s">
        <v>16</v>
      </c>
      <c r="E92" t="s">
        <v>97</v>
      </c>
      <c r="F92" t="s">
        <v>98</v>
      </c>
      <c r="G92" t="s">
        <v>13</v>
      </c>
    </row>
    <row r="93" spans="1:7" x14ac:dyDescent="0.3">
      <c r="A93" t="s">
        <v>225</v>
      </c>
      <c r="B93" t="s">
        <v>226</v>
      </c>
      <c r="C93" t="s">
        <v>39</v>
      </c>
      <c r="D93" t="s">
        <v>31</v>
      </c>
      <c r="E93" t="s">
        <v>142</v>
      </c>
      <c r="F93" t="s">
        <v>129</v>
      </c>
      <c r="G93" t="s">
        <v>56</v>
      </c>
    </row>
    <row r="94" spans="1:7" x14ac:dyDescent="0.3">
      <c r="A94" t="s">
        <v>227</v>
      </c>
      <c r="B94" t="s">
        <v>228</v>
      </c>
      <c r="C94" t="s">
        <v>39</v>
      </c>
      <c r="D94" t="s">
        <v>10</v>
      </c>
      <c r="E94" t="s">
        <v>73</v>
      </c>
      <c r="F94" t="s">
        <v>24</v>
      </c>
      <c r="G94" t="s">
        <v>17</v>
      </c>
    </row>
    <row r="95" spans="1:7" x14ac:dyDescent="0.3">
      <c r="A95" t="s">
        <v>229</v>
      </c>
      <c r="B95" t="s">
        <v>230</v>
      </c>
      <c r="C95" t="s">
        <v>39</v>
      </c>
      <c r="D95" t="s">
        <v>10</v>
      </c>
      <c r="E95" t="s">
        <v>73</v>
      </c>
      <c r="F95" t="s">
        <v>24</v>
      </c>
      <c r="G95" t="s">
        <v>51</v>
      </c>
    </row>
    <row r="96" spans="1:7" x14ac:dyDescent="0.3">
      <c r="A96" t="s">
        <v>231</v>
      </c>
      <c r="B96" t="s">
        <v>232</v>
      </c>
      <c r="C96" t="s">
        <v>9</v>
      </c>
      <c r="D96" t="s">
        <v>22</v>
      </c>
      <c r="E96" t="s">
        <v>32</v>
      </c>
      <c r="F96" t="s">
        <v>33</v>
      </c>
      <c r="G96" t="s">
        <v>51</v>
      </c>
    </row>
    <row r="97" spans="1:7" x14ac:dyDescent="0.3">
      <c r="A97" t="s">
        <v>233</v>
      </c>
      <c r="B97" t="s">
        <v>234</v>
      </c>
      <c r="C97" t="s">
        <v>9</v>
      </c>
      <c r="D97" t="s">
        <v>31</v>
      </c>
      <c r="E97" t="s">
        <v>27</v>
      </c>
      <c r="F97" t="s">
        <v>28</v>
      </c>
      <c r="G97" t="s">
        <v>13</v>
      </c>
    </row>
    <row r="98" spans="1:7" x14ac:dyDescent="0.3">
      <c r="A98" t="s">
        <v>235</v>
      </c>
      <c r="B98" t="s">
        <v>236</v>
      </c>
      <c r="C98" t="s">
        <v>46</v>
      </c>
      <c r="D98" t="s">
        <v>22</v>
      </c>
      <c r="E98" t="s">
        <v>97</v>
      </c>
      <c r="F98" t="s">
        <v>98</v>
      </c>
      <c r="G98" t="s">
        <v>17</v>
      </c>
    </row>
    <row r="99" spans="1:7" x14ac:dyDescent="0.3">
      <c r="A99" t="s">
        <v>237</v>
      </c>
      <c r="B99" t="s">
        <v>238</v>
      </c>
      <c r="C99" t="s">
        <v>9</v>
      </c>
      <c r="D99" t="s">
        <v>31</v>
      </c>
      <c r="E99" t="s">
        <v>11</v>
      </c>
      <c r="F99" t="s">
        <v>12</v>
      </c>
      <c r="G99" t="s">
        <v>17</v>
      </c>
    </row>
    <row r="100" spans="1:7" x14ac:dyDescent="0.3">
      <c r="A100" t="s">
        <v>239</v>
      </c>
      <c r="B100" t="s">
        <v>240</v>
      </c>
      <c r="C100" t="s">
        <v>9</v>
      </c>
      <c r="D100" t="s">
        <v>22</v>
      </c>
      <c r="E100" t="s">
        <v>142</v>
      </c>
      <c r="F100" t="s">
        <v>129</v>
      </c>
      <c r="G100" t="s">
        <v>17</v>
      </c>
    </row>
    <row r="101" spans="1:7" x14ac:dyDescent="0.3">
      <c r="A101" t="s">
        <v>241</v>
      </c>
      <c r="B101" t="s">
        <v>242</v>
      </c>
      <c r="C101" t="s">
        <v>9</v>
      </c>
      <c r="D101" t="s">
        <v>31</v>
      </c>
      <c r="E101" t="s">
        <v>164</v>
      </c>
      <c r="F101" t="s">
        <v>98</v>
      </c>
      <c r="G101" t="s">
        <v>56</v>
      </c>
    </row>
    <row r="102" spans="1:7" x14ac:dyDescent="0.3">
      <c r="A102" t="s">
        <v>243</v>
      </c>
      <c r="B102" t="s">
        <v>244</v>
      </c>
      <c r="C102" t="s">
        <v>9</v>
      </c>
      <c r="D102" t="s">
        <v>16</v>
      </c>
      <c r="E102" t="s">
        <v>54</v>
      </c>
      <c r="F102" t="s">
        <v>55</v>
      </c>
      <c r="G102" t="s">
        <v>17</v>
      </c>
    </row>
    <row r="103" spans="1:7" x14ac:dyDescent="0.3">
      <c r="A103" t="s">
        <v>245</v>
      </c>
      <c r="B103" t="s">
        <v>246</v>
      </c>
      <c r="C103" t="s">
        <v>9</v>
      </c>
      <c r="D103" t="s">
        <v>16</v>
      </c>
      <c r="E103" t="s">
        <v>27</v>
      </c>
      <c r="F103" t="s">
        <v>28</v>
      </c>
      <c r="G103" t="s">
        <v>13</v>
      </c>
    </row>
    <row r="104" spans="1:7" x14ac:dyDescent="0.3">
      <c r="A104" t="s">
        <v>247</v>
      </c>
      <c r="B104" t="s">
        <v>248</v>
      </c>
      <c r="C104" t="s">
        <v>9</v>
      </c>
      <c r="D104" t="s">
        <v>10</v>
      </c>
      <c r="E104" t="s">
        <v>36</v>
      </c>
      <c r="F104" t="s">
        <v>28</v>
      </c>
      <c r="G104" t="s">
        <v>78</v>
      </c>
    </row>
    <row r="105" spans="1:7" x14ac:dyDescent="0.3">
      <c r="A105" t="s">
        <v>249</v>
      </c>
      <c r="B105" t="s">
        <v>250</v>
      </c>
      <c r="C105" t="s">
        <v>9</v>
      </c>
      <c r="D105" t="s">
        <v>16</v>
      </c>
      <c r="E105" t="s">
        <v>54</v>
      </c>
      <c r="F105" t="s">
        <v>55</v>
      </c>
      <c r="G105" t="s">
        <v>78</v>
      </c>
    </row>
    <row r="106" spans="1:7" x14ac:dyDescent="0.3">
      <c r="A106" t="s">
        <v>251</v>
      </c>
      <c r="B106" t="s">
        <v>252</v>
      </c>
      <c r="C106" t="s">
        <v>9</v>
      </c>
      <c r="D106" t="s">
        <v>31</v>
      </c>
      <c r="E106" t="s">
        <v>97</v>
      </c>
      <c r="F106" t="s">
        <v>98</v>
      </c>
      <c r="G106" t="s">
        <v>13</v>
      </c>
    </row>
    <row r="107" spans="1:7" x14ac:dyDescent="0.3">
      <c r="A107" t="s">
        <v>253</v>
      </c>
      <c r="B107" t="s">
        <v>254</v>
      </c>
      <c r="C107" t="s">
        <v>9</v>
      </c>
      <c r="D107" t="s">
        <v>22</v>
      </c>
      <c r="E107" t="s">
        <v>54</v>
      </c>
      <c r="F107" t="s">
        <v>55</v>
      </c>
      <c r="G107" t="s">
        <v>51</v>
      </c>
    </row>
    <row r="108" spans="1:7" x14ac:dyDescent="0.3">
      <c r="A108" t="s">
        <v>255</v>
      </c>
      <c r="B108" t="s">
        <v>256</v>
      </c>
      <c r="C108" t="s">
        <v>39</v>
      </c>
      <c r="D108" t="s">
        <v>31</v>
      </c>
      <c r="E108" t="s">
        <v>32</v>
      </c>
      <c r="F108" t="s">
        <v>33</v>
      </c>
      <c r="G108" t="s">
        <v>78</v>
      </c>
    </row>
    <row r="109" spans="1:7" x14ac:dyDescent="0.3">
      <c r="A109" t="s">
        <v>257</v>
      </c>
      <c r="B109" t="s">
        <v>258</v>
      </c>
      <c r="C109" t="s">
        <v>9</v>
      </c>
      <c r="D109" t="s">
        <v>31</v>
      </c>
      <c r="E109" t="s">
        <v>27</v>
      </c>
      <c r="F109" t="s">
        <v>28</v>
      </c>
      <c r="G109" t="s">
        <v>78</v>
      </c>
    </row>
    <row r="110" spans="1:7" x14ac:dyDescent="0.3">
      <c r="A110" t="s">
        <v>259</v>
      </c>
      <c r="B110" t="s">
        <v>260</v>
      </c>
      <c r="C110" t="s">
        <v>46</v>
      </c>
      <c r="D110" t="s">
        <v>22</v>
      </c>
      <c r="E110" t="s">
        <v>142</v>
      </c>
      <c r="F110" t="s">
        <v>129</v>
      </c>
      <c r="G110" t="s">
        <v>56</v>
      </c>
    </row>
    <row r="111" spans="1:7" x14ac:dyDescent="0.3">
      <c r="A111" t="s">
        <v>261</v>
      </c>
      <c r="B111" t="s">
        <v>262</v>
      </c>
      <c r="C111" t="s">
        <v>9</v>
      </c>
      <c r="D111" t="s">
        <v>31</v>
      </c>
      <c r="E111" t="s">
        <v>147</v>
      </c>
      <c r="F111" t="s">
        <v>98</v>
      </c>
      <c r="G111" t="s">
        <v>78</v>
      </c>
    </row>
    <row r="112" spans="1:7" x14ac:dyDescent="0.3">
      <c r="A112" t="s">
        <v>263</v>
      </c>
      <c r="B112" t="s">
        <v>264</v>
      </c>
      <c r="C112" t="s">
        <v>9</v>
      </c>
      <c r="D112" t="s">
        <v>31</v>
      </c>
      <c r="E112" t="s">
        <v>54</v>
      </c>
      <c r="F112" t="s">
        <v>55</v>
      </c>
      <c r="G112" t="s">
        <v>51</v>
      </c>
    </row>
    <row r="113" spans="1:7" x14ac:dyDescent="0.3">
      <c r="A113" t="s">
        <v>265</v>
      </c>
      <c r="B113" t="s">
        <v>266</v>
      </c>
      <c r="C113" t="s">
        <v>9</v>
      </c>
      <c r="D113" t="s">
        <v>31</v>
      </c>
      <c r="E113" t="s">
        <v>61</v>
      </c>
      <c r="F113" t="s">
        <v>62</v>
      </c>
      <c r="G113" t="s">
        <v>13</v>
      </c>
    </row>
    <row r="114" spans="1:7" x14ac:dyDescent="0.3">
      <c r="A114" t="s">
        <v>267</v>
      </c>
      <c r="B114" t="s">
        <v>268</v>
      </c>
      <c r="C114" t="s">
        <v>39</v>
      </c>
      <c r="D114" t="s">
        <v>10</v>
      </c>
      <c r="E114" t="s">
        <v>32</v>
      </c>
      <c r="F114" t="s">
        <v>33</v>
      </c>
      <c r="G114" t="s">
        <v>51</v>
      </c>
    </row>
    <row r="115" spans="1:7" x14ac:dyDescent="0.3">
      <c r="A115" t="s">
        <v>269</v>
      </c>
      <c r="B115" t="s">
        <v>270</v>
      </c>
      <c r="C115" t="s">
        <v>9</v>
      </c>
      <c r="D115" t="s">
        <v>31</v>
      </c>
      <c r="E115" t="s">
        <v>54</v>
      </c>
      <c r="F115" t="s">
        <v>55</v>
      </c>
      <c r="G115" t="s">
        <v>13</v>
      </c>
    </row>
    <row r="116" spans="1:7" x14ac:dyDescent="0.3">
      <c r="A116" t="s">
        <v>271</v>
      </c>
      <c r="B116" t="s">
        <v>272</v>
      </c>
      <c r="C116" t="s">
        <v>9</v>
      </c>
      <c r="D116" t="s">
        <v>16</v>
      </c>
      <c r="E116" t="s">
        <v>61</v>
      </c>
      <c r="F116" t="s">
        <v>62</v>
      </c>
      <c r="G116" t="s">
        <v>17</v>
      </c>
    </row>
    <row r="117" spans="1:7" x14ac:dyDescent="0.3">
      <c r="A117" t="s">
        <v>273</v>
      </c>
      <c r="B117" t="s">
        <v>274</v>
      </c>
      <c r="C117" t="s">
        <v>39</v>
      </c>
      <c r="D117" t="s">
        <v>31</v>
      </c>
      <c r="E117" t="s">
        <v>23</v>
      </c>
      <c r="F117" t="s">
        <v>24</v>
      </c>
      <c r="G117" t="s">
        <v>13</v>
      </c>
    </row>
    <row r="118" spans="1:7" x14ac:dyDescent="0.3">
      <c r="A118" t="s">
        <v>275</v>
      </c>
      <c r="B118" t="s">
        <v>276</v>
      </c>
      <c r="C118" t="s">
        <v>9</v>
      </c>
      <c r="D118" t="s">
        <v>10</v>
      </c>
      <c r="E118" t="s">
        <v>11</v>
      </c>
      <c r="F118" t="s">
        <v>12</v>
      </c>
      <c r="G118" t="s">
        <v>51</v>
      </c>
    </row>
    <row r="119" spans="1:7" x14ac:dyDescent="0.3">
      <c r="A119" t="s">
        <v>277</v>
      </c>
      <c r="B119" t="s">
        <v>278</v>
      </c>
      <c r="C119" t="s">
        <v>9</v>
      </c>
      <c r="D119" t="s">
        <v>16</v>
      </c>
      <c r="E119" t="s">
        <v>11</v>
      </c>
      <c r="F119" t="s">
        <v>12</v>
      </c>
      <c r="G119" t="s">
        <v>56</v>
      </c>
    </row>
    <row r="120" spans="1:7" x14ac:dyDescent="0.3">
      <c r="A120" t="s">
        <v>279</v>
      </c>
      <c r="B120" t="s">
        <v>280</v>
      </c>
      <c r="C120" t="s">
        <v>9</v>
      </c>
      <c r="D120" t="s">
        <v>31</v>
      </c>
      <c r="E120" t="s">
        <v>164</v>
      </c>
      <c r="F120" t="s">
        <v>98</v>
      </c>
      <c r="G120" t="s">
        <v>56</v>
      </c>
    </row>
    <row r="121" spans="1:7" x14ac:dyDescent="0.3">
      <c r="A121" t="s">
        <v>281</v>
      </c>
      <c r="B121" t="s">
        <v>282</v>
      </c>
      <c r="C121" t="s">
        <v>39</v>
      </c>
      <c r="D121" t="s">
        <v>22</v>
      </c>
      <c r="E121" t="s">
        <v>54</v>
      </c>
      <c r="F121" t="s">
        <v>55</v>
      </c>
      <c r="G121" t="s">
        <v>78</v>
      </c>
    </row>
    <row r="122" spans="1:7" x14ac:dyDescent="0.3">
      <c r="A122" t="s">
        <v>283</v>
      </c>
      <c r="B122" t="s">
        <v>284</v>
      </c>
      <c r="C122" t="s">
        <v>9</v>
      </c>
      <c r="D122" t="s">
        <v>31</v>
      </c>
      <c r="E122" t="s">
        <v>11</v>
      </c>
      <c r="F122" t="s">
        <v>12</v>
      </c>
      <c r="G122" t="s">
        <v>17</v>
      </c>
    </row>
    <row r="123" spans="1:7" x14ac:dyDescent="0.3">
      <c r="A123" t="s">
        <v>285</v>
      </c>
      <c r="B123" t="s">
        <v>286</v>
      </c>
      <c r="C123" t="s">
        <v>39</v>
      </c>
      <c r="D123" t="s">
        <v>10</v>
      </c>
      <c r="E123" t="s">
        <v>61</v>
      </c>
      <c r="F123" t="s">
        <v>62</v>
      </c>
      <c r="G123" t="s">
        <v>17</v>
      </c>
    </row>
    <row r="124" spans="1:7" x14ac:dyDescent="0.3">
      <c r="A124" t="s">
        <v>287</v>
      </c>
      <c r="B124" t="s">
        <v>288</v>
      </c>
      <c r="C124" t="s">
        <v>39</v>
      </c>
      <c r="D124" t="s">
        <v>10</v>
      </c>
      <c r="E124" t="s">
        <v>97</v>
      </c>
      <c r="F124" t="s">
        <v>98</v>
      </c>
      <c r="G124" t="s">
        <v>78</v>
      </c>
    </row>
    <row r="125" spans="1:7" x14ac:dyDescent="0.3">
      <c r="A125" t="s">
        <v>289</v>
      </c>
      <c r="B125" t="s">
        <v>290</v>
      </c>
      <c r="C125" t="s">
        <v>39</v>
      </c>
      <c r="D125" t="s">
        <v>10</v>
      </c>
      <c r="E125" t="s">
        <v>32</v>
      </c>
      <c r="F125" t="s">
        <v>33</v>
      </c>
      <c r="G125" t="s">
        <v>78</v>
      </c>
    </row>
    <row r="126" spans="1:7" x14ac:dyDescent="0.3">
      <c r="A126" t="s">
        <v>291</v>
      </c>
      <c r="B126" t="s">
        <v>292</v>
      </c>
      <c r="C126" t="s">
        <v>9</v>
      </c>
      <c r="D126" t="s">
        <v>16</v>
      </c>
      <c r="E126" t="s">
        <v>23</v>
      </c>
      <c r="F126" t="s">
        <v>24</v>
      </c>
      <c r="G126" t="s">
        <v>13</v>
      </c>
    </row>
    <row r="127" spans="1:7" x14ac:dyDescent="0.3">
      <c r="A127" t="s">
        <v>293</v>
      </c>
      <c r="B127" t="s">
        <v>294</v>
      </c>
      <c r="C127" t="s">
        <v>9</v>
      </c>
      <c r="D127" t="s">
        <v>31</v>
      </c>
      <c r="E127" t="s">
        <v>40</v>
      </c>
      <c r="F127" t="s">
        <v>41</v>
      </c>
      <c r="G127" t="s">
        <v>17</v>
      </c>
    </row>
    <row r="128" spans="1:7" x14ac:dyDescent="0.3">
      <c r="A128" t="s">
        <v>295</v>
      </c>
      <c r="B128" t="s">
        <v>296</v>
      </c>
      <c r="C128" t="s">
        <v>9</v>
      </c>
      <c r="D128" t="s">
        <v>31</v>
      </c>
      <c r="E128" t="s">
        <v>61</v>
      </c>
      <c r="F128" t="s">
        <v>62</v>
      </c>
      <c r="G128" t="s">
        <v>17</v>
      </c>
    </row>
    <row r="129" spans="1:7" x14ac:dyDescent="0.3">
      <c r="A129" t="s">
        <v>297</v>
      </c>
      <c r="B129" t="s">
        <v>298</v>
      </c>
      <c r="C129" t="s">
        <v>9</v>
      </c>
      <c r="D129" t="s">
        <v>10</v>
      </c>
      <c r="E129" t="s">
        <v>101</v>
      </c>
      <c r="F129" t="s">
        <v>62</v>
      </c>
      <c r="G129" t="s">
        <v>17</v>
      </c>
    </row>
    <row r="130" spans="1:7" x14ac:dyDescent="0.3">
      <c r="A130" t="s">
        <v>299</v>
      </c>
      <c r="B130" t="s">
        <v>300</v>
      </c>
      <c r="C130" t="s">
        <v>9</v>
      </c>
      <c r="D130" t="s">
        <v>31</v>
      </c>
      <c r="E130" t="s">
        <v>11</v>
      </c>
      <c r="F130" t="s">
        <v>12</v>
      </c>
      <c r="G130" t="s">
        <v>78</v>
      </c>
    </row>
    <row r="131" spans="1:7" x14ac:dyDescent="0.3">
      <c r="A131" t="s">
        <v>301</v>
      </c>
      <c r="B131" t="s">
        <v>302</v>
      </c>
      <c r="C131" t="s">
        <v>46</v>
      </c>
      <c r="D131" t="s">
        <v>16</v>
      </c>
      <c r="E131" t="s">
        <v>36</v>
      </c>
      <c r="F131" t="s">
        <v>28</v>
      </c>
      <c r="G131" t="s">
        <v>78</v>
      </c>
    </row>
    <row r="132" spans="1:7" x14ac:dyDescent="0.3">
      <c r="A132" t="s">
        <v>303</v>
      </c>
      <c r="B132" t="s">
        <v>304</v>
      </c>
      <c r="C132" t="s">
        <v>9</v>
      </c>
      <c r="D132" t="s">
        <v>16</v>
      </c>
      <c r="E132" t="s">
        <v>36</v>
      </c>
      <c r="F132" t="s">
        <v>28</v>
      </c>
      <c r="G132" t="s">
        <v>17</v>
      </c>
    </row>
    <row r="133" spans="1:7" x14ac:dyDescent="0.3">
      <c r="A133" t="s">
        <v>305</v>
      </c>
      <c r="B133" t="s">
        <v>306</v>
      </c>
      <c r="C133" t="s">
        <v>39</v>
      </c>
      <c r="D133" t="s">
        <v>22</v>
      </c>
      <c r="E133" t="s">
        <v>27</v>
      </c>
      <c r="F133" t="s">
        <v>28</v>
      </c>
      <c r="G133" t="s">
        <v>51</v>
      </c>
    </row>
    <row r="134" spans="1:7" x14ac:dyDescent="0.3">
      <c r="A134" t="s">
        <v>307</v>
      </c>
      <c r="B134" t="s">
        <v>308</v>
      </c>
      <c r="C134" t="s">
        <v>9</v>
      </c>
      <c r="D134" t="s">
        <v>31</v>
      </c>
      <c r="E134" t="s">
        <v>54</v>
      </c>
      <c r="F134" t="s">
        <v>55</v>
      </c>
      <c r="G134" t="s">
        <v>17</v>
      </c>
    </row>
    <row r="135" spans="1:7" x14ac:dyDescent="0.3">
      <c r="A135" t="s">
        <v>309</v>
      </c>
      <c r="B135" t="s">
        <v>310</v>
      </c>
      <c r="C135" t="s">
        <v>9</v>
      </c>
      <c r="D135" t="s">
        <v>22</v>
      </c>
      <c r="E135" t="s">
        <v>54</v>
      </c>
      <c r="F135" t="s">
        <v>55</v>
      </c>
      <c r="G135" t="s">
        <v>56</v>
      </c>
    </row>
    <row r="136" spans="1:7" x14ac:dyDescent="0.3">
      <c r="A136" t="s">
        <v>311</v>
      </c>
      <c r="B136" t="s">
        <v>312</v>
      </c>
      <c r="C136" t="s">
        <v>39</v>
      </c>
      <c r="D136" t="s">
        <v>22</v>
      </c>
      <c r="E136" t="s">
        <v>54</v>
      </c>
      <c r="F136" t="s">
        <v>55</v>
      </c>
      <c r="G136" t="s">
        <v>78</v>
      </c>
    </row>
    <row r="137" spans="1:7" x14ac:dyDescent="0.3">
      <c r="A137" t="s">
        <v>313</v>
      </c>
      <c r="B137" t="s">
        <v>314</v>
      </c>
      <c r="C137" t="s">
        <v>9</v>
      </c>
      <c r="D137" t="s">
        <v>31</v>
      </c>
      <c r="E137" t="s">
        <v>32</v>
      </c>
      <c r="F137" t="s">
        <v>33</v>
      </c>
      <c r="G137" t="s">
        <v>17</v>
      </c>
    </row>
    <row r="138" spans="1:7" x14ac:dyDescent="0.3">
      <c r="A138" t="s">
        <v>315</v>
      </c>
      <c r="B138" t="s">
        <v>316</v>
      </c>
      <c r="C138" t="s">
        <v>39</v>
      </c>
      <c r="D138" t="s">
        <v>16</v>
      </c>
      <c r="E138" t="s">
        <v>142</v>
      </c>
      <c r="F138" t="s">
        <v>129</v>
      </c>
      <c r="G138" t="s">
        <v>51</v>
      </c>
    </row>
    <row r="139" spans="1:7" x14ac:dyDescent="0.3">
      <c r="A139" t="s">
        <v>317</v>
      </c>
      <c r="B139" t="s">
        <v>318</v>
      </c>
      <c r="C139" t="s">
        <v>39</v>
      </c>
      <c r="D139" t="s">
        <v>10</v>
      </c>
      <c r="E139" t="s">
        <v>142</v>
      </c>
      <c r="F139" t="s">
        <v>129</v>
      </c>
      <c r="G139" t="s">
        <v>51</v>
      </c>
    </row>
    <row r="140" spans="1:7" x14ac:dyDescent="0.3">
      <c r="A140" t="s">
        <v>319</v>
      </c>
      <c r="B140" t="s">
        <v>320</v>
      </c>
      <c r="C140" t="s">
        <v>9</v>
      </c>
      <c r="D140" t="s">
        <v>16</v>
      </c>
      <c r="E140" t="s">
        <v>23</v>
      </c>
      <c r="F140" t="s">
        <v>24</v>
      </c>
      <c r="G140" t="s">
        <v>56</v>
      </c>
    </row>
    <row r="141" spans="1:7" x14ac:dyDescent="0.3">
      <c r="A141" t="s">
        <v>321</v>
      </c>
      <c r="B141" t="s">
        <v>322</v>
      </c>
      <c r="C141" t="s">
        <v>39</v>
      </c>
      <c r="D141" t="s">
        <v>22</v>
      </c>
      <c r="E141" t="s">
        <v>147</v>
      </c>
      <c r="F141" t="s">
        <v>98</v>
      </c>
      <c r="G141" t="s">
        <v>17</v>
      </c>
    </row>
    <row r="142" spans="1:7" x14ac:dyDescent="0.3">
      <c r="A142" t="s">
        <v>323</v>
      </c>
      <c r="B142" t="s">
        <v>324</v>
      </c>
      <c r="C142" t="s">
        <v>39</v>
      </c>
      <c r="D142" t="s">
        <v>16</v>
      </c>
      <c r="E142" t="s">
        <v>61</v>
      </c>
      <c r="F142" t="s">
        <v>62</v>
      </c>
      <c r="G142" t="s">
        <v>56</v>
      </c>
    </row>
    <row r="143" spans="1:7" x14ac:dyDescent="0.3">
      <c r="A143" t="s">
        <v>325</v>
      </c>
      <c r="B143" t="s">
        <v>326</v>
      </c>
      <c r="C143" t="s">
        <v>9</v>
      </c>
      <c r="D143" t="s">
        <v>22</v>
      </c>
      <c r="E143" t="s">
        <v>32</v>
      </c>
      <c r="F143" t="s">
        <v>33</v>
      </c>
      <c r="G143" t="s">
        <v>56</v>
      </c>
    </row>
    <row r="144" spans="1:7" x14ac:dyDescent="0.3">
      <c r="A144" t="s">
        <v>327</v>
      </c>
      <c r="B144" t="s">
        <v>328</v>
      </c>
      <c r="C144" t="s">
        <v>46</v>
      </c>
      <c r="D144" t="s">
        <v>16</v>
      </c>
      <c r="E144" t="s">
        <v>32</v>
      </c>
      <c r="F144" t="s">
        <v>33</v>
      </c>
      <c r="G144" t="s">
        <v>56</v>
      </c>
    </row>
    <row r="145" spans="1:7" x14ac:dyDescent="0.3">
      <c r="A145" t="s">
        <v>329</v>
      </c>
      <c r="B145" t="s">
        <v>330</v>
      </c>
      <c r="C145" t="s">
        <v>9</v>
      </c>
      <c r="D145" t="s">
        <v>16</v>
      </c>
      <c r="E145" t="s">
        <v>40</v>
      </c>
      <c r="F145" t="s">
        <v>41</v>
      </c>
      <c r="G145" t="s">
        <v>17</v>
      </c>
    </row>
    <row r="146" spans="1:7" x14ac:dyDescent="0.3">
      <c r="A146" t="s">
        <v>331</v>
      </c>
      <c r="B146" t="s">
        <v>332</v>
      </c>
      <c r="C146" t="s">
        <v>9</v>
      </c>
      <c r="D146" t="s">
        <v>16</v>
      </c>
      <c r="E146" t="s">
        <v>40</v>
      </c>
      <c r="F146" t="s">
        <v>41</v>
      </c>
      <c r="G146" t="s">
        <v>17</v>
      </c>
    </row>
    <row r="147" spans="1:7" x14ac:dyDescent="0.3">
      <c r="A147" t="s">
        <v>333</v>
      </c>
      <c r="B147" t="s">
        <v>334</v>
      </c>
      <c r="C147" t="s">
        <v>9</v>
      </c>
      <c r="D147" t="s">
        <v>22</v>
      </c>
      <c r="E147" t="s">
        <v>36</v>
      </c>
      <c r="F147" t="s">
        <v>28</v>
      </c>
      <c r="G147" t="s">
        <v>56</v>
      </c>
    </row>
    <row r="148" spans="1:7" x14ac:dyDescent="0.3">
      <c r="A148" t="s">
        <v>335</v>
      </c>
      <c r="B148" t="s">
        <v>336</v>
      </c>
      <c r="C148" t="s">
        <v>9</v>
      </c>
      <c r="D148" t="s">
        <v>16</v>
      </c>
      <c r="E148" t="s">
        <v>40</v>
      </c>
      <c r="F148" t="s">
        <v>41</v>
      </c>
      <c r="G148" t="s">
        <v>56</v>
      </c>
    </row>
    <row r="149" spans="1:7" x14ac:dyDescent="0.3">
      <c r="A149" t="s">
        <v>337</v>
      </c>
      <c r="B149" t="s">
        <v>338</v>
      </c>
      <c r="C149" t="s">
        <v>9</v>
      </c>
      <c r="D149" t="s">
        <v>10</v>
      </c>
      <c r="E149" t="s">
        <v>101</v>
      </c>
      <c r="F149" t="s">
        <v>62</v>
      </c>
      <c r="G149" t="s">
        <v>17</v>
      </c>
    </row>
    <row r="150" spans="1:7" x14ac:dyDescent="0.3">
      <c r="A150" t="s">
        <v>339</v>
      </c>
      <c r="B150" t="s">
        <v>340</v>
      </c>
      <c r="C150" t="s">
        <v>9</v>
      </c>
      <c r="D150" t="s">
        <v>22</v>
      </c>
      <c r="E150" t="s">
        <v>61</v>
      </c>
      <c r="F150" t="s">
        <v>62</v>
      </c>
      <c r="G150" t="s">
        <v>56</v>
      </c>
    </row>
    <row r="151" spans="1:7" x14ac:dyDescent="0.3">
      <c r="A151" t="s">
        <v>341</v>
      </c>
      <c r="B151" t="s">
        <v>342</v>
      </c>
      <c r="C151" t="s">
        <v>9</v>
      </c>
      <c r="D151" t="s">
        <v>22</v>
      </c>
      <c r="E151" t="s">
        <v>11</v>
      </c>
      <c r="F151" t="s">
        <v>12</v>
      </c>
      <c r="G151" t="s">
        <v>17</v>
      </c>
    </row>
    <row r="152" spans="1:7" x14ac:dyDescent="0.3">
      <c r="A152" t="s">
        <v>343</v>
      </c>
      <c r="B152" t="s">
        <v>344</v>
      </c>
      <c r="C152" t="s">
        <v>9</v>
      </c>
      <c r="D152" t="s">
        <v>22</v>
      </c>
      <c r="E152" t="s">
        <v>36</v>
      </c>
      <c r="F152" t="s">
        <v>28</v>
      </c>
      <c r="G152" t="s">
        <v>78</v>
      </c>
    </row>
    <row r="153" spans="1:7" x14ac:dyDescent="0.3">
      <c r="A153" t="s">
        <v>345</v>
      </c>
      <c r="B153" t="s">
        <v>346</v>
      </c>
      <c r="C153" t="s">
        <v>9</v>
      </c>
      <c r="D153" t="s">
        <v>22</v>
      </c>
      <c r="E153" t="s">
        <v>32</v>
      </c>
      <c r="F153" t="s">
        <v>33</v>
      </c>
      <c r="G153" t="s">
        <v>13</v>
      </c>
    </row>
    <row r="154" spans="1:7" x14ac:dyDescent="0.3">
      <c r="A154" t="s">
        <v>347</v>
      </c>
      <c r="B154" t="s">
        <v>348</v>
      </c>
      <c r="C154" t="s">
        <v>9</v>
      </c>
      <c r="D154" t="s">
        <v>22</v>
      </c>
      <c r="E154" t="s">
        <v>54</v>
      </c>
      <c r="F154" t="s">
        <v>55</v>
      </c>
      <c r="G154" t="s">
        <v>13</v>
      </c>
    </row>
    <row r="155" spans="1:7" x14ac:dyDescent="0.3">
      <c r="A155" t="s">
        <v>349</v>
      </c>
      <c r="B155" t="s">
        <v>350</v>
      </c>
      <c r="C155" t="s">
        <v>9</v>
      </c>
      <c r="D155" t="s">
        <v>10</v>
      </c>
      <c r="E155" t="s">
        <v>54</v>
      </c>
      <c r="F155" t="s">
        <v>55</v>
      </c>
      <c r="G155" t="s">
        <v>78</v>
      </c>
    </row>
    <row r="156" spans="1:7" x14ac:dyDescent="0.3">
      <c r="A156" t="s">
        <v>351</v>
      </c>
      <c r="B156" t="s">
        <v>352</v>
      </c>
      <c r="C156" t="s">
        <v>9</v>
      </c>
      <c r="D156" t="s">
        <v>31</v>
      </c>
      <c r="E156" t="s">
        <v>40</v>
      </c>
      <c r="F156" t="s">
        <v>41</v>
      </c>
      <c r="G156" t="s">
        <v>13</v>
      </c>
    </row>
    <row r="157" spans="1:7" x14ac:dyDescent="0.3">
      <c r="A157" t="s">
        <v>353</v>
      </c>
      <c r="B157" t="s">
        <v>354</v>
      </c>
      <c r="C157" t="s">
        <v>9</v>
      </c>
      <c r="D157" t="s">
        <v>31</v>
      </c>
      <c r="E157" t="s">
        <v>11</v>
      </c>
      <c r="F157" t="s">
        <v>12</v>
      </c>
      <c r="G157" t="s">
        <v>78</v>
      </c>
    </row>
    <row r="158" spans="1:7" x14ac:dyDescent="0.3">
      <c r="A158" t="s">
        <v>355</v>
      </c>
      <c r="B158" t="s">
        <v>356</v>
      </c>
      <c r="C158" t="s">
        <v>39</v>
      </c>
      <c r="D158" t="s">
        <v>22</v>
      </c>
      <c r="E158" t="s">
        <v>128</v>
      </c>
      <c r="F158" t="s">
        <v>129</v>
      </c>
      <c r="G158" t="s">
        <v>17</v>
      </c>
    </row>
    <row r="159" spans="1:7" x14ac:dyDescent="0.3">
      <c r="A159" t="s">
        <v>357</v>
      </c>
      <c r="B159" t="s">
        <v>358</v>
      </c>
      <c r="C159" t="s">
        <v>9</v>
      </c>
      <c r="D159" t="s">
        <v>10</v>
      </c>
      <c r="E159" t="s">
        <v>61</v>
      </c>
      <c r="F159" t="s">
        <v>62</v>
      </c>
      <c r="G159" t="s">
        <v>17</v>
      </c>
    </row>
    <row r="160" spans="1:7" x14ac:dyDescent="0.3">
      <c r="A160" t="s">
        <v>359</v>
      </c>
      <c r="B160" t="s">
        <v>360</v>
      </c>
      <c r="C160" t="s">
        <v>39</v>
      </c>
      <c r="D160" t="s">
        <v>31</v>
      </c>
      <c r="E160" t="s">
        <v>54</v>
      </c>
      <c r="F160" t="s">
        <v>55</v>
      </c>
      <c r="G160" t="s">
        <v>13</v>
      </c>
    </row>
    <row r="161" spans="1:7" x14ac:dyDescent="0.3">
      <c r="A161" t="s">
        <v>361</v>
      </c>
      <c r="B161" t="s">
        <v>362</v>
      </c>
      <c r="C161" t="s">
        <v>9</v>
      </c>
      <c r="D161" t="s">
        <v>16</v>
      </c>
      <c r="E161" t="s">
        <v>40</v>
      </c>
      <c r="F161" t="s">
        <v>41</v>
      </c>
      <c r="G161" t="s">
        <v>13</v>
      </c>
    </row>
    <row r="162" spans="1:7" x14ac:dyDescent="0.3">
      <c r="A162" t="s">
        <v>363</v>
      </c>
      <c r="B162" t="s">
        <v>364</v>
      </c>
      <c r="C162" t="s">
        <v>9</v>
      </c>
      <c r="D162" t="s">
        <v>31</v>
      </c>
      <c r="E162" t="s">
        <v>23</v>
      </c>
      <c r="F162" t="s">
        <v>24</v>
      </c>
      <c r="G162" t="s">
        <v>56</v>
      </c>
    </row>
    <row r="163" spans="1:7" x14ac:dyDescent="0.3">
      <c r="A163" t="s">
        <v>365</v>
      </c>
      <c r="B163" t="s">
        <v>366</v>
      </c>
      <c r="C163" t="s">
        <v>39</v>
      </c>
      <c r="D163" t="s">
        <v>31</v>
      </c>
      <c r="E163" t="s">
        <v>73</v>
      </c>
      <c r="F163" t="s">
        <v>24</v>
      </c>
      <c r="G163" t="s">
        <v>51</v>
      </c>
    </row>
    <row r="164" spans="1:7" x14ac:dyDescent="0.3">
      <c r="A164" t="s">
        <v>367</v>
      </c>
      <c r="B164" t="s">
        <v>368</v>
      </c>
      <c r="C164" t="s">
        <v>9</v>
      </c>
      <c r="D164" t="s">
        <v>31</v>
      </c>
      <c r="E164" t="s">
        <v>128</v>
      </c>
      <c r="F164" t="s">
        <v>129</v>
      </c>
      <c r="G164" t="s">
        <v>56</v>
      </c>
    </row>
    <row r="165" spans="1:7" x14ac:dyDescent="0.3">
      <c r="A165" t="s">
        <v>369</v>
      </c>
      <c r="B165" t="s">
        <v>370</v>
      </c>
      <c r="C165" t="s">
        <v>9</v>
      </c>
      <c r="D165" t="s">
        <v>31</v>
      </c>
      <c r="E165" t="s">
        <v>11</v>
      </c>
      <c r="F165" t="s">
        <v>12</v>
      </c>
      <c r="G165" t="s">
        <v>51</v>
      </c>
    </row>
    <row r="166" spans="1:7" x14ac:dyDescent="0.3">
      <c r="A166" t="s">
        <v>371</v>
      </c>
      <c r="B166" t="s">
        <v>372</v>
      </c>
      <c r="C166" t="s">
        <v>9</v>
      </c>
      <c r="D166" t="s">
        <v>31</v>
      </c>
      <c r="E166" t="s">
        <v>36</v>
      </c>
      <c r="F166" t="s">
        <v>28</v>
      </c>
      <c r="G166" t="s">
        <v>17</v>
      </c>
    </row>
    <row r="167" spans="1:7" x14ac:dyDescent="0.3">
      <c r="A167" t="s">
        <v>373</v>
      </c>
      <c r="B167" t="s">
        <v>374</v>
      </c>
      <c r="C167" t="s">
        <v>9</v>
      </c>
      <c r="D167" t="s">
        <v>16</v>
      </c>
      <c r="E167" t="s">
        <v>128</v>
      </c>
      <c r="F167" t="s">
        <v>129</v>
      </c>
      <c r="G167" t="s">
        <v>17</v>
      </c>
    </row>
    <row r="168" spans="1:7" x14ac:dyDescent="0.3">
      <c r="A168" t="s">
        <v>375</v>
      </c>
      <c r="B168" t="s">
        <v>376</v>
      </c>
      <c r="C168" t="s">
        <v>9</v>
      </c>
      <c r="D168" t="s">
        <v>16</v>
      </c>
      <c r="E168" t="s">
        <v>54</v>
      </c>
      <c r="F168" t="s">
        <v>55</v>
      </c>
      <c r="G168" t="s">
        <v>51</v>
      </c>
    </row>
    <row r="169" spans="1:7" x14ac:dyDescent="0.3">
      <c r="A169" t="s">
        <v>377</v>
      </c>
      <c r="B169" t="s">
        <v>378</v>
      </c>
      <c r="C169" t="s">
        <v>9</v>
      </c>
      <c r="D169" t="s">
        <v>16</v>
      </c>
      <c r="E169" t="s">
        <v>147</v>
      </c>
      <c r="F169" t="s">
        <v>98</v>
      </c>
      <c r="G169" t="s">
        <v>78</v>
      </c>
    </row>
    <row r="170" spans="1:7" x14ac:dyDescent="0.3">
      <c r="A170" t="s">
        <v>379</v>
      </c>
      <c r="B170" t="s">
        <v>380</v>
      </c>
      <c r="C170" t="s">
        <v>46</v>
      </c>
      <c r="D170" t="s">
        <v>16</v>
      </c>
      <c r="E170" t="s">
        <v>36</v>
      </c>
      <c r="F170" t="s">
        <v>28</v>
      </c>
      <c r="G170" t="s">
        <v>17</v>
      </c>
    </row>
    <row r="171" spans="1:7" x14ac:dyDescent="0.3">
      <c r="A171" t="s">
        <v>381</v>
      </c>
      <c r="B171" t="s">
        <v>382</v>
      </c>
      <c r="C171" t="s">
        <v>9</v>
      </c>
      <c r="D171" t="s">
        <v>31</v>
      </c>
      <c r="E171" t="s">
        <v>142</v>
      </c>
      <c r="F171" t="s">
        <v>129</v>
      </c>
      <c r="G171" t="s">
        <v>17</v>
      </c>
    </row>
    <row r="172" spans="1:7" x14ac:dyDescent="0.3">
      <c r="A172" t="s">
        <v>383</v>
      </c>
      <c r="B172" t="s">
        <v>384</v>
      </c>
      <c r="C172" t="s">
        <v>9</v>
      </c>
      <c r="D172" t="s">
        <v>16</v>
      </c>
      <c r="E172" t="s">
        <v>27</v>
      </c>
      <c r="F172" t="s">
        <v>28</v>
      </c>
      <c r="G172" t="s">
        <v>56</v>
      </c>
    </row>
    <row r="173" spans="1:7" x14ac:dyDescent="0.3">
      <c r="A173" t="s">
        <v>385</v>
      </c>
      <c r="B173" t="s">
        <v>386</v>
      </c>
      <c r="C173" t="s">
        <v>9</v>
      </c>
      <c r="D173" t="s">
        <v>22</v>
      </c>
      <c r="E173" t="s">
        <v>11</v>
      </c>
      <c r="F173" t="s">
        <v>12</v>
      </c>
      <c r="G173" t="s">
        <v>17</v>
      </c>
    </row>
    <row r="174" spans="1:7" x14ac:dyDescent="0.3">
      <c r="A174" t="s">
        <v>387</v>
      </c>
      <c r="B174" t="s">
        <v>388</v>
      </c>
      <c r="C174" t="s">
        <v>9</v>
      </c>
      <c r="D174" t="s">
        <v>31</v>
      </c>
      <c r="E174" t="s">
        <v>11</v>
      </c>
      <c r="F174" t="s">
        <v>12</v>
      </c>
      <c r="G174" t="s">
        <v>56</v>
      </c>
    </row>
    <row r="175" spans="1:7" x14ac:dyDescent="0.3">
      <c r="A175" t="s">
        <v>389</v>
      </c>
      <c r="B175" t="s">
        <v>390</v>
      </c>
      <c r="C175" t="s">
        <v>9</v>
      </c>
      <c r="D175" t="s">
        <v>22</v>
      </c>
      <c r="E175" t="s">
        <v>164</v>
      </c>
      <c r="F175" t="s">
        <v>98</v>
      </c>
      <c r="G175" t="s">
        <v>17</v>
      </c>
    </row>
    <row r="176" spans="1:7" x14ac:dyDescent="0.3">
      <c r="A176" t="s">
        <v>391</v>
      </c>
      <c r="B176" t="s">
        <v>392</v>
      </c>
      <c r="C176" t="s">
        <v>9</v>
      </c>
      <c r="D176" t="s">
        <v>22</v>
      </c>
      <c r="E176" t="s">
        <v>40</v>
      </c>
      <c r="F176" t="s">
        <v>41</v>
      </c>
      <c r="G176" t="s">
        <v>56</v>
      </c>
    </row>
    <row r="177" spans="1:7" x14ac:dyDescent="0.3">
      <c r="A177" t="s">
        <v>393</v>
      </c>
      <c r="B177" t="s">
        <v>394</v>
      </c>
      <c r="C177" t="s">
        <v>9</v>
      </c>
      <c r="D177" t="s">
        <v>31</v>
      </c>
      <c r="E177" t="s">
        <v>23</v>
      </c>
      <c r="F177" t="s">
        <v>24</v>
      </c>
      <c r="G177" t="s">
        <v>51</v>
      </c>
    </row>
    <row r="178" spans="1:7" x14ac:dyDescent="0.3">
      <c r="A178" t="s">
        <v>395</v>
      </c>
      <c r="B178" t="s">
        <v>396</v>
      </c>
      <c r="C178" t="s">
        <v>46</v>
      </c>
      <c r="D178" t="s">
        <v>16</v>
      </c>
      <c r="E178" t="s">
        <v>164</v>
      </c>
      <c r="F178" t="s">
        <v>98</v>
      </c>
      <c r="G178" t="s">
        <v>78</v>
      </c>
    </row>
    <row r="179" spans="1:7" x14ac:dyDescent="0.3">
      <c r="A179" t="s">
        <v>397</v>
      </c>
      <c r="B179" t="s">
        <v>398</v>
      </c>
      <c r="C179" t="s">
        <v>9</v>
      </c>
      <c r="D179" t="s">
        <v>16</v>
      </c>
      <c r="E179" t="s">
        <v>128</v>
      </c>
      <c r="F179" t="s">
        <v>129</v>
      </c>
      <c r="G179" t="s">
        <v>13</v>
      </c>
    </row>
    <row r="180" spans="1:7" x14ac:dyDescent="0.3">
      <c r="A180" t="s">
        <v>399</v>
      </c>
      <c r="B180" t="s">
        <v>400</v>
      </c>
      <c r="C180" t="s">
        <v>9</v>
      </c>
      <c r="D180" t="s">
        <v>10</v>
      </c>
      <c r="E180" t="s">
        <v>101</v>
      </c>
      <c r="F180" t="s">
        <v>62</v>
      </c>
      <c r="G180" t="s">
        <v>78</v>
      </c>
    </row>
    <row r="181" spans="1:7" x14ac:dyDescent="0.3">
      <c r="A181" t="s">
        <v>401</v>
      </c>
      <c r="B181" t="s">
        <v>402</v>
      </c>
      <c r="C181" t="s">
        <v>9</v>
      </c>
      <c r="D181" t="s">
        <v>31</v>
      </c>
      <c r="E181" t="s">
        <v>101</v>
      </c>
      <c r="F181" t="s">
        <v>62</v>
      </c>
      <c r="G181" t="s">
        <v>78</v>
      </c>
    </row>
    <row r="182" spans="1:7" x14ac:dyDescent="0.3">
      <c r="A182" t="s">
        <v>403</v>
      </c>
      <c r="B182" t="s">
        <v>404</v>
      </c>
      <c r="C182" t="s">
        <v>39</v>
      </c>
      <c r="D182" t="s">
        <v>22</v>
      </c>
      <c r="E182" t="s">
        <v>40</v>
      </c>
      <c r="F182" t="s">
        <v>41</v>
      </c>
      <c r="G182" t="s">
        <v>13</v>
      </c>
    </row>
    <row r="183" spans="1:7" x14ac:dyDescent="0.3">
      <c r="A183" t="s">
        <v>405</v>
      </c>
      <c r="B183" t="s">
        <v>406</v>
      </c>
      <c r="C183" t="s">
        <v>9</v>
      </c>
      <c r="D183" t="s">
        <v>10</v>
      </c>
      <c r="E183" t="s">
        <v>40</v>
      </c>
      <c r="F183" t="s">
        <v>41</v>
      </c>
      <c r="G183" t="s">
        <v>78</v>
      </c>
    </row>
    <row r="184" spans="1:7" x14ac:dyDescent="0.3">
      <c r="A184" t="s">
        <v>407</v>
      </c>
      <c r="B184" t="s">
        <v>408</v>
      </c>
      <c r="C184" t="s">
        <v>9</v>
      </c>
      <c r="D184" t="s">
        <v>10</v>
      </c>
      <c r="E184" t="s">
        <v>73</v>
      </c>
      <c r="F184" t="s">
        <v>24</v>
      </c>
      <c r="G184" t="s">
        <v>13</v>
      </c>
    </row>
    <row r="185" spans="1:7" x14ac:dyDescent="0.3">
      <c r="A185" t="s">
        <v>409</v>
      </c>
      <c r="B185" t="s">
        <v>410</v>
      </c>
      <c r="C185" t="s">
        <v>9</v>
      </c>
      <c r="D185" t="s">
        <v>16</v>
      </c>
      <c r="E185" t="s">
        <v>40</v>
      </c>
      <c r="F185" t="s">
        <v>41</v>
      </c>
      <c r="G185" t="s">
        <v>56</v>
      </c>
    </row>
    <row r="186" spans="1:7" x14ac:dyDescent="0.3">
      <c r="A186" t="s">
        <v>411</v>
      </c>
      <c r="B186" t="s">
        <v>412</v>
      </c>
      <c r="C186" t="s">
        <v>9</v>
      </c>
      <c r="D186" t="s">
        <v>22</v>
      </c>
      <c r="E186" t="s">
        <v>40</v>
      </c>
      <c r="F186" t="s">
        <v>41</v>
      </c>
      <c r="G186" t="s">
        <v>17</v>
      </c>
    </row>
    <row r="187" spans="1:7" x14ac:dyDescent="0.3">
      <c r="A187" t="s">
        <v>413</v>
      </c>
      <c r="B187" t="s">
        <v>414</v>
      </c>
      <c r="C187" t="s">
        <v>39</v>
      </c>
      <c r="D187" t="s">
        <v>10</v>
      </c>
      <c r="E187" t="s">
        <v>23</v>
      </c>
      <c r="F187" t="s">
        <v>24</v>
      </c>
      <c r="G187" t="s">
        <v>56</v>
      </c>
    </row>
    <row r="188" spans="1:7" x14ac:dyDescent="0.3">
      <c r="A188" t="s">
        <v>415</v>
      </c>
      <c r="B188" t="s">
        <v>416</v>
      </c>
      <c r="C188" t="s">
        <v>39</v>
      </c>
      <c r="D188" t="s">
        <v>31</v>
      </c>
      <c r="E188" t="s">
        <v>54</v>
      </c>
      <c r="F188" t="s">
        <v>55</v>
      </c>
      <c r="G188" t="s">
        <v>51</v>
      </c>
    </row>
    <row r="189" spans="1:7" x14ac:dyDescent="0.3">
      <c r="A189" t="s">
        <v>417</v>
      </c>
      <c r="B189" t="s">
        <v>418</v>
      </c>
      <c r="C189" t="s">
        <v>9</v>
      </c>
      <c r="D189" t="s">
        <v>22</v>
      </c>
      <c r="E189" t="s">
        <v>164</v>
      </c>
      <c r="F189" t="s">
        <v>98</v>
      </c>
      <c r="G189" t="s">
        <v>56</v>
      </c>
    </row>
    <row r="190" spans="1:7" x14ac:dyDescent="0.3">
      <c r="A190" t="s">
        <v>419</v>
      </c>
      <c r="B190" t="s">
        <v>420</v>
      </c>
      <c r="C190" t="s">
        <v>9</v>
      </c>
      <c r="D190" t="s">
        <v>16</v>
      </c>
      <c r="E190" t="s">
        <v>40</v>
      </c>
      <c r="F190" t="s">
        <v>41</v>
      </c>
      <c r="G190" t="s">
        <v>78</v>
      </c>
    </row>
    <row r="191" spans="1:7" x14ac:dyDescent="0.3">
      <c r="A191" t="s">
        <v>421</v>
      </c>
      <c r="B191" t="s">
        <v>422</v>
      </c>
      <c r="C191" t="s">
        <v>9</v>
      </c>
      <c r="D191" t="s">
        <v>31</v>
      </c>
      <c r="E191" t="s">
        <v>36</v>
      </c>
      <c r="F191" t="s">
        <v>28</v>
      </c>
      <c r="G191" t="s">
        <v>56</v>
      </c>
    </row>
    <row r="192" spans="1:7" x14ac:dyDescent="0.3">
      <c r="A192" t="s">
        <v>423</v>
      </c>
      <c r="B192" t="s">
        <v>424</v>
      </c>
      <c r="C192" t="s">
        <v>9</v>
      </c>
      <c r="D192" t="s">
        <v>16</v>
      </c>
      <c r="E192" t="s">
        <v>54</v>
      </c>
      <c r="F192" t="s">
        <v>55</v>
      </c>
      <c r="G192" t="s">
        <v>78</v>
      </c>
    </row>
    <row r="193" spans="1:7" x14ac:dyDescent="0.3">
      <c r="A193" t="s">
        <v>425</v>
      </c>
      <c r="B193" t="s">
        <v>426</v>
      </c>
      <c r="C193" t="s">
        <v>9</v>
      </c>
      <c r="D193" t="s">
        <v>16</v>
      </c>
      <c r="E193" t="s">
        <v>40</v>
      </c>
      <c r="F193" t="s">
        <v>41</v>
      </c>
      <c r="G193" t="s">
        <v>56</v>
      </c>
    </row>
    <row r="194" spans="1:7" x14ac:dyDescent="0.3">
      <c r="A194" t="s">
        <v>427</v>
      </c>
      <c r="B194" t="s">
        <v>428</v>
      </c>
      <c r="C194" t="s">
        <v>9</v>
      </c>
      <c r="D194" t="s">
        <v>22</v>
      </c>
      <c r="E194" t="s">
        <v>40</v>
      </c>
      <c r="F194" t="s">
        <v>41</v>
      </c>
      <c r="G194" t="s">
        <v>17</v>
      </c>
    </row>
    <row r="195" spans="1:7" x14ac:dyDescent="0.3">
      <c r="A195" t="s">
        <v>429</v>
      </c>
      <c r="B195" t="s">
        <v>430</v>
      </c>
      <c r="C195" t="s">
        <v>9</v>
      </c>
      <c r="D195" t="s">
        <v>16</v>
      </c>
      <c r="E195" t="s">
        <v>32</v>
      </c>
      <c r="F195" t="s">
        <v>33</v>
      </c>
      <c r="G195" t="s">
        <v>17</v>
      </c>
    </row>
    <row r="196" spans="1:7" x14ac:dyDescent="0.3">
      <c r="A196" t="s">
        <v>431</v>
      </c>
      <c r="B196" t="s">
        <v>432</v>
      </c>
      <c r="C196" t="s">
        <v>9</v>
      </c>
      <c r="D196" t="s">
        <v>31</v>
      </c>
      <c r="E196" t="s">
        <v>40</v>
      </c>
      <c r="F196" t="s">
        <v>41</v>
      </c>
      <c r="G196" t="s">
        <v>56</v>
      </c>
    </row>
    <row r="197" spans="1:7" x14ac:dyDescent="0.3">
      <c r="A197" t="s">
        <v>433</v>
      </c>
      <c r="B197" t="s">
        <v>434</v>
      </c>
      <c r="C197" t="s">
        <v>9</v>
      </c>
      <c r="D197" t="s">
        <v>31</v>
      </c>
      <c r="E197" t="s">
        <v>128</v>
      </c>
      <c r="F197" t="s">
        <v>129</v>
      </c>
      <c r="G197" t="s">
        <v>51</v>
      </c>
    </row>
    <row r="198" spans="1:7" x14ac:dyDescent="0.3">
      <c r="A198" t="s">
        <v>435</v>
      </c>
      <c r="B198" t="s">
        <v>436</v>
      </c>
      <c r="C198" t="s">
        <v>9</v>
      </c>
      <c r="D198" t="s">
        <v>10</v>
      </c>
      <c r="E198" t="s">
        <v>11</v>
      </c>
      <c r="F198" t="s">
        <v>12</v>
      </c>
      <c r="G198" t="s">
        <v>51</v>
      </c>
    </row>
    <row r="199" spans="1:7" x14ac:dyDescent="0.3">
      <c r="A199" t="s">
        <v>437</v>
      </c>
      <c r="B199" t="s">
        <v>438</v>
      </c>
      <c r="C199" t="s">
        <v>9</v>
      </c>
      <c r="D199" t="s">
        <v>16</v>
      </c>
      <c r="E199" t="s">
        <v>54</v>
      </c>
      <c r="F199" t="s">
        <v>55</v>
      </c>
      <c r="G199" t="s">
        <v>17</v>
      </c>
    </row>
    <row r="200" spans="1:7" x14ac:dyDescent="0.3">
      <c r="A200" t="s">
        <v>439</v>
      </c>
      <c r="B200" t="s">
        <v>440</v>
      </c>
      <c r="C200" t="s">
        <v>39</v>
      </c>
      <c r="D200" t="s">
        <v>10</v>
      </c>
      <c r="E200" t="s">
        <v>11</v>
      </c>
      <c r="F200" t="s">
        <v>12</v>
      </c>
      <c r="G200" t="s">
        <v>17</v>
      </c>
    </row>
    <row r="201" spans="1:7" x14ac:dyDescent="0.3">
      <c r="A201" t="s">
        <v>441</v>
      </c>
      <c r="B201" t="s">
        <v>442</v>
      </c>
      <c r="C201" t="s">
        <v>9</v>
      </c>
      <c r="D201" t="s">
        <v>10</v>
      </c>
      <c r="E201" t="s">
        <v>128</v>
      </c>
      <c r="F201" t="s">
        <v>129</v>
      </c>
      <c r="G201" t="s">
        <v>56</v>
      </c>
    </row>
    <row r="202" spans="1:7" x14ac:dyDescent="0.3">
      <c r="A202" t="s">
        <v>443</v>
      </c>
      <c r="B202" t="s">
        <v>444</v>
      </c>
      <c r="C202" t="s">
        <v>9</v>
      </c>
      <c r="D202" t="s">
        <v>22</v>
      </c>
      <c r="E202" t="s">
        <v>54</v>
      </c>
      <c r="F202" t="s">
        <v>55</v>
      </c>
      <c r="G202" t="s">
        <v>17</v>
      </c>
    </row>
    <row r="203" spans="1:7" x14ac:dyDescent="0.3">
      <c r="A203" t="s">
        <v>445</v>
      </c>
      <c r="B203" t="s">
        <v>446</v>
      </c>
      <c r="C203" t="s">
        <v>39</v>
      </c>
      <c r="D203" t="s">
        <v>10</v>
      </c>
      <c r="E203" t="s">
        <v>147</v>
      </c>
      <c r="F203" t="s">
        <v>98</v>
      </c>
      <c r="G203" t="s">
        <v>78</v>
      </c>
    </row>
    <row r="204" spans="1:7" x14ac:dyDescent="0.3">
      <c r="A204" t="s">
        <v>447</v>
      </c>
      <c r="B204" t="s">
        <v>448</v>
      </c>
      <c r="C204" t="s">
        <v>9</v>
      </c>
      <c r="D204" t="s">
        <v>22</v>
      </c>
      <c r="E204" t="s">
        <v>40</v>
      </c>
      <c r="F204" t="s">
        <v>41</v>
      </c>
      <c r="G204" t="s">
        <v>78</v>
      </c>
    </row>
    <row r="205" spans="1:7" x14ac:dyDescent="0.3">
      <c r="A205" t="s">
        <v>449</v>
      </c>
      <c r="B205" t="s">
        <v>450</v>
      </c>
      <c r="C205" t="s">
        <v>9</v>
      </c>
      <c r="D205" t="s">
        <v>31</v>
      </c>
      <c r="E205" t="s">
        <v>27</v>
      </c>
      <c r="F205" t="s">
        <v>28</v>
      </c>
      <c r="G205" t="s">
        <v>56</v>
      </c>
    </row>
    <row r="206" spans="1:7" x14ac:dyDescent="0.3">
      <c r="A206" t="s">
        <v>451</v>
      </c>
      <c r="B206" t="s">
        <v>452</v>
      </c>
      <c r="C206" t="s">
        <v>9</v>
      </c>
      <c r="D206" t="s">
        <v>31</v>
      </c>
      <c r="E206" t="s">
        <v>40</v>
      </c>
      <c r="F206" t="s">
        <v>41</v>
      </c>
      <c r="G206" t="s">
        <v>51</v>
      </c>
    </row>
    <row r="207" spans="1:7" x14ac:dyDescent="0.3">
      <c r="A207" t="s">
        <v>453</v>
      </c>
      <c r="B207" t="s">
        <v>454</v>
      </c>
      <c r="C207" t="s">
        <v>9</v>
      </c>
      <c r="D207" t="s">
        <v>22</v>
      </c>
      <c r="E207" t="s">
        <v>11</v>
      </c>
      <c r="F207" t="s">
        <v>12</v>
      </c>
      <c r="G207" t="s">
        <v>78</v>
      </c>
    </row>
    <row r="208" spans="1:7" x14ac:dyDescent="0.3">
      <c r="A208" t="s">
        <v>455</v>
      </c>
      <c r="B208" t="s">
        <v>456</v>
      </c>
      <c r="C208" t="s">
        <v>9</v>
      </c>
      <c r="D208" t="s">
        <v>22</v>
      </c>
      <c r="E208" t="s">
        <v>40</v>
      </c>
      <c r="F208" t="s">
        <v>41</v>
      </c>
      <c r="G208" t="s">
        <v>56</v>
      </c>
    </row>
    <row r="209" spans="1:7" x14ac:dyDescent="0.3">
      <c r="A209" t="s">
        <v>457</v>
      </c>
      <c r="B209" t="s">
        <v>458</v>
      </c>
      <c r="C209" t="s">
        <v>9</v>
      </c>
      <c r="D209" t="s">
        <v>10</v>
      </c>
      <c r="E209" t="s">
        <v>128</v>
      </c>
      <c r="F209" t="s">
        <v>129</v>
      </c>
      <c r="G209" t="s">
        <v>78</v>
      </c>
    </row>
    <row r="210" spans="1:7" x14ac:dyDescent="0.3">
      <c r="A210" t="s">
        <v>459</v>
      </c>
      <c r="B210" t="s">
        <v>460</v>
      </c>
      <c r="C210" t="s">
        <v>39</v>
      </c>
      <c r="D210" t="s">
        <v>10</v>
      </c>
      <c r="E210" t="s">
        <v>54</v>
      </c>
      <c r="F210" t="s">
        <v>55</v>
      </c>
      <c r="G210" t="s">
        <v>13</v>
      </c>
    </row>
    <row r="211" spans="1:7" x14ac:dyDescent="0.3">
      <c r="A211" t="s">
        <v>461</v>
      </c>
      <c r="B211" t="s">
        <v>462</v>
      </c>
      <c r="C211" t="s">
        <v>9</v>
      </c>
      <c r="D211" t="s">
        <v>22</v>
      </c>
      <c r="E211" t="s">
        <v>73</v>
      </c>
      <c r="F211" t="s">
        <v>24</v>
      </c>
      <c r="G211" t="s">
        <v>17</v>
      </c>
    </row>
    <row r="212" spans="1:7" x14ac:dyDescent="0.3">
      <c r="A212" t="s">
        <v>463</v>
      </c>
      <c r="B212" t="s">
        <v>464</v>
      </c>
      <c r="C212" t="s">
        <v>46</v>
      </c>
      <c r="D212" t="s">
        <v>31</v>
      </c>
      <c r="E212" t="s">
        <v>61</v>
      </c>
      <c r="F212" t="s">
        <v>62</v>
      </c>
      <c r="G212" t="s">
        <v>17</v>
      </c>
    </row>
    <row r="213" spans="1:7" x14ac:dyDescent="0.3">
      <c r="A213" t="s">
        <v>465</v>
      </c>
      <c r="B213" t="s">
        <v>466</v>
      </c>
      <c r="C213" t="s">
        <v>9</v>
      </c>
      <c r="D213" t="s">
        <v>22</v>
      </c>
      <c r="E213" t="s">
        <v>40</v>
      </c>
      <c r="F213" t="s">
        <v>41</v>
      </c>
      <c r="G213" t="s">
        <v>13</v>
      </c>
    </row>
    <row r="214" spans="1:7" x14ac:dyDescent="0.3">
      <c r="A214" t="s">
        <v>467</v>
      </c>
      <c r="B214" t="s">
        <v>468</v>
      </c>
      <c r="C214" t="s">
        <v>9</v>
      </c>
      <c r="D214" t="s">
        <v>22</v>
      </c>
      <c r="E214" t="s">
        <v>54</v>
      </c>
      <c r="F214" t="s">
        <v>55</v>
      </c>
      <c r="G214" t="s">
        <v>51</v>
      </c>
    </row>
    <row r="215" spans="1:7" x14ac:dyDescent="0.3">
      <c r="A215" t="s">
        <v>469</v>
      </c>
      <c r="B215" t="s">
        <v>470</v>
      </c>
      <c r="C215" t="s">
        <v>9</v>
      </c>
      <c r="D215" t="s">
        <v>31</v>
      </c>
      <c r="E215" t="s">
        <v>36</v>
      </c>
      <c r="F215" t="s">
        <v>28</v>
      </c>
      <c r="G215" t="s">
        <v>13</v>
      </c>
    </row>
    <row r="216" spans="1:7" x14ac:dyDescent="0.3">
      <c r="A216" t="s">
        <v>471</v>
      </c>
      <c r="B216" t="s">
        <v>472</v>
      </c>
      <c r="C216" t="s">
        <v>9</v>
      </c>
      <c r="D216" t="s">
        <v>10</v>
      </c>
      <c r="E216" t="s">
        <v>11</v>
      </c>
      <c r="F216" t="s">
        <v>12</v>
      </c>
      <c r="G216" t="s">
        <v>13</v>
      </c>
    </row>
    <row r="217" spans="1:7" x14ac:dyDescent="0.3">
      <c r="A217" t="s">
        <v>473</v>
      </c>
      <c r="B217" t="s">
        <v>474</v>
      </c>
      <c r="C217" t="s">
        <v>39</v>
      </c>
      <c r="D217" t="s">
        <v>16</v>
      </c>
      <c r="E217" t="s">
        <v>11</v>
      </c>
      <c r="F217" t="s">
        <v>12</v>
      </c>
      <c r="G217" t="s">
        <v>17</v>
      </c>
    </row>
    <row r="218" spans="1:7" x14ac:dyDescent="0.3">
      <c r="A218" t="s">
        <v>475</v>
      </c>
      <c r="B218" t="s">
        <v>476</v>
      </c>
      <c r="C218" t="s">
        <v>9</v>
      </c>
      <c r="D218" t="s">
        <v>16</v>
      </c>
      <c r="E218" t="s">
        <v>27</v>
      </c>
      <c r="F218" t="s">
        <v>28</v>
      </c>
      <c r="G218" t="s">
        <v>78</v>
      </c>
    </row>
    <row r="219" spans="1:7" x14ac:dyDescent="0.3">
      <c r="A219" t="s">
        <v>477</v>
      </c>
      <c r="B219" t="s">
        <v>478</v>
      </c>
      <c r="C219" t="s">
        <v>9</v>
      </c>
      <c r="D219" t="s">
        <v>16</v>
      </c>
      <c r="E219" t="s">
        <v>54</v>
      </c>
      <c r="F219" t="s">
        <v>55</v>
      </c>
      <c r="G219" t="s">
        <v>51</v>
      </c>
    </row>
    <row r="220" spans="1:7" x14ac:dyDescent="0.3">
      <c r="A220" t="s">
        <v>479</v>
      </c>
      <c r="B220" t="s">
        <v>480</v>
      </c>
      <c r="C220" t="s">
        <v>9</v>
      </c>
      <c r="D220" t="s">
        <v>10</v>
      </c>
      <c r="E220" t="s">
        <v>40</v>
      </c>
      <c r="F220" t="s">
        <v>41</v>
      </c>
      <c r="G220" t="s">
        <v>56</v>
      </c>
    </row>
    <row r="221" spans="1:7" x14ac:dyDescent="0.3">
      <c r="A221" t="s">
        <v>481</v>
      </c>
      <c r="B221" t="s">
        <v>482</v>
      </c>
      <c r="C221" t="s">
        <v>9</v>
      </c>
      <c r="D221" t="s">
        <v>16</v>
      </c>
      <c r="E221" t="s">
        <v>11</v>
      </c>
      <c r="F221" t="s">
        <v>12</v>
      </c>
      <c r="G221" t="s">
        <v>56</v>
      </c>
    </row>
    <row r="222" spans="1:7" x14ac:dyDescent="0.3">
      <c r="A222" t="s">
        <v>483</v>
      </c>
      <c r="B222" t="s">
        <v>484</v>
      </c>
      <c r="C222" t="s">
        <v>9</v>
      </c>
      <c r="D222" t="s">
        <v>10</v>
      </c>
      <c r="E222" t="s">
        <v>54</v>
      </c>
      <c r="F222" t="s">
        <v>55</v>
      </c>
      <c r="G222" t="s">
        <v>17</v>
      </c>
    </row>
    <row r="223" spans="1:7" x14ac:dyDescent="0.3">
      <c r="A223" t="s">
        <v>485</v>
      </c>
      <c r="B223" t="s">
        <v>486</v>
      </c>
      <c r="C223" t="s">
        <v>39</v>
      </c>
      <c r="D223" t="s">
        <v>10</v>
      </c>
      <c r="E223" t="s">
        <v>54</v>
      </c>
      <c r="F223" t="s">
        <v>55</v>
      </c>
      <c r="G223" t="s">
        <v>17</v>
      </c>
    </row>
    <row r="224" spans="1:7" x14ac:dyDescent="0.3">
      <c r="A224" t="s">
        <v>487</v>
      </c>
      <c r="B224" t="s">
        <v>488</v>
      </c>
      <c r="C224" t="s">
        <v>9</v>
      </c>
      <c r="D224" t="s">
        <v>22</v>
      </c>
      <c r="E224" t="s">
        <v>54</v>
      </c>
      <c r="F224" t="s">
        <v>55</v>
      </c>
      <c r="G224" t="s">
        <v>13</v>
      </c>
    </row>
    <row r="225" spans="1:7" x14ac:dyDescent="0.3">
      <c r="A225" t="s">
        <v>489</v>
      </c>
      <c r="B225" t="s">
        <v>490</v>
      </c>
      <c r="C225" t="s">
        <v>9</v>
      </c>
      <c r="D225" t="s">
        <v>10</v>
      </c>
      <c r="E225" t="s">
        <v>27</v>
      </c>
      <c r="F225" t="s">
        <v>28</v>
      </c>
      <c r="G225" t="s">
        <v>56</v>
      </c>
    </row>
    <row r="226" spans="1:7" x14ac:dyDescent="0.3">
      <c r="A226" t="s">
        <v>491</v>
      </c>
      <c r="B226" t="s">
        <v>492</v>
      </c>
      <c r="C226" t="s">
        <v>9</v>
      </c>
      <c r="D226" t="s">
        <v>31</v>
      </c>
      <c r="E226" t="s">
        <v>164</v>
      </c>
      <c r="F226" t="s">
        <v>98</v>
      </c>
      <c r="G226" t="s">
        <v>13</v>
      </c>
    </row>
    <row r="227" spans="1:7" x14ac:dyDescent="0.3">
      <c r="A227" t="s">
        <v>493</v>
      </c>
      <c r="B227" t="s">
        <v>494</v>
      </c>
      <c r="C227" t="s">
        <v>46</v>
      </c>
      <c r="D227" t="s">
        <v>16</v>
      </c>
      <c r="E227" t="s">
        <v>97</v>
      </c>
      <c r="F227" t="s">
        <v>98</v>
      </c>
      <c r="G227" t="s">
        <v>13</v>
      </c>
    </row>
    <row r="228" spans="1:7" x14ac:dyDescent="0.3">
      <c r="A228" t="s">
        <v>495</v>
      </c>
      <c r="B228" t="s">
        <v>496</v>
      </c>
      <c r="C228" t="s">
        <v>9</v>
      </c>
      <c r="D228" t="s">
        <v>16</v>
      </c>
      <c r="E228" t="s">
        <v>142</v>
      </c>
      <c r="F228" t="s">
        <v>129</v>
      </c>
      <c r="G228" t="s">
        <v>56</v>
      </c>
    </row>
    <row r="229" spans="1:7" x14ac:dyDescent="0.3">
      <c r="A229" t="s">
        <v>497</v>
      </c>
      <c r="B229" t="s">
        <v>498</v>
      </c>
      <c r="C229" t="s">
        <v>9</v>
      </c>
      <c r="D229" t="s">
        <v>10</v>
      </c>
      <c r="E229" t="s">
        <v>61</v>
      </c>
      <c r="F229" t="s">
        <v>62</v>
      </c>
      <c r="G229" t="s">
        <v>17</v>
      </c>
    </row>
    <row r="230" spans="1:7" x14ac:dyDescent="0.3">
      <c r="A230" t="s">
        <v>499</v>
      </c>
      <c r="B230" t="s">
        <v>500</v>
      </c>
      <c r="C230" t="s">
        <v>9</v>
      </c>
      <c r="D230" t="s">
        <v>16</v>
      </c>
      <c r="E230" t="s">
        <v>27</v>
      </c>
      <c r="F230" t="s">
        <v>28</v>
      </c>
      <c r="G230" t="s">
        <v>56</v>
      </c>
    </row>
    <row r="231" spans="1:7" x14ac:dyDescent="0.3">
      <c r="A231" t="s">
        <v>501</v>
      </c>
      <c r="B231" t="s">
        <v>502</v>
      </c>
      <c r="C231" t="s">
        <v>9</v>
      </c>
      <c r="D231" t="s">
        <v>22</v>
      </c>
      <c r="E231" t="s">
        <v>128</v>
      </c>
      <c r="F231" t="s">
        <v>129</v>
      </c>
      <c r="G231" t="s">
        <v>13</v>
      </c>
    </row>
    <row r="232" spans="1:7" x14ac:dyDescent="0.3">
      <c r="A232" t="s">
        <v>503</v>
      </c>
      <c r="B232" t="s">
        <v>504</v>
      </c>
      <c r="C232" t="s">
        <v>39</v>
      </c>
      <c r="D232" t="s">
        <v>16</v>
      </c>
      <c r="E232" t="s">
        <v>40</v>
      </c>
      <c r="F232" t="s">
        <v>41</v>
      </c>
      <c r="G232" t="s">
        <v>78</v>
      </c>
    </row>
    <row r="233" spans="1:7" x14ac:dyDescent="0.3">
      <c r="A233" t="s">
        <v>505</v>
      </c>
      <c r="B233" t="s">
        <v>506</v>
      </c>
      <c r="C233" t="s">
        <v>9</v>
      </c>
      <c r="D233" t="s">
        <v>22</v>
      </c>
      <c r="E233" t="s">
        <v>142</v>
      </c>
      <c r="F233" t="s">
        <v>129</v>
      </c>
      <c r="G233" t="s">
        <v>56</v>
      </c>
    </row>
    <row r="234" spans="1:7" x14ac:dyDescent="0.3">
      <c r="A234" t="s">
        <v>507</v>
      </c>
      <c r="B234" t="s">
        <v>508</v>
      </c>
      <c r="C234" t="s">
        <v>9</v>
      </c>
      <c r="D234" t="s">
        <v>16</v>
      </c>
      <c r="E234" t="s">
        <v>40</v>
      </c>
      <c r="F234" t="s">
        <v>41</v>
      </c>
      <c r="G234" t="s">
        <v>78</v>
      </c>
    </row>
    <row r="235" spans="1:7" x14ac:dyDescent="0.3">
      <c r="A235" t="s">
        <v>509</v>
      </c>
      <c r="B235" t="s">
        <v>510</v>
      </c>
      <c r="C235" t="s">
        <v>9</v>
      </c>
      <c r="D235" t="s">
        <v>10</v>
      </c>
      <c r="E235" t="s">
        <v>61</v>
      </c>
      <c r="F235" t="s">
        <v>62</v>
      </c>
      <c r="G235" t="s">
        <v>17</v>
      </c>
    </row>
    <row r="236" spans="1:7" x14ac:dyDescent="0.3">
      <c r="A236" t="s">
        <v>511</v>
      </c>
      <c r="B236" t="s">
        <v>512</v>
      </c>
      <c r="C236" t="s">
        <v>9</v>
      </c>
      <c r="D236" t="s">
        <v>10</v>
      </c>
      <c r="E236" t="s">
        <v>147</v>
      </c>
      <c r="F236" t="s">
        <v>98</v>
      </c>
      <c r="G236" t="s">
        <v>78</v>
      </c>
    </row>
    <row r="237" spans="1:7" x14ac:dyDescent="0.3">
      <c r="A237" t="s">
        <v>513</v>
      </c>
      <c r="B237" t="s">
        <v>514</v>
      </c>
      <c r="C237" t="s">
        <v>9</v>
      </c>
      <c r="D237" t="s">
        <v>16</v>
      </c>
      <c r="E237" t="s">
        <v>54</v>
      </c>
      <c r="F237" t="s">
        <v>55</v>
      </c>
      <c r="G237" t="s">
        <v>78</v>
      </c>
    </row>
    <row r="238" spans="1:7" x14ac:dyDescent="0.3">
      <c r="A238" t="s">
        <v>515</v>
      </c>
      <c r="B238" t="s">
        <v>516</v>
      </c>
      <c r="C238" t="s">
        <v>9</v>
      </c>
      <c r="D238" t="s">
        <v>31</v>
      </c>
      <c r="E238" t="s">
        <v>128</v>
      </c>
      <c r="F238" t="s">
        <v>129</v>
      </c>
      <c r="G238" t="s">
        <v>56</v>
      </c>
    </row>
    <row r="239" spans="1:7" x14ac:dyDescent="0.3">
      <c r="A239" t="s">
        <v>517</v>
      </c>
      <c r="B239" t="s">
        <v>518</v>
      </c>
      <c r="C239" t="s">
        <v>46</v>
      </c>
      <c r="D239" t="s">
        <v>10</v>
      </c>
      <c r="E239" t="s">
        <v>11</v>
      </c>
      <c r="F239" t="s">
        <v>12</v>
      </c>
      <c r="G239" t="s">
        <v>17</v>
      </c>
    </row>
    <row r="240" spans="1:7" x14ac:dyDescent="0.3">
      <c r="A240" t="s">
        <v>519</v>
      </c>
      <c r="B240" t="s">
        <v>520</v>
      </c>
      <c r="C240" t="s">
        <v>9</v>
      </c>
      <c r="D240" t="s">
        <v>16</v>
      </c>
      <c r="E240" t="s">
        <v>142</v>
      </c>
      <c r="F240" t="s">
        <v>129</v>
      </c>
      <c r="G240" t="s">
        <v>56</v>
      </c>
    </row>
    <row r="241" spans="1:7" x14ac:dyDescent="0.3">
      <c r="A241" t="s">
        <v>521</v>
      </c>
      <c r="B241" t="s">
        <v>522</v>
      </c>
      <c r="C241" t="s">
        <v>9</v>
      </c>
      <c r="D241" t="s">
        <v>22</v>
      </c>
      <c r="E241" t="s">
        <v>54</v>
      </c>
      <c r="F241" t="s">
        <v>55</v>
      </c>
      <c r="G241" t="s">
        <v>51</v>
      </c>
    </row>
    <row r="242" spans="1:7" x14ac:dyDescent="0.3">
      <c r="A242" t="s">
        <v>523</v>
      </c>
      <c r="B242" t="s">
        <v>524</v>
      </c>
      <c r="C242" t="s">
        <v>9</v>
      </c>
      <c r="D242" t="s">
        <v>22</v>
      </c>
      <c r="E242" t="s">
        <v>40</v>
      </c>
      <c r="F242" t="s">
        <v>41</v>
      </c>
      <c r="G242" t="s">
        <v>17</v>
      </c>
    </row>
    <row r="243" spans="1:7" x14ac:dyDescent="0.3">
      <c r="A243" t="s">
        <v>525</v>
      </c>
      <c r="B243" t="s">
        <v>526</v>
      </c>
      <c r="C243" t="s">
        <v>9</v>
      </c>
      <c r="D243" t="s">
        <v>16</v>
      </c>
      <c r="E243" t="s">
        <v>97</v>
      </c>
      <c r="F243" t="s">
        <v>98</v>
      </c>
      <c r="G243" t="s">
        <v>78</v>
      </c>
    </row>
    <row r="244" spans="1:7" x14ac:dyDescent="0.3">
      <c r="A244" t="s">
        <v>527</v>
      </c>
      <c r="B244" t="s">
        <v>528</v>
      </c>
      <c r="C244" t="s">
        <v>9</v>
      </c>
      <c r="D244" t="s">
        <v>16</v>
      </c>
      <c r="E244" t="s">
        <v>32</v>
      </c>
      <c r="F244" t="s">
        <v>33</v>
      </c>
      <c r="G244" t="s">
        <v>78</v>
      </c>
    </row>
    <row r="245" spans="1:7" x14ac:dyDescent="0.3">
      <c r="A245" t="s">
        <v>529</v>
      </c>
      <c r="B245" t="s">
        <v>530</v>
      </c>
      <c r="C245" t="s">
        <v>9</v>
      </c>
      <c r="D245" t="s">
        <v>16</v>
      </c>
      <c r="E245" t="s">
        <v>11</v>
      </c>
      <c r="F245" t="s">
        <v>12</v>
      </c>
      <c r="G245" t="s">
        <v>17</v>
      </c>
    </row>
    <row r="246" spans="1:7" x14ac:dyDescent="0.3">
      <c r="A246" t="s">
        <v>531</v>
      </c>
      <c r="B246" t="s">
        <v>532</v>
      </c>
      <c r="C246" t="s">
        <v>9</v>
      </c>
      <c r="D246" t="s">
        <v>16</v>
      </c>
      <c r="E246" t="s">
        <v>142</v>
      </c>
      <c r="F246" t="s">
        <v>129</v>
      </c>
      <c r="G246" t="s">
        <v>17</v>
      </c>
    </row>
    <row r="247" spans="1:7" x14ac:dyDescent="0.3">
      <c r="A247" t="s">
        <v>533</v>
      </c>
      <c r="B247" t="s">
        <v>534</v>
      </c>
      <c r="C247" t="s">
        <v>9</v>
      </c>
      <c r="D247" t="s">
        <v>10</v>
      </c>
      <c r="E247" t="s">
        <v>101</v>
      </c>
      <c r="F247" t="s">
        <v>62</v>
      </c>
      <c r="G247" t="s">
        <v>17</v>
      </c>
    </row>
    <row r="248" spans="1:7" x14ac:dyDescent="0.3">
      <c r="A248" t="s">
        <v>535</v>
      </c>
      <c r="B248" t="s">
        <v>536</v>
      </c>
      <c r="C248" t="s">
        <v>46</v>
      </c>
      <c r="D248" t="s">
        <v>16</v>
      </c>
      <c r="E248" t="s">
        <v>73</v>
      </c>
      <c r="F248" t="s">
        <v>24</v>
      </c>
      <c r="G248" t="s">
        <v>78</v>
      </c>
    </row>
    <row r="249" spans="1:7" x14ac:dyDescent="0.3">
      <c r="A249" t="s">
        <v>537</v>
      </c>
      <c r="B249" t="s">
        <v>538</v>
      </c>
      <c r="C249" t="s">
        <v>46</v>
      </c>
      <c r="D249" t="s">
        <v>22</v>
      </c>
      <c r="E249" t="s">
        <v>40</v>
      </c>
      <c r="F249" t="s">
        <v>41</v>
      </c>
      <c r="G249" t="s">
        <v>51</v>
      </c>
    </row>
    <row r="250" spans="1:7" x14ac:dyDescent="0.3">
      <c r="A250" t="s">
        <v>539</v>
      </c>
      <c r="B250" t="s">
        <v>540</v>
      </c>
      <c r="C250" t="s">
        <v>9</v>
      </c>
      <c r="D250" t="s">
        <v>31</v>
      </c>
      <c r="E250" t="s">
        <v>128</v>
      </c>
      <c r="F250" t="s">
        <v>129</v>
      </c>
      <c r="G250" t="s">
        <v>17</v>
      </c>
    </row>
    <row r="251" spans="1:7" x14ac:dyDescent="0.3">
      <c r="A251" t="s">
        <v>541</v>
      </c>
      <c r="B251" t="s">
        <v>542</v>
      </c>
      <c r="C251" t="s">
        <v>9</v>
      </c>
      <c r="D251" t="s">
        <v>22</v>
      </c>
      <c r="E251" t="s">
        <v>147</v>
      </c>
      <c r="F251" t="s">
        <v>98</v>
      </c>
      <c r="G251" t="s">
        <v>17</v>
      </c>
    </row>
    <row r="252" spans="1:7" x14ac:dyDescent="0.3">
      <c r="A252" t="s">
        <v>543</v>
      </c>
      <c r="B252" t="s">
        <v>544</v>
      </c>
      <c r="C252" t="s">
        <v>9</v>
      </c>
      <c r="D252" t="s">
        <v>10</v>
      </c>
      <c r="E252" t="s">
        <v>128</v>
      </c>
      <c r="F252" t="s">
        <v>129</v>
      </c>
      <c r="G252" t="s">
        <v>56</v>
      </c>
    </row>
    <row r="253" spans="1:7" x14ac:dyDescent="0.3">
      <c r="A253" t="s">
        <v>545</v>
      </c>
      <c r="B253" t="s">
        <v>546</v>
      </c>
      <c r="C253" t="s">
        <v>9</v>
      </c>
      <c r="D253" t="s">
        <v>22</v>
      </c>
      <c r="E253" t="s">
        <v>23</v>
      </c>
      <c r="F253" t="s">
        <v>24</v>
      </c>
      <c r="G253" t="s">
        <v>13</v>
      </c>
    </row>
    <row r="254" spans="1:7" x14ac:dyDescent="0.3">
      <c r="A254" t="s">
        <v>547</v>
      </c>
      <c r="B254" t="s">
        <v>548</v>
      </c>
      <c r="C254" t="s">
        <v>9</v>
      </c>
      <c r="D254" t="s">
        <v>31</v>
      </c>
      <c r="E254" t="s">
        <v>32</v>
      </c>
      <c r="F254" t="s">
        <v>33</v>
      </c>
      <c r="G254" t="s">
        <v>17</v>
      </c>
    </row>
    <row r="255" spans="1:7" x14ac:dyDescent="0.3">
      <c r="A255" t="s">
        <v>549</v>
      </c>
      <c r="B255" t="s">
        <v>550</v>
      </c>
      <c r="C255" t="s">
        <v>9</v>
      </c>
      <c r="D255" t="s">
        <v>22</v>
      </c>
      <c r="E255" t="s">
        <v>147</v>
      </c>
      <c r="F255" t="s">
        <v>98</v>
      </c>
      <c r="G255" t="s">
        <v>56</v>
      </c>
    </row>
    <row r="256" spans="1:7" x14ac:dyDescent="0.3">
      <c r="A256" t="s">
        <v>551</v>
      </c>
      <c r="B256" t="s">
        <v>552</v>
      </c>
      <c r="C256" t="s">
        <v>9</v>
      </c>
      <c r="D256" t="s">
        <v>22</v>
      </c>
      <c r="E256" t="s">
        <v>54</v>
      </c>
      <c r="F256" t="s">
        <v>55</v>
      </c>
      <c r="G256" t="s">
        <v>17</v>
      </c>
    </row>
    <row r="257" spans="1:7" x14ac:dyDescent="0.3">
      <c r="A257" t="s">
        <v>553</v>
      </c>
      <c r="B257" t="s">
        <v>554</v>
      </c>
      <c r="C257" t="s">
        <v>39</v>
      </c>
      <c r="D257" t="s">
        <v>10</v>
      </c>
      <c r="E257" t="s">
        <v>27</v>
      </c>
      <c r="F257" t="s">
        <v>28</v>
      </c>
      <c r="G257" t="s">
        <v>13</v>
      </c>
    </row>
    <row r="258" spans="1:7" x14ac:dyDescent="0.3">
      <c r="A258" t="s">
        <v>555</v>
      </c>
      <c r="B258" t="s">
        <v>556</v>
      </c>
      <c r="C258" t="s">
        <v>39</v>
      </c>
      <c r="D258" t="s">
        <v>10</v>
      </c>
      <c r="E258" t="s">
        <v>11</v>
      </c>
      <c r="F258" t="s">
        <v>12</v>
      </c>
      <c r="G258" t="s">
        <v>51</v>
      </c>
    </row>
    <row r="259" spans="1:7" x14ac:dyDescent="0.3">
      <c r="A259" t="s">
        <v>557</v>
      </c>
      <c r="B259" t="s">
        <v>558</v>
      </c>
      <c r="C259" t="s">
        <v>9</v>
      </c>
      <c r="D259" t="s">
        <v>10</v>
      </c>
      <c r="E259" t="s">
        <v>54</v>
      </c>
      <c r="F259" t="s">
        <v>55</v>
      </c>
      <c r="G259" t="s">
        <v>56</v>
      </c>
    </row>
    <row r="260" spans="1:7" x14ac:dyDescent="0.3">
      <c r="A260" t="s">
        <v>559</v>
      </c>
      <c r="B260" t="s">
        <v>560</v>
      </c>
      <c r="C260" t="s">
        <v>9</v>
      </c>
      <c r="D260" t="s">
        <v>31</v>
      </c>
      <c r="E260" t="s">
        <v>73</v>
      </c>
      <c r="F260" t="s">
        <v>24</v>
      </c>
      <c r="G260" t="s">
        <v>78</v>
      </c>
    </row>
    <row r="261" spans="1:7" x14ac:dyDescent="0.3">
      <c r="A261" t="s">
        <v>561</v>
      </c>
      <c r="B261" t="s">
        <v>562</v>
      </c>
      <c r="C261" t="s">
        <v>9</v>
      </c>
      <c r="D261" t="s">
        <v>22</v>
      </c>
      <c r="E261" t="s">
        <v>11</v>
      </c>
      <c r="F261" t="s">
        <v>12</v>
      </c>
      <c r="G261" t="s">
        <v>17</v>
      </c>
    </row>
    <row r="262" spans="1:7" x14ac:dyDescent="0.3">
      <c r="A262" t="s">
        <v>563</v>
      </c>
      <c r="B262" t="s">
        <v>564</v>
      </c>
      <c r="C262" t="s">
        <v>39</v>
      </c>
      <c r="D262" t="s">
        <v>22</v>
      </c>
      <c r="E262" t="s">
        <v>54</v>
      </c>
      <c r="F262" t="s">
        <v>55</v>
      </c>
      <c r="G262" t="s">
        <v>78</v>
      </c>
    </row>
    <row r="263" spans="1:7" x14ac:dyDescent="0.3">
      <c r="A263" t="s">
        <v>565</v>
      </c>
      <c r="B263" t="s">
        <v>566</v>
      </c>
      <c r="C263" t="s">
        <v>9</v>
      </c>
      <c r="D263" t="s">
        <v>16</v>
      </c>
      <c r="E263" t="s">
        <v>54</v>
      </c>
      <c r="F263" t="s">
        <v>55</v>
      </c>
      <c r="G263" t="s">
        <v>78</v>
      </c>
    </row>
    <row r="264" spans="1:7" x14ac:dyDescent="0.3">
      <c r="A264" t="s">
        <v>567</v>
      </c>
      <c r="B264" t="s">
        <v>568</v>
      </c>
      <c r="C264" t="s">
        <v>46</v>
      </c>
      <c r="D264" t="s">
        <v>22</v>
      </c>
      <c r="E264" t="s">
        <v>61</v>
      </c>
      <c r="F264" t="s">
        <v>62</v>
      </c>
      <c r="G264" t="s">
        <v>51</v>
      </c>
    </row>
    <row r="265" spans="1:7" x14ac:dyDescent="0.3">
      <c r="A265" t="s">
        <v>569</v>
      </c>
      <c r="B265" t="s">
        <v>570</v>
      </c>
      <c r="C265" t="s">
        <v>9</v>
      </c>
      <c r="D265" t="s">
        <v>16</v>
      </c>
      <c r="E265" t="s">
        <v>36</v>
      </c>
      <c r="F265" t="s">
        <v>28</v>
      </c>
      <c r="G265" t="s">
        <v>78</v>
      </c>
    </row>
    <row r="266" spans="1:7" x14ac:dyDescent="0.3">
      <c r="A266" t="s">
        <v>571</v>
      </c>
      <c r="B266" t="s">
        <v>572</v>
      </c>
      <c r="C266" t="s">
        <v>9</v>
      </c>
      <c r="D266" t="s">
        <v>10</v>
      </c>
      <c r="E266" t="s">
        <v>32</v>
      </c>
      <c r="F266" t="s">
        <v>33</v>
      </c>
      <c r="G266" t="s">
        <v>56</v>
      </c>
    </row>
    <row r="267" spans="1:7" x14ac:dyDescent="0.3">
      <c r="A267" t="s">
        <v>573</v>
      </c>
      <c r="B267" t="s">
        <v>574</v>
      </c>
      <c r="C267" t="s">
        <v>9</v>
      </c>
      <c r="D267" t="s">
        <v>10</v>
      </c>
      <c r="E267" t="s">
        <v>11</v>
      </c>
      <c r="F267" t="s">
        <v>12</v>
      </c>
      <c r="G267" t="s">
        <v>17</v>
      </c>
    </row>
    <row r="268" spans="1:7" x14ac:dyDescent="0.3">
      <c r="A268" t="s">
        <v>575</v>
      </c>
      <c r="B268" t="s">
        <v>576</v>
      </c>
      <c r="C268" t="s">
        <v>9</v>
      </c>
      <c r="D268" t="s">
        <v>31</v>
      </c>
      <c r="E268" t="s">
        <v>147</v>
      </c>
      <c r="F268" t="s">
        <v>98</v>
      </c>
      <c r="G268" t="s">
        <v>51</v>
      </c>
    </row>
    <row r="269" spans="1:7" x14ac:dyDescent="0.3">
      <c r="A269" t="s">
        <v>577</v>
      </c>
      <c r="B269" t="s">
        <v>578</v>
      </c>
      <c r="C269" t="s">
        <v>9</v>
      </c>
      <c r="D269" t="s">
        <v>10</v>
      </c>
      <c r="E269" t="s">
        <v>11</v>
      </c>
      <c r="F269" t="s">
        <v>12</v>
      </c>
      <c r="G269" t="s">
        <v>13</v>
      </c>
    </row>
    <row r="270" spans="1:7" x14ac:dyDescent="0.3">
      <c r="A270" t="s">
        <v>579</v>
      </c>
      <c r="B270" t="s">
        <v>580</v>
      </c>
      <c r="C270" t="s">
        <v>9</v>
      </c>
      <c r="D270" t="s">
        <v>31</v>
      </c>
      <c r="E270" t="s">
        <v>11</v>
      </c>
      <c r="F270" t="s">
        <v>12</v>
      </c>
      <c r="G270" t="s">
        <v>13</v>
      </c>
    </row>
    <row r="271" spans="1:7" x14ac:dyDescent="0.3">
      <c r="A271" t="s">
        <v>581</v>
      </c>
      <c r="B271" t="s">
        <v>582</v>
      </c>
      <c r="C271" t="s">
        <v>9</v>
      </c>
      <c r="D271" t="s">
        <v>22</v>
      </c>
      <c r="E271" t="s">
        <v>128</v>
      </c>
      <c r="F271" t="s">
        <v>129</v>
      </c>
      <c r="G271" t="s">
        <v>13</v>
      </c>
    </row>
    <row r="272" spans="1:7" x14ac:dyDescent="0.3">
      <c r="A272" t="s">
        <v>583</v>
      </c>
      <c r="B272" t="s">
        <v>584</v>
      </c>
      <c r="C272" t="s">
        <v>46</v>
      </c>
      <c r="D272" t="s">
        <v>10</v>
      </c>
      <c r="E272" t="s">
        <v>32</v>
      </c>
      <c r="F272" t="s">
        <v>33</v>
      </c>
      <c r="G272" t="s">
        <v>13</v>
      </c>
    </row>
    <row r="273" spans="1:7" x14ac:dyDescent="0.3">
      <c r="A273" t="s">
        <v>585</v>
      </c>
      <c r="B273" t="s">
        <v>586</v>
      </c>
      <c r="C273" t="s">
        <v>9</v>
      </c>
      <c r="D273" t="s">
        <v>31</v>
      </c>
      <c r="E273" t="s">
        <v>128</v>
      </c>
      <c r="F273" t="s">
        <v>129</v>
      </c>
      <c r="G273" t="s">
        <v>13</v>
      </c>
    </row>
    <row r="274" spans="1:7" x14ac:dyDescent="0.3">
      <c r="A274" t="s">
        <v>587</v>
      </c>
      <c r="B274" t="s">
        <v>588</v>
      </c>
      <c r="C274" t="s">
        <v>9</v>
      </c>
      <c r="D274" t="s">
        <v>10</v>
      </c>
      <c r="E274" t="s">
        <v>23</v>
      </c>
      <c r="F274" t="s">
        <v>24</v>
      </c>
      <c r="G274" t="s">
        <v>78</v>
      </c>
    </row>
    <row r="275" spans="1:7" x14ac:dyDescent="0.3">
      <c r="A275" t="s">
        <v>589</v>
      </c>
      <c r="B275" t="s">
        <v>590</v>
      </c>
      <c r="C275" t="s">
        <v>9</v>
      </c>
      <c r="D275" t="s">
        <v>16</v>
      </c>
      <c r="E275" t="s">
        <v>128</v>
      </c>
      <c r="F275" t="s">
        <v>129</v>
      </c>
      <c r="G275" t="s">
        <v>51</v>
      </c>
    </row>
    <row r="276" spans="1:7" x14ac:dyDescent="0.3">
      <c r="A276" t="s">
        <v>591</v>
      </c>
      <c r="B276" t="s">
        <v>592</v>
      </c>
      <c r="C276" t="s">
        <v>9</v>
      </c>
      <c r="D276" t="s">
        <v>31</v>
      </c>
      <c r="E276" t="s">
        <v>54</v>
      </c>
      <c r="F276" t="s">
        <v>55</v>
      </c>
      <c r="G276" t="s">
        <v>17</v>
      </c>
    </row>
    <row r="277" spans="1:7" x14ac:dyDescent="0.3">
      <c r="A277" t="s">
        <v>593</v>
      </c>
      <c r="B277" t="s">
        <v>594</v>
      </c>
      <c r="C277" t="s">
        <v>39</v>
      </c>
      <c r="D277" t="s">
        <v>16</v>
      </c>
      <c r="E277" t="s">
        <v>11</v>
      </c>
      <c r="F277" t="s">
        <v>12</v>
      </c>
      <c r="G277" t="s">
        <v>78</v>
      </c>
    </row>
    <row r="278" spans="1:7" x14ac:dyDescent="0.3">
      <c r="A278" t="s">
        <v>595</v>
      </c>
      <c r="B278" t="s">
        <v>596</v>
      </c>
      <c r="C278" t="s">
        <v>9</v>
      </c>
      <c r="D278" t="s">
        <v>22</v>
      </c>
      <c r="E278" t="s">
        <v>27</v>
      </c>
      <c r="F278" t="s">
        <v>28</v>
      </c>
      <c r="G278" t="s">
        <v>13</v>
      </c>
    </row>
    <row r="279" spans="1:7" x14ac:dyDescent="0.3">
      <c r="A279" t="s">
        <v>597</v>
      </c>
      <c r="B279" t="s">
        <v>598</v>
      </c>
      <c r="C279" t="s">
        <v>9</v>
      </c>
      <c r="D279" t="s">
        <v>22</v>
      </c>
      <c r="E279" t="s">
        <v>73</v>
      </c>
      <c r="F279" t="s">
        <v>24</v>
      </c>
      <c r="G279" t="s">
        <v>13</v>
      </c>
    </row>
    <row r="280" spans="1:7" x14ac:dyDescent="0.3">
      <c r="A280" t="s">
        <v>599</v>
      </c>
      <c r="B280" t="s">
        <v>600</v>
      </c>
      <c r="C280" t="s">
        <v>9</v>
      </c>
      <c r="D280" t="s">
        <v>31</v>
      </c>
      <c r="E280" t="s">
        <v>11</v>
      </c>
      <c r="F280" t="s">
        <v>12</v>
      </c>
      <c r="G280" t="s">
        <v>51</v>
      </c>
    </row>
    <row r="281" spans="1:7" x14ac:dyDescent="0.3">
      <c r="A281" t="s">
        <v>601</v>
      </c>
      <c r="B281" t="s">
        <v>602</v>
      </c>
      <c r="C281" t="s">
        <v>46</v>
      </c>
      <c r="D281" t="s">
        <v>22</v>
      </c>
      <c r="E281" t="s">
        <v>54</v>
      </c>
      <c r="F281" t="s">
        <v>55</v>
      </c>
      <c r="G281" t="s">
        <v>51</v>
      </c>
    </row>
    <row r="282" spans="1:7" x14ac:dyDescent="0.3">
      <c r="A282" t="s">
        <v>603</v>
      </c>
      <c r="B282" t="s">
        <v>604</v>
      </c>
      <c r="C282" t="s">
        <v>9</v>
      </c>
      <c r="D282" t="s">
        <v>10</v>
      </c>
      <c r="E282" t="s">
        <v>73</v>
      </c>
      <c r="F282" t="s">
        <v>24</v>
      </c>
      <c r="G282" t="s">
        <v>17</v>
      </c>
    </row>
    <row r="283" spans="1:7" x14ac:dyDescent="0.3">
      <c r="A283" t="s">
        <v>605</v>
      </c>
      <c r="B283" t="s">
        <v>606</v>
      </c>
      <c r="C283" t="s">
        <v>9</v>
      </c>
      <c r="D283" t="s">
        <v>10</v>
      </c>
      <c r="E283" t="s">
        <v>27</v>
      </c>
      <c r="F283" t="s">
        <v>28</v>
      </c>
      <c r="G283" t="s">
        <v>13</v>
      </c>
    </row>
    <row r="284" spans="1:7" x14ac:dyDescent="0.3">
      <c r="A284" t="s">
        <v>607</v>
      </c>
      <c r="B284" t="s">
        <v>608</v>
      </c>
      <c r="C284" t="s">
        <v>39</v>
      </c>
      <c r="D284" t="s">
        <v>22</v>
      </c>
      <c r="E284" t="s">
        <v>164</v>
      </c>
      <c r="F284" t="s">
        <v>98</v>
      </c>
      <c r="G284" t="s">
        <v>17</v>
      </c>
    </row>
    <row r="285" spans="1:7" x14ac:dyDescent="0.3">
      <c r="A285" t="s">
        <v>609</v>
      </c>
      <c r="B285" t="s">
        <v>610</v>
      </c>
      <c r="C285" t="s">
        <v>9</v>
      </c>
      <c r="D285" t="s">
        <v>22</v>
      </c>
      <c r="E285" t="s">
        <v>11</v>
      </c>
      <c r="F285" t="s">
        <v>12</v>
      </c>
      <c r="G285" t="s">
        <v>13</v>
      </c>
    </row>
    <row r="286" spans="1:7" x14ac:dyDescent="0.3">
      <c r="A286" t="s">
        <v>611</v>
      </c>
      <c r="B286" t="s">
        <v>612</v>
      </c>
      <c r="C286" t="s">
        <v>9</v>
      </c>
      <c r="D286" t="s">
        <v>16</v>
      </c>
      <c r="E286" t="s">
        <v>11</v>
      </c>
      <c r="F286" t="s">
        <v>12</v>
      </c>
      <c r="G286" t="s">
        <v>56</v>
      </c>
    </row>
    <row r="287" spans="1:7" x14ac:dyDescent="0.3">
      <c r="A287" t="s">
        <v>613</v>
      </c>
      <c r="B287" t="s">
        <v>614</v>
      </c>
      <c r="C287" t="s">
        <v>9</v>
      </c>
      <c r="D287" t="s">
        <v>16</v>
      </c>
      <c r="E287" t="s">
        <v>142</v>
      </c>
      <c r="F287" t="s">
        <v>129</v>
      </c>
      <c r="G287" t="s">
        <v>17</v>
      </c>
    </row>
    <row r="288" spans="1:7" x14ac:dyDescent="0.3">
      <c r="A288" t="s">
        <v>615</v>
      </c>
      <c r="B288" t="s">
        <v>616</v>
      </c>
      <c r="C288" t="s">
        <v>39</v>
      </c>
      <c r="D288" t="s">
        <v>31</v>
      </c>
      <c r="E288" t="s">
        <v>32</v>
      </c>
      <c r="F288" t="s">
        <v>33</v>
      </c>
      <c r="G288" t="s">
        <v>56</v>
      </c>
    </row>
    <row r="289" spans="1:7" x14ac:dyDescent="0.3">
      <c r="A289" t="s">
        <v>617</v>
      </c>
      <c r="B289" t="s">
        <v>618</v>
      </c>
      <c r="C289" t="s">
        <v>9</v>
      </c>
      <c r="D289" t="s">
        <v>22</v>
      </c>
      <c r="E289" t="s">
        <v>32</v>
      </c>
      <c r="F289" t="s">
        <v>33</v>
      </c>
      <c r="G289" t="s">
        <v>13</v>
      </c>
    </row>
    <row r="290" spans="1:7" x14ac:dyDescent="0.3">
      <c r="A290" t="s">
        <v>619</v>
      </c>
      <c r="B290" t="s">
        <v>620</v>
      </c>
      <c r="C290" t="s">
        <v>9</v>
      </c>
      <c r="D290" t="s">
        <v>31</v>
      </c>
      <c r="E290" t="s">
        <v>142</v>
      </c>
      <c r="F290" t="s">
        <v>129</v>
      </c>
      <c r="G290" t="s">
        <v>78</v>
      </c>
    </row>
    <row r="291" spans="1:7" x14ac:dyDescent="0.3">
      <c r="A291" t="s">
        <v>621</v>
      </c>
      <c r="B291" t="s">
        <v>622</v>
      </c>
      <c r="C291" t="s">
        <v>9</v>
      </c>
      <c r="D291" t="s">
        <v>16</v>
      </c>
      <c r="E291" t="s">
        <v>23</v>
      </c>
      <c r="F291" t="s">
        <v>24</v>
      </c>
      <c r="G291" t="s">
        <v>13</v>
      </c>
    </row>
    <row r="292" spans="1:7" x14ac:dyDescent="0.3">
      <c r="A292" t="s">
        <v>623</v>
      </c>
      <c r="B292" t="s">
        <v>624</v>
      </c>
      <c r="C292" t="s">
        <v>9</v>
      </c>
      <c r="D292" t="s">
        <v>22</v>
      </c>
      <c r="E292" t="s">
        <v>32</v>
      </c>
      <c r="F292" t="s">
        <v>33</v>
      </c>
      <c r="G292" t="s">
        <v>13</v>
      </c>
    </row>
    <row r="293" spans="1:7" x14ac:dyDescent="0.3">
      <c r="A293" t="s">
        <v>625</v>
      </c>
      <c r="B293" t="s">
        <v>626</v>
      </c>
      <c r="C293" t="s">
        <v>9</v>
      </c>
      <c r="D293" t="s">
        <v>16</v>
      </c>
      <c r="E293" t="s">
        <v>101</v>
      </c>
      <c r="F293" t="s">
        <v>62</v>
      </c>
      <c r="G293" t="s">
        <v>17</v>
      </c>
    </row>
    <row r="294" spans="1:7" x14ac:dyDescent="0.3">
      <c r="A294" t="s">
        <v>627</v>
      </c>
      <c r="B294" t="s">
        <v>628</v>
      </c>
      <c r="C294" t="s">
        <v>9</v>
      </c>
      <c r="D294" t="s">
        <v>31</v>
      </c>
      <c r="E294" t="s">
        <v>54</v>
      </c>
      <c r="F294" t="s">
        <v>55</v>
      </c>
      <c r="G294" t="s">
        <v>78</v>
      </c>
    </row>
    <row r="295" spans="1:7" x14ac:dyDescent="0.3">
      <c r="A295" t="s">
        <v>629</v>
      </c>
      <c r="B295" t="s">
        <v>630</v>
      </c>
      <c r="C295" t="s">
        <v>9</v>
      </c>
      <c r="D295" t="s">
        <v>16</v>
      </c>
      <c r="E295" t="s">
        <v>23</v>
      </c>
      <c r="F295" t="s">
        <v>24</v>
      </c>
      <c r="G295" t="s">
        <v>13</v>
      </c>
    </row>
    <row r="296" spans="1:7" x14ac:dyDescent="0.3">
      <c r="A296" t="s">
        <v>631</v>
      </c>
      <c r="B296" t="s">
        <v>632</v>
      </c>
      <c r="C296" t="s">
        <v>9</v>
      </c>
      <c r="D296" t="s">
        <v>10</v>
      </c>
      <c r="E296" t="s">
        <v>128</v>
      </c>
      <c r="F296" t="s">
        <v>129</v>
      </c>
      <c r="G296" t="s">
        <v>56</v>
      </c>
    </row>
    <row r="297" spans="1:7" x14ac:dyDescent="0.3">
      <c r="A297" t="s">
        <v>633</v>
      </c>
      <c r="B297" t="s">
        <v>634</v>
      </c>
      <c r="C297" t="s">
        <v>9</v>
      </c>
      <c r="D297" t="s">
        <v>16</v>
      </c>
      <c r="E297" t="s">
        <v>11</v>
      </c>
      <c r="F297" t="s">
        <v>12</v>
      </c>
      <c r="G297" t="s">
        <v>13</v>
      </c>
    </row>
    <row r="298" spans="1:7" x14ac:dyDescent="0.3">
      <c r="A298" t="s">
        <v>635</v>
      </c>
      <c r="B298" t="s">
        <v>636</v>
      </c>
      <c r="C298" t="s">
        <v>9</v>
      </c>
      <c r="D298" t="s">
        <v>31</v>
      </c>
      <c r="E298" t="s">
        <v>73</v>
      </c>
      <c r="F298" t="s">
        <v>24</v>
      </c>
      <c r="G298" t="s">
        <v>17</v>
      </c>
    </row>
    <row r="299" spans="1:7" x14ac:dyDescent="0.3">
      <c r="A299" t="s">
        <v>637</v>
      </c>
      <c r="B299" t="s">
        <v>638</v>
      </c>
      <c r="C299" t="s">
        <v>39</v>
      </c>
      <c r="D299" t="s">
        <v>22</v>
      </c>
      <c r="E299" t="s">
        <v>32</v>
      </c>
      <c r="F299" t="s">
        <v>33</v>
      </c>
      <c r="G299" t="s">
        <v>13</v>
      </c>
    </row>
    <row r="300" spans="1:7" x14ac:dyDescent="0.3">
      <c r="A300" t="s">
        <v>639</v>
      </c>
      <c r="B300" t="s">
        <v>640</v>
      </c>
      <c r="C300" t="s">
        <v>9</v>
      </c>
      <c r="D300" t="s">
        <v>31</v>
      </c>
      <c r="E300" t="s">
        <v>32</v>
      </c>
      <c r="F300" t="s">
        <v>33</v>
      </c>
      <c r="G300" t="s">
        <v>78</v>
      </c>
    </row>
    <row r="301" spans="1:7" x14ac:dyDescent="0.3">
      <c r="A301" t="s">
        <v>641</v>
      </c>
      <c r="B301" t="s">
        <v>642</v>
      </c>
      <c r="C301" t="s">
        <v>9</v>
      </c>
      <c r="D301" t="s">
        <v>16</v>
      </c>
      <c r="E301" t="s">
        <v>11</v>
      </c>
      <c r="F301" t="s">
        <v>12</v>
      </c>
      <c r="G301" t="s">
        <v>56</v>
      </c>
    </row>
    <row r="302" spans="1:7" x14ac:dyDescent="0.3">
      <c r="A302" t="s">
        <v>643</v>
      </c>
      <c r="B302" t="s">
        <v>644</v>
      </c>
      <c r="C302" t="s">
        <v>9</v>
      </c>
      <c r="D302" t="s">
        <v>16</v>
      </c>
      <c r="E302" t="s">
        <v>40</v>
      </c>
      <c r="F302" t="s">
        <v>41</v>
      </c>
      <c r="G302" t="s">
        <v>78</v>
      </c>
    </row>
    <row r="303" spans="1:7" x14ac:dyDescent="0.3">
      <c r="A303" t="s">
        <v>645</v>
      </c>
      <c r="B303" t="s">
        <v>646</v>
      </c>
      <c r="C303" t="s">
        <v>39</v>
      </c>
      <c r="D303" t="s">
        <v>31</v>
      </c>
      <c r="E303" t="s">
        <v>27</v>
      </c>
      <c r="F303" t="s">
        <v>28</v>
      </c>
      <c r="G303" t="s">
        <v>78</v>
      </c>
    </row>
    <row r="304" spans="1:7" x14ac:dyDescent="0.3">
      <c r="A304" t="s">
        <v>647</v>
      </c>
      <c r="B304" t="s">
        <v>648</v>
      </c>
      <c r="C304" t="s">
        <v>9</v>
      </c>
      <c r="D304" t="s">
        <v>10</v>
      </c>
      <c r="E304" t="s">
        <v>32</v>
      </c>
      <c r="F304" t="s">
        <v>33</v>
      </c>
      <c r="G304" t="s">
        <v>13</v>
      </c>
    </row>
    <row r="305" spans="1:7" x14ac:dyDescent="0.3">
      <c r="A305" t="s">
        <v>649</v>
      </c>
      <c r="B305" t="s">
        <v>650</v>
      </c>
      <c r="C305" t="s">
        <v>39</v>
      </c>
      <c r="D305" t="s">
        <v>31</v>
      </c>
      <c r="E305" t="s">
        <v>101</v>
      </c>
      <c r="F305" t="s">
        <v>62</v>
      </c>
      <c r="G305" t="s">
        <v>78</v>
      </c>
    </row>
    <row r="306" spans="1:7" x14ac:dyDescent="0.3">
      <c r="A306" t="s">
        <v>651</v>
      </c>
      <c r="B306" t="s">
        <v>652</v>
      </c>
      <c r="C306" t="s">
        <v>9</v>
      </c>
      <c r="D306" t="s">
        <v>16</v>
      </c>
      <c r="E306" t="s">
        <v>73</v>
      </c>
      <c r="F306" t="s">
        <v>24</v>
      </c>
      <c r="G306" t="s">
        <v>17</v>
      </c>
    </row>
    <row r="307" spans="1:7" x14ac:dyDescent="0.3">
      <c r="A307" t="s">
        <v>653</v>
      </c>
      <c r="B307" t="s">
        <v>654</v>
      </c>
      <c r="C307" t="s">
        <v>9</v>
      </c>
      <c r="D307" t="s">
        <v>10</v>
      </c>
      <c r="E307" t="s">
        <v>36</v>
      </c>
      <c r="F307" t="s">
        <v>28</v>
      </c>
      <c r="G307" t="s">
        <v>13</v>
      </c>
    </row>
    <row r="308" spans="1:7" x14ac:dyDescent="0.3">
      <c r="A308" t="s">
        <v>655</v>
      </c>
      <c r="B308" t="s">
        <v>656</v>
      </c>
      <c r="C308" t="s">
        <v>9</v>
      </c>
      <c r="D308" t="s">
        <v>16</v>
      </c>
      <c r="E308" t="s">
        <v>32</v>
      </c>
      <c r="F308" t="s">
        <v>33</v>
      </c>
      <c r="G308" t="s">
        <v>17</v>
      </c>
    </row>
    <row r="309" spans="1:7" x14ac:dyDescent="0.3">
      <c r="A309" t="s">
        <v>657</v>
      </c>
      <c r="B309" t="s">
        <v>658</v>
      </c>
      <c r="C309" t="s">
        <v>39</v>
      </c>
      <c r="D309" t="s">
        <v>31</v>
      </c>
      <c r="E309" t="s">
        <v>32</v>
      </c>
      <c r="F309" t="s">
        <v>33</v>
      </c>
      <c r="G309" t="s">
        <v>17</v>
      </c>
    </row>
    <row r="310" spans="1:7" x14ac:dyDescent="0.3">
      <c r="A310" t="s">
        <v>659</v>
      </c>
      <c r="B310" t="s">
        <v>660</v>
      </c>
      <c r="C310" t="s">
        <v>9</v>
      </c>
      <c r="D310" t="s">
        <v>31</v>
      </c>
      <c r="E310" t="s">
        <v>142</v>
      </c>
      <c r="F310" t="s">
        <v>129</v>
      </c>
      <c r="G310" t="s">
        <v>17</v>
      </c>
    </row>
    <row r="311" spans="1:7" x14ac:dyDescent="0.3">
      <c r="A311" t="s">
        <v>661</v>
      </c>
      <c r="B311" t="s">
        <v>662</v>
      </c>
      <c r="C311" t="s">
        <v>39</v>
      </c>
      <c r="D311" t="s">
        <v>31</v>
      </c>
      <c r="E311" t="s">
        <v>36</v>
      </c>
      <c r="F311" t="s">
        <v>28</v>
      </c>
      <c r="G311" t="s">
        <v>17</v>
      </c>
    </row>
    <row r="312" spans="1:7" x14ac:dyDescent="0.3">
      <c r="A312" t="s">
        <v>663</v>
      </c>
      <c r="B312" t="s">
        <v>664</v>
      </c>
      <c r="C312" t="s">
        <v>39</v>
      </c>
      <c r="D312" t="s">
        <v>22</v>
      </c>
      <c r="E312" t="s">
        <v>142</v>
      </c>
      <c r="F312" t="s">
        <v>129</v>
      </c>
      <c r="G312" t="s">
        <v>78</v>
      </c>
    </row>
    <row r="313" spans="1:7" x14ac:dyDescent="0.3">
      <c r="A313" t="s">
        <v>665</v>
      </c>
      <c r="B313" t="s">
        <v>666</v>
      </c>
      <c r="C313" t="s">
        <v>9</v>
      </c>
      <c r="D313" t="s">
        <v>10</v>
      </c>
      <c r="E313" t="s">
        <v>32</v>
      </c>
      <c r="F313" t="s">
        <v>33</v>
      </c>
      <c r="G313" t="s">
        <v>56</v>
      </c>
    </row>
    <row r="314" spans="1:7" x14ac:dyDescent="0.3">
      <c r="A314" t="s">
        <v>667</v>
      </c>
      <c r="B314" t="s">
        <v>668</v>
      </c>
      <c r="C314" t="s">
        <v>9</v>
      </c>
      <c r="D314" t="s">
        <v>10</v>
      </c>
      <c r="E314" t="s">
        <v>40</v>
      </c>
      <c r="F314" t="s">
        <v>41</v>
      </c>
      <c r="G314" t="s">
        <v>56</v>
      </c>
    </row>
    <row r="315" spans="1:7" x14ac:dyDescent="0.3">
      <c r="A315" t="s">
        <v>669</v>
      </c>
      <c r="B315" t="s">
        <v>670</v>
      </c>
      <c r="C315" t="s">
        <v>9</v>
      </c>
      <c r="D315" t="s">
        <v>10</v>
      </c>
      <c r="E315" t="s">
        <v>11</v>
      </c>
      <c r="F315" t="s">
        <v>12</v>
      </c>
      <c r="G315" t="s">
        <v>17</v>
      </c>
    </row>
    <row r="316" spans="1:7" x14ac:dyDescent="0.3">
      <c r="A316" t="s">
        <v>671</v>
      </c>
      <c r="B316" t="s">
        <v>672</v>
      </c>
      <c r="C316" t="s">
        <v>9</v>
      </c>
      <c r="D316" t="s">
        <v>10</v>
      </c>
      <c r="E316" t="s">
        <v>11</v>
      </c>
      <c r="F316" t="s">
        <v>12</v>
      </c>
      <c r="G316" t="s">
        <v>56</v>
      </c>
    </row>
    <row r="317" spans="1:7" x14ac:dyDescent="0.3">
      <c r="A317" t="s">
        <v>673</v>
      </c>
      <c r="B317" t="s">
        <v>674</v>
      </c>
      <c r="C317" t="s">
        <v>9</v>
      </c>
      <c r="D317" t="s">
        <v>16</v>
      </c>
      <c r="E317" t="s">
        <v>40</v>
      </c>
      <c r="F317" t="s">
        <v>41</v>
      </c>
      <c r="G317" t="s">
        <v>56</v>
      </c>
    </row>
    <row r="318" spans="1:7" x14ac:dyDescent="0.3">
      <c r="A318" t="s">
        <v>675</v>
      </c>
      <c r="B318" t="s">
        <v>676</v>
      </c>
      <c r="C318" t="s">
        <v>39</v>
      </c>
      <c r="D318" t="s">
        <v>31</v>
      </c>
      <c r="E318" t="s">
        <v>54</v>
      </c>
      <c r="F318" t="s">
        <v>55</v>
      </c>
      <c r="G318" t="s">
        <v>13</v>
      </c>
    </row>
    <row r="319" spans="1:7" x14ac:dyDescent="0.3">
      <c r="A319" t="s">
        <v>677</v>
      </c>
      <c r="B319" t="s">
        <v>678</v>
      </c>
      <c r="C319" t="s">
        <v>9</v>
      </c>
      <c r="D319" t="s">
        <v>10</v>
      </c>
      <c r="E319" t="s">
        <v>101</v>
      </c>
      <c r="F319" t="s">
        <v>62</v>
      </c>
      <c r="G319" t="s">
        <v>56</v>
      </c>
    </row>
    <row r="320" spans="1:7" x14ac:dyDescent="0.3">
      <c r="A320" t="s">
        <v>679</v>
      </c>
      <c r="B320" t="s">
        <v>680</v>
      </c>
      <c r="C320" t="s">
        <v>9</v>
      </c>
      <c r="D320" t="s">
        <v>22</v>
      </c>
      <c r="E320" t="s">
        <v>147</v>
      </c>
      <c r="F320" t="s">
        <v>98</v>
      </c>
      <c r="G320" t="s">
        <v>56</v>
      </c>
    </row>
    <row r="321" spans="1:7" x14ac:dyDescent="0.3">
      <c r="A321" t="s">
        <v>681</v>
      </c>
      <c r="B321" t="s">
        <v>682</v>
      </c>
      <c r="C321" t="s">
        <v>39</v>
      </c>
      <c r="D321" t="s">
        <v>10</v>
      </c>
      <c r="E321" t="s">
        <v>54</v>
      </c>
      <c r="F321" t="s">
        <v>55</v>
      </c>
      <c r="G321" t="s">
        <v>78</v>
      </c>
    </row>
    <row r="322" spans="1:7" x14ac:dyDescent="0.3">
      <c r="A322" t="s">
        <v>683</v>
      </c>
      <c r="B322" t="s">
        <v>684</v>
      </c>
      <c r="C322" t="s">
        <v>39</v>
      </c>
      <c r="D322" t="s">
        <v>22</v>
      </c>
      <c r="E322" t="s">
        <v>32</v>
      </c>
      <c r="F322" t="s">
        <v>33</v>
      </c>
      <c r="G322" t="s">
        <v>56</v>
      </c>
    </row>
    <row r="323" spans="1:7" x14ac:dyDescent="0.3">
      <c r="A323" t="s">
        <v>685</v>
      </c>
      <c r="B323" t="s">
        <v>686</v>
      </c>
      <c r="C323" t="s">
        <v>9</v>
      </c>
      <c r="D323" t="s">
        <v>31</v>
      </c>
      <c r="E323" t="s">
        <v>128</v>
      </c>
      <c r="F323" t="s">
        <v>129</v>
      </c>
      <c r="G323" t="s">
        <v>78</v>
      </c>
    </row>
    <row r="324" spans="1:7" x14ac:dyDescent="0.3">
      <c r="A324" t="s">
        <v>687</v>
      </c>
      <c r="B324" t="s">
        <v>688</v>
      </c>
      <c r="C324" t="s">
        <v>39</v>
      </c>
      <c r="D324" t="s">
        <v>31</v>
      </c>
      <c r="E324" t="s">
        <v>54</v>
      </c>
      <c r="F324" t="s">
        <v>55</v>
      </c>
      <c r="G324" t="s">
        <v>78</v>
      </c>
    </row>
    <row r="325" spans="1:7" x14ac:dyDescent="0.3">
      <c r="A325" t="s">
        <v>689</v>
      </c>
      <c r="B325" t="s">
        <v>690</v>
      </c>
      <c r="C325" t="s">
        <v>9</v>
      </c>
      <c r="D325" t="s">
        <v>16</v>
      </c>
      <c r="E325" t="s">
        <v>61</v>
      </c>
      <c r="F325" t="s">
        <v>62</v>
      </c>
      <c r="G325" t="s">
        <v>13</v>
      </c>
    </row>
    <row r="326" spans="1:7" x14ac:dyDescent="0.3">
      <c r="A326" t="s">
        <v>691</v>
      </c>
      <c r="B326" t="s">
        <v>692</v>
      </c>
      <c r="C326" t="s">
        <v>9</v>
      </c>
      <c r="D326" t="s">
        <v>10</v>
      </c>
      <c r="E326" t="s">
        <v>11</v>
      </c>
      <c r="F326" t="s">
        <v>12</v>
      </c>
      <c r="G326" t="s">
        <v>56</v>
      </c>
    </row>
    <row r="327" spans="1:7" x14ac:dyDescent="0.3">
      <c r="A327" t="s">
        <v>693</v>
      </c>
      <c r="B327" t="s">
        <v>694</v>
      </c>
      <c r="C327" t="s">
        <v>39</v>
      </c>
      <c r="D327" t="s">
        <v>16</v>
      </c>
      <c r="E327" t="s">
        <v>23</v>
      </c>
      <c r="F327" t="s">
        <v>24</v>
      </c>
      <c r="G327" t="s">
        <v>17</v>
      </c>
    </row>
    <row r="328" spans="1:7" x14ac:dyDescent="0.3">
      <c r="A328" t="s">
        <v>695</v>
      </c>
      <c r="B328" t="s">
        <v>696</v>
      </c>
      <c r="C328" t="s">
        <v>39</v>
      </c>
      <c r="D328" t="s">
        <v>22</v>
      </c>
      <c r="E328" t="s">
        <v>36</v>
      </c>
      <c r="F328" t="s">
        <v>28</v>
      </c>
      <c r="G328" t="s">
        <v>78</v>
      </c>
    </row>
    <row r="329" spans="1:7" x14ac:dyDescent="0.3">
      <c r="A329" t="s">
        <v>697</v>
      </c>
      <c r="B329" t="s">
        <v>698</v>
      </c>
      <c r="C329" t="s">
        <v>9</v>
      </c>
      <c r="D329" t="s">
        <v>16</v>
      </c>
      <c r="E329" t="s">
        <v>147</v>
      </c>
      <c r="F329" t="s">
        <v>98</v>
      </c>
      <c r="G329" t="s">
        <v>13</v>
      </c>
    </row>
    <row r="330" spans="1:7" x14ac:dyDescent="0.3">
      <c r="A330" t="s">
        <v>699</v>
      </c>
      <c r="B330" t="s">
        <v>700</v>
      </c>
      <c r="C330" t="s">
        <v>9</v>
      </c>
      <c r="D330" t="s">
        <v>16</v>
      </c>
      <c r="E330" t="s">
        <v>164</v>
      </c>
      <c r="F330" t="s">
        <v>98</v>
      </c>
      <c r="G330" t="s">
        <v>78</v>
      </c>
    </row>
    <row r="331" spans="1:7" x14ac:dyDescent="0.3">
      <c r="A331" t="s">
        <v>701</v>
      </c>
      <c r="B331" t="s">
        <v>702</v>
      </c>
      <c r="C331" t="s">
        <v>39</v>
      </c>
      <c r="D331" t="s">
        <v>22</v>
      </c>
      <c r="E331" t="s">
        <v>36</v>
      </c>
      <c r="F331" t="s">
        <v>28</v>
      </c>
      <c r="G331" t="s">
        <v>13</v>
      </c>
    </row>
    <row r="332" spans="1:7" x14ac:dyDescent="0.3">
      <c r="A332" t="s">
        <v>703</v>
      </c>
      <c r="B332" t="s">
        <v>704</v>
      </c>
      <c r="C332" t="s">
        <v>9</v>
      </c>
      <c r="D332" t="s">
        <v>22</v>
      </c>
      <c r="E332" t="s">
        <v>147</v>
      </c>
      <c r="F332" t="s">
        <v>98</v>
      </c>
      <c r="G332" t="s">
        <v>17</v>
      </c>
    </row>
    <row r="333" spans="1:7" x14ac:dyDescent="0.3">
      <c r="A333" t="s">
        <v>705</v>
      </c>
      <c r="B333" t="s">
        <v>706</v>
      </c>
      <c r="C333" t="s">
        <v>9</v>
      </c>
      <c r="D333" t="s">
        <v>22</v>
      </c>
      <c r="E333" t="s">
        <v>142</v>
      </c>
      <c r="F333" t="s">
        <v>129</v>
      </c>
      <c r="G333" t="s">
        <v>56</v>
      </c>
    </row>
    <row r="334" spans="1:7" x14ac:dyDescent="0.3">
      <c r="A334" t="s">
        <v>707</v>
      </c>
      <c r="B334" t="s">
        <v>708</v>
      </c>
      <c r="C334" t="s">
        <v>9</v>
      </c>
      <c r="D334" t="s">
        <v>22</v>
      </c>
      <c r="E334" t="s">
        <v>73</v>
      </c>
      <c r="F334" t="s">
        <v>24</v>
      </c>
      <c r="G334" t="s">
        <v>56</v>
      </c>
    </row>
    <row r="335" spans="1:7" x14ac:dyDescent="0.3">
      <c r="A335" t="s">
        <v>709</v>
      </c>
      <c r="B335" t="s">
        <v>710</v>
      </c>
      <c r="C335" t="s">
        <v>46</v>
      </c>
      <c r="D335" t="s">
        <v>31</v>
      </c>
      <c r="E335" t="s">
        <v>36</v>
      </c>
      <c r="F335" t="s">
        <v>28</v>
      </c>
      <c r="G335" t="s">
        <v>56</v>
      </c>
    </row>
    <row r="336" spans="1:7" x14ac:dyDescent="0.3">
      <c r="A336" t="s">
        <v>711</v>
      </c>
      <c r="B336" t="s">
        <v>712</v>
      </c>
      <c r="C336" t="s">
        <v>9</v>
      </c>
      <c r="D336" t="s">
        <v>16</v>
      </c>
      <c r="E336" t="s">
        <v>101</v>
      </c>
      <c r="F336" t="s">
        <v>62</v>
      </c>
      <c r="G336" t="s">
        <v>17</v>
      </c>
    </row>
    <row r="337" spans="1:7" x14ac:dyDescent="0.3">
      <c r="A337" t="s">
        <v>713</v>
      </c>
      <c r="B337" t="s">
        <v>714</v>
      </c>
      <c r="C337" t="s">
        <v>9</v>
      </c>
      <c r="D337" t="s">
        <v>16</v>
      </c>
      <c r="E337" t="s">
        <v>23</v>
      </c>
      <c r="F337" t="s">
        <v>24</v>
      </c>
      <c r="G337" t="s">
        <v>56</v>
      </c>
    </row>
    <row r="338" spans="1:7" x14ac:dyDescent="0.3">
      <c r="A338" t="s">
        <v>715</v>
      </c>
      <c r="B338" t="s">
        <v>716</v>
      </c>
      <c r="C338" t="s">
        <v>9</v>
      </c>
      <c r="D338" t="s">
        <v>10</v>
      </c>
      <c r="E338" t="s">
        <v>101</v>
      </c>
      <c r="F338" t="s">
        <v>62</v>
      </c>
      <c r="G338" t="s">
        <v>17</v>
      </c>
    </row>
    <row r="339" spans="1:7" x14ac:dyDescent="0.3">
      <c r="A339" t="s">
        <v>717</v>
      </c>
      <c r="B339" t="s">
        <v>718</v>
      </c>
      <c r="C339" t="s">
        <v>9</v>
      </c>
      <c r="D339" t="s">
        <v>16</v>
      </c>
      <c r="E339" t="s">
        <v>32</v>
      </c>
      <c r="F339" t="s">
        <v>33</v>
      </c>
      <c r="G339" t="s">
        <v>13</v>
      </c>
    </row>
    <row r="340" spans="1:7" x14ac:dyDescent="0.3">
      <c r="A340" t="s">
        <v>719</v>
      </c>
      <c r="B340" t="s">
        <v>720</v>
      </c>
      <c r="C340" t="s">
        <v>9</v>
      </c>
      <c r="D340" t="s">
        <v>31</v>
      </c>
      <c r="E340" t="s">
        <v>11</v>
      </c>
      <c r="F340" t="s">
        <v>12</v>
      </c>
      <c r="G340" t="s">
        <v>51</v>
      </c>
    </row>
    <row r="341" spans="1:7" x14ac:dyDescent="0.3">
      <c r="A341" t="s">
        <v>721</v>
      </c>
      <c r="B341" t="s">
        <v>722</v>
      </c>
      <c r="C341" t="s">
        <v>9</v>
      </c>
      <c r="D341" t="s">
        <v>22</v>
      </c>
      <c r="E341" t="s">
        <v>27</v>
      </c>
      <c r="F341" t="s">
        <v>28</v>
      </c>
      <c r="G341" t="s">
        <v>17</v>
      </c>
    </row>
    <row r="342" spans="1:7" x14ac:dyDescent="0.3">
      <c r="A342" t="s">
        <v>723</v>
      </c>
      <c r="B342" t="s">
        <v>724</v>
      </c>
      <c r="C342" t="s">
        <v>9</v>
      </c>
      <c r="D342" t="s">
        <v>22</v>
      </c>
      <c r="E342" t="s">
        <v>73</v>
      </c>
      <c r="F342" t="s">
        <v>24</v>
      </c>
      <c r="G342" t="s">
        <v>56</v>
      </c>
    </row>
    <row r="343" spans="1:7" x14ac:dyDescent="0.3">
      <c r="A343" t="s">
        <v>725</v>
      </c>
      <c r="B343" t="s">
        <v>726</v>
      </c>
      <c r="C343" t="s">
        <v>46</v>
      </c>
      <c r="D343" t="s">
        <v>16</v>
      </c>
      <c r="E343" t="s">
        <v>128</v>
      </c>
      <c r="F343" t="s">
        <v>129</v>
      </c>
      <c r="G343" t="s">
        <v>17</v>
      </c>
    </row>
    <row r="344" spans="1:7" x14ac:dyDescent="0.3">
      <c r="A344" t="s">
        <v>727</v>
      </c>
      <c r="B344" t="s">
        <v>728</v>
      </c>
      <c r="C344" t="s">
        <v>9</v>
      </c>
      <c r="D344" t="s">
        <v>22</v>
      </c>
      <c r="E344" t="s">
        <v>11</v>
      </c>
      <c r="F344" t="s">
        <v>12</v>
      </c>
      <c r="G344" t="s">
        <v>13</v>
      </c>
    </row>
    <row r="345" spans="1:7" x14ac:dyDescent="0.3">
      <c r="A345" t="s">
        <v>729</v>
      </c>
      <c r="B345" t="s">
        <v>730</v>
      </c>
      <c r="C345" t="s">
        <v>39</v>
      </c>
      <c r="D345" t="s">
        <v>10</v>
      </c>
      <c r="E345" t="s">
        <v>147</v>
      </c>
      <c r="F345" t="s">
        <v>98</v>
      </c>
      <c r="G345" t="s">
        <v>13</v>
      </c>
    </row>
    <row r="346" spans="1:7" x14ac:dyDescent="0.3">
      <c r="A346" t="s">
        <v>731</v>
      </c>
      <c r="B346" t="s">
        <v>732</v>
      </c>
      <c r="C346" t="s">
        <v>9</v>
      </c>
      <c r="D346" t="s">
        <v>22</v>
      </c>
      <c r="E346" t="s">
        <v>11</v>
      </c>
      <c r="F346" t="s">
        <v>12</v>
      </c>
      <c r="G346" t="s">
        <v>17</v>
      </c>
    </row>
    <row r="347" spans="1:7" x14ac:dyDescent="0.3">
      <c r="A347" t="s">
        <v>733</v>
      </c>
      <c r="B347" t="s">
        <v>734</v>
      </c>
      <c r="C347" t="s">
        <v>9</v>
      </c>
      <c r="D347" t="s">
        <v>31</v>
      </c>
      <c r="E347" t="s">
        <v>142</v>
      </c>
      <c r="F347" t="s">
        <v>129</v>
      </c>
      <c r="G347" t="s">
        <v>78</v>
      </c>
    </row>
    <row r="348" spans="1:7" x14ac:dyDescent="0.3">
      <c r="A348" t="s">
        <v>735</v>
      </c>
      <c r="B348" t="s">
        <v>736</v>
      </c>
      <c r="C348" t="s">
        <v>9</v>
      </c>
      <c r="D348" t="s">
        <v>16</v>
      </c>
      <c r="E348" t="s">
        <v>97</v>
      </c>
      <c r="F348" t="s">
        <v>98</v>
      </c>
      <c r="G348" t="s">
        <v>56</v>
      </c>
    </row>
    <row r="349" spans="1:7" x14ac:dyDescent="0.3">
      <c r="A349" t="s">
        <v>737</v>
      </c>
      <c r="B349" t="s">
        <v>738</v>
      </c>
      <c r="C349" t="s">
        <v>39</v>
      </c>
      <c r="D349" t="s">
        <v>22</v>
      </c>
      <c r="E349" t="s">
        <v>54</v>
      </c>
      <c r="F349" t="s">
        <v>55</v>
      </c>
      <c r="G349" t="s">
        <v>51</v>
      </c>
    </row>
    <row r="350" spans="1:7" x14ac:dyDescent="0.3">
      <c r="A350" t="s">
        <v>739</v>
      </c>
      <c r="B350" t="s">
        <v>740</v>
      </c>
      <c r="C350" t="s">
        <v>39</v>
      </c>
      <c r="D350" t="s">
        <v>10</v>
      </c>
      <c r="E350" t="s">
        <v>32</v>
      </c>
      <c r="F350" t="s">
        <v>33</v>
      </c>
      <c r="G350" t="s">
        <v>13</v>
      </c>
    </row>
    <row r="351" spans="1:7" x14ac:dyDescent="0.3">
      <c r="A351" t="s">
        <v>741</v>
      </c>
      <c r="B351" t="s">
        <v>742</v>
      </c>
      <c r="C351" t="s">
        <v>9</v>
      </c>
      <c r="D351" t="s">
        <v>16</v>
      </c>
      <c r="E351" t="s">
        <v>11</v>
      </c>
      <c r="F351" t="s">
        <v>12</v>
      </c>
      <c r="G351" t="s">
        <v>78</v>
      </c>
    </row>
    <row r="352" spans="1:7" x14ac:dyDescent="0.3">
      <c r="A352" t="s">
        <v>743</v>
      </c>
      <c r="B352" t="s">
        <v>744</v>
      </c>
      <c r="C352" t="s">
        <v>9</v>
      </c>
      <c r="D352" t="s">
        <v>31</v>
      </c>
      <c r="E352" t="s">
        <v>11</v>
      </c>
      <c r="F352" t="s">
        <v>12</v>
      </c>
      <c r="G352" t="s">
        <v>56</v>
      </c>
    </row>
    <row r="353" spans="1:7" x14ac:dyDescent="0.3">
      <c r="A353" t="s">
        <v>745</v>
      </c>
      <c r="B353" t="s">
        <v>746</v>
      </c>
      <c r="C353" t="s">
        <v>9</v>
      </c>
      <c r="D353" t="s">
        <v>22</v>
      </c>
      <c r="E353" t="s">
        <v>32</v>
      </c>
      <c r="F353" t="s">
        <v>33</v>
      </c>
      <c r="G353" t="s">
        <v>13</v>
      </c>
    </row>
    <row r="354" spans="1:7" x14ac:dyDescent="0.3">
      <c r="A354" t="s">
        <v>747</v>
      </c>
      <c r="B354" t="s">
        <v>748</v>
      </c>
      <c r="C354" t="s">
        <v>39</v>
      </c>
      <c r="D354" t="s">
        <v>10</v>
      </c>
      <c r="E354" t="s">
        <v>40</v>
      </c>
      <c r="F354" t="s">
        <v>41</v>
      </c>
      <c r="G354" t="s">
        <v>17</v>
      </c>
    </row>
    <row r="355" spans="1:7" x14ac:dyDescent="0.3">
      <c r="A355" t="s">
        <v>749</v>
      </c>
      <c r="B355" t="s">
        <v>750</v>
      </c>
      <c r="C355" t="s">
        <v>9</v>
      </c>
      <c r="D355" t="s">
        <v>22</v>
      </c>
      <c r="E355" t="s">
        <v>36</v>
      </c>
      <c r="F355" t="s">
        <v>28</v>
      </c>
      <c r="G355" t="s">
        <v>51</v>
      </c>
    </row>
    <row r="356" spans="1:7" x14ac:dyDescent="0.3">
      <c r="A356" t="s">
        <v>751</v>
      </c>
      <c r="B356" t="s">
        <v>752</v>
      </c>
      <c r="C356" t="s">
        <v>9</v>
      </c>
      <c r="D356" t="s">
        <v>31</v>
      </c>
      <c r="E356" t="s">
        <v>54</v>
      </c>
      <c r="F356" t="s">
        <v>55</v>
      </c>
      <c r="G356" t="s">
        <v>17</v>
      </c>
    </row>
    <row r="357" spans="1:7" x14ac:dyDescent="0.3">
      <c r="A357" t="s">
        <v>753</v>
      </c>
      <c r="B357" t="s">
        <v>754</v>
      </c>
      <c r="C357" t="s">
        <v>9</v>
      </c>
      <c r="D357" t="s">
        <v>22</v>
      </c>
      <c r="E357" t="s">
        <v>32</v>
      </c>
      <c r="F357" t="s">
        <v>33</v>
      </c>
      <c r="G357" t="s">
        <v>13</v>
      </c>
    </row>
    <row r="358" spans="1:7" x14ac:dyDescent="0.3">
      <c r="A358" t="s">
        <v>755</v>
      </c>
      <c r="B358" t="s">
        <v>756</v>
      </c>
      <c r="C358" t="s">
        <v>9</v>
      </c>
      <c r="D358" t="s">
        <v>10</v>
      </c>
      <c r="E358" t="s">
        <v>97</v>
      </c>
      <c r="F358" t="s">
        <v>98</v>
      </c>
      <c r="G358" t="s">
        <v>78</v>
      </c>
    </row>
    <row r="359" spans="1:7" x14ac:dyDescent="0.3">
      <c r="A359" t="s">
        <v>757</v>
      </c>
      <c r="B359" t="s">
        <v>758</v>
      </c>
      <c r="C359" t="s">
        <v>9</v>
      </c>
      <c r="D359" t="s">
        <v>22</v>
      </c>
      <c r="E359" t="s">
        <v>32</v>
      </c>
      <c r="F359" t="s">
        <v>33</v>
      </c>
      <c r="G359" t="s">
        <v>56</v>
      </c>
    </row>
    <row r="360" spans="1:7" x14ac:dyDescent="0.3">
      <c r="A360" t="s">
        <v>759</v>
      </c>
      <c r="B360" t="s">
        <v>760</v>
      </c>
      <c r="C360" t="s">
        <v>39</v>
      </c>
      <c r="D360" t="s">
        <v>22</v>
      </c>
      <c r="E360" t="s">
        <v>32</v>
      </c>
      <c r="F360" t="s">
        <v>33</v>
      </c>
      <c r="G360" t="s">
        <v>56</v>
      </c>
    </row>
    <row r="361" spans="1:7" x14ac:dyDescent="0.3">
      <c r="A361" t="s">
        <v>761</v>
      </c>
      <c r="B361" t="s">
        <v>762</v>
      </c>
      <c r="C361" t="s">
        <v>9</v>
      </c>
      <c r="D361" t="s">
        <v>16</v>
      </c>
      <c r="E361" t="s">
        <v>11</v>
      </c>
      <c r="F361" t="s">
        <v>12</v>
      </c>
      <c r="G361" t="s">
        <v>78</v>
      </c>
    </row>
    <row r="362" spans="1:7" x14ac:dyDescent="0.3">
      <c r="A362" t="s">
        <v>763</v>
      </c>
      <c r="B362" t="s">
        <v>764</v>
      </c>
      <c r="C362" t="s">
        <v>9</v>
      </c>
      <c r="D362" t="s">
        <v>22</v>
      </c>
      <c r="E362" t="s">
        <v>54</v>
      </c>
      <c r="F362" t="s">
        <v>55</v>
      </c>
      <c r="G362" t="s">
        <v>78</v>
      </c>
    </row>
    <row r="363" spans="1:7" x14ac:dyDescent="0.3">
      <c r="A363" t="s">
        <v>765</v>
      </c>
      <c r="B363" t="s">
        <v>766</v>
      </c>
      <c r="C363" t="s">
        <v>9</v>
      </c>
      <c r="D363" t="s">
        <v>16</v>
      </c>
      <c r="E363" t="s">
        <v>97</v>
      </c>
      <c r="F363" t="s">
        <v>98</v>
      </c>
      <c r="G363" t="s">
        <v>13</v>
      </c>
    </row>
    <row r="364" spans="1:7" x14ac:dyDescent="0.3">
      <c r="A364" t="s">
        <v>767</v>
      </c>
      <c r="B364" t="s">
        <v>768</v>
      </c>
      <c r="C364" t="s">
        <v>9</v>
      </c>
      <c r="D364" t="s">
        <v>16</v>
      </c>
      <c r="E364" t="s">
        <v>32</v>
      </c>
      <c r="F364" t="s">
        <v>33</v>
      </c>
      <c r="G364" t="s">
        <v>17</v>
      </c>
    </row>
    <row r="365" spans="1:7" x14ac:dyDescent="0.3">
      <c r="A365" t="s">
        <v>769</v>
      </c>
      <c r="B365" t="s">
        <v>770</v>
      </c>
      <c r="C365" t="s">
        <v>9</v>
      </c>
      <c r="D365" t="s">
        <v>10</v>
      </c>
      <c r="E365" t="s">
        <v>32</v>
      </c>
      <c r="F365" t="s">
        <v>33</v>
      </c>
      <c r="G365" t="s">
        <v>13</v>
      </c>
    </row>
    <row r="366" spans="1:7" x14ac:dyDescent="0.3">
      <c r="A366" t="s">
        <v>771</v>
      </c>
      <c r="B366" t="s">
        <v>772</v>
      </c>
      <c r="C366" t="s">
        <v>46</v>
      </c>
      <c r="D366" t="s">
        <v>31</v>
      </c>
      <c r="E366" t="s">
        <v>32</v>
      </c>
      <c r="F366" t="s">
        <v>33</v>
      </c>
      <c r="G366" t="s">
        <v>13</v>
      </c>
    </row>
    <row r="367" spans="1:7" x14ac:dyDescent="0.3">
      <c r="A367" t="s">
        <v>773</v>
      </c>
      <c r="B367" t="s">
        <v>774</v>
      </c>
      <c r="C367" t="s">
        <v>9</v>
      </c>
      <c r="D367" t="s">
        <v>31</v>
      </c>
      <c r="E367" t="s">
        <v>73</v>
      </c>
      <c r="F367" t="s">
        <v>24</v>
      </c>
      <c r="G367" t="s">
        <v>17</v>
      </c>
    </row>
    <row r="368" spans="1:7" x14ac:dyDescent="0.3">
      <c r="A368" t="s">
        <v>775</v>
      </c>
      <c r="B368" t="s">
        <v>776</v>
      </c>
      <c r="C368" t="s">
        <v>9</v>
      </c>
      <c r="D368" t="s">
        <v>22</v>
      </c>
      <c r="E368" t="s">
        <v>164</v>
      </c>
      <c r="F368" t="s">
        <v>98</v>
      </c>
      <c r="G368" t="s">
        <v>78</v>
      </c>
    </row>
    <row r="369" spans="1:7" x14ac:dyDescent="0.3">
      <c r="A369" t="s">
        <v>777</v>
      </c>
      <c r="B369" t="s">
        <v>778</v>
      </c>
      <c r="C369" t="s">
        <v>9</v>
      </c>
      <c r="D369" t="s">
        <v>31</v>
      </c>
      <c r="E369" t="s">
        <v>11</v>
      </c>
      <c r="F369" t="s">
        <v>12</v>
      </c>
      <c r="G369" t="s">
        <v>78</v>
      </c>
    </row>
    <row r="370" spans="1:7" x14ac:dyDescent="0.3">
      <c r="A370" t="s">
        <v>779</v>
      </c>
      <c r="B370" t="s">
        <v>780</v>
      </c>
      <c r="C370" t="s">
        <v>9</v>
      </c>
      <c r="D370" t="s">
        <v>10</v>
      </c>
      <c r="E370" t="s">
        <v>164</v>
      </c>
      <c r="F370" t="s">
        <v>98</v>
      </c>
      <c r="G370" t="s">
        <v>56</v>
      </c>
    </row>
    <row r="371" spans="1:7" x14ac:dyDescent="0.3">
      <c r="A371" t="s">
        <v>781</v>
      </c>
      <c r="B371" t="s">
        <v>782</v>
      </c>
      <c r="C371" t="s">
        <v>9</v>
      </c>
      <c r="D371" t="s">
        <v>31</v>
      </c>
      <c r="E371" t="s">
        <v>11</v>
      </c>
      <c r="F371" t="s">
        <v>12</v>
      </c>
      <c r="G371" t="s">
        <v>56</v>
      </c>
    </row>
    <row r="372" spans="1:7" x14ac:dyDescent="0.3">
      <c r="A372" t="s">
        <v>783</v>
      </c>
      <c r="B372" t="s">
        <v>784</v>
      </c>
      <c r="C372" t="s">
        <v>39</v>
      </c>
      <c r="D372" t="s">
        <v>10</v>
      </c>
      <c r="E372" t="s">
        <v>40</v>
      </c>
      <c r="F372" t="s">
        <v>41</v>
      </c>
      <c r="G372" t="s">
        <v>78</v>
      </c>
    </row>
    <row r="373" spans="1:7" x14ac:dyDescent="0.3">
      <c r="A373" t="s">
        <v>785</v>
      </c>
      <c r="B373" t="s">
        <v>786</v>
      </c>
      <c r="C373" t="s">
        <v>39</v>
      </c>
      <c r="D373" t="s">
        <v>10</v>
      </c>
      <c r="E373" t="s">
        <v>32</v>
      </c>
      <c r="F373" t="s">
        <v>33</v>
      </c>
      <c r="G373" t="s">
        <v>17</v>
      </c>
    </row>
    <row r="374" spans="1:7" x14ac:dyDescent="0.3">
      <c r="A374" t="s">
        <v>787</v>
      </c>
      <c r="B374" t="s">
        <v>788</v>
      </c>
      <c r="C374" t="s">
        <v>9</v>
      </c>
      <c r="D374" t="s">
        <v>22</v>
      </c>
      <c r="E374" t="s">
        <v>128</v>
      </c>
      <c r="F374" t="s">
        <v>129</v>
      </c>
      <c r="G374" t="s">
        <v>17</v>
      </c>
    </row>
    <row r="375" spans="1:7" x14ac:dyDescent="0.3">
      <c r="A375" t="s">
        <v>789</v>
      </c>
      <c r="B375" t="s">
        <v>790</v>
      </c>
      <c r="C375" t="s">
        <v>9</v>
      </c>
      <c r="D375" t="s">
        <v>31</v>
      </c>
      <c r="E375" t="s">
        <v>101</v>
      </c>
      <c r="F375" t="s">
        <v>62</v>
      </c>
      <c r="G375" t="s">
        <v>56</v>
      </c>
    </row>
    <row r="376" spans="1:7" x14ac:dyDescent="0.3">
      <c r="A376" t="s">
        <v>791</v>
      </c>
      <c r="B376" t="s">
        <v>792</v>
      </c>
      <c r="C376" t="s">
        <v>9</v>
      </c>
      <c r="D376" t="s">
        <v>16</v>
      </c>
      <c r="E376" t="s">
        <v>40</v>
      </c>
      <c r="F376" t="s">
        <v>41</v>
      </c>
      <c r="G376" t="s">
        <v>51</v>
      </c>
    </row>
    <row r="377" spans="1:7" x14ac:dyDescent="0.3">
      <c r="A377" t="s">
        <v>793</v>
      </c>
      <c r="B377" t="s">
        <v>794</v>
      </c>
      <c r="C377" t="s">
        <v>9</v>
      </c>
      <c r="D377" t="s">
        <v>31</v>
      </c>
      <c r="E377" t="s">
        <v>36</v>
      </c>
      <c r="F377" t="s">
        <v>28</v>
      </c>
      <c r="G377" t="s">
        <v>13</v>
      </c>
    </row>
    <row r="378" spans="1:7" x14ac:dyDescent="0.3">
      <c r="A378" t="s">
        <v>795</v>
      </c>
      <c r="B378" t="s">
        <v>796</v>
      </c>
      <c r="C378" t="s">
        <v>9</v>
      </c>
      <c r="D378" t="s">
        <v>10</v>
      </c>
      <c r="E378" t="s">
        <v>11</v>
      </c>
      <c r="F378" t="s">
        <v>12</v>
      </c>
      <c r="G378" t="s">
        <v>78</v>
      </c>
    </row>
    <row r="379" spans="1:7" x14ac:dyDescent="0.3">
      <c r="A379" t="s">
        <v>797</v>
      </c>
      <c r="B379" t="s">
        <v>798</v>
      </c>
      <c r="C379" t="s">
        <v>9</v>
      </c>
      <c r="D379" t="s">
        <v>10</v>
      </c>
      <c r="E379" t="s">
        <v>142</v>
      </c>
      <c r="F379" t="s">
        <v>129</v>
      </c>
      <c r="G379" t="s">
        <v>78</v>
      </c>
    </row>
    <row r="380" spans="1:7" x14ac:dyDescent="0.3">
      <c r="A380" t="s">
        <v>799</v>
      </c>
      <c r="B380" t="s">
        <v>800</v>
      </c>
      <c r="C380" t="s">
        <v>9</v>
      </c>
      <c r="D380" t="s">
        <v>10</v>
      </c>
      <c r="E380" t="s">
        <v>32</v>
      </c>
      <c r="F380" t="s">
        <v>33</v>
      </c>
      <c r="G380" t="s">
        <v>51</v>
      </c>
    </row>
    <row r="381" spans="1:7" x14ac:dyDescent="0.3">
      <c r="A381" t="s">
        <v>801</v>
      </c>
      <c r="B381" t="s">
        <v>802</v>
      </c>
      <c r="C381" t="s">
        <v>9</v>
      </c>
      <c r="D381" t="s">
        <v>16</v>
      </c>
      <c r="E381" t="s">
        <v>32</v>
      </c>
      <c r="F381" t="s">
        <v>33</v>
      </c>
      <c r="G381" t="s">
        <v>17</v>
      </c>
    </row>
    <row r="382" spans="1:7" x14ac:dyDescent="0.3">
      <c r="A382" t="s">
        <v>803</v>
      </c>
      <c r="B382" t="s">
        <v>804</v>
      </c>
      <c r="C382" t="s">
        <v>9</v>
      </c>
      <c r="D382" t="s">
        <v>16</v>
      </c>
      <c r="E382" t="s">
        <v>142</v>
      </c>
      <c r="F382" t="s">
        <v>129</v>
      </c>
      <c r="G382" t="s">
        <v>51</v>
      </c>
    </row>
    <row r="383" spans="1:7" x14ac:dyDescent="0.3">
      <c r="A383" t="s">
        <v>805</v>
      </c>
      <c r="B383" t="s">
        <v>806</v>
      </c>
      <c r="C383" t="s">
        <v>9</v>
      </c>
      <c r="D383" t="s">
        <v>16</v>
      </c>
      <c r="E383" t="s">
        <v>61</v>
      </c>
      <c r="F383" t="s">
        <v>62</v>
      </c>
      <c r="G383" t="s">
        <v>13</v>
      </c>
    </row>
    <row r="384" spans="1:7" x14ac:dyDescent="0.3">
      <c r="A384" t="s">
        <v>807</v>
      </c>
      <c r="B384" t="s">
        <v>808</v>
      </c>
      <c r="C384" t="s">
        <v>9</v>
      </c>
      <c r="D384" t="s">
        <v>10</v>
      </c>
      <c r="E384" t="s">
        <v>40</v>
      </c>
      <c r="F384" t="s">
        <v>41</v>
      </c>
      <c r="G384" t="s">
        <v>17</v>
      </c>
    </row>
    <row r="385" spans="1:7" x14ac:dyDescent="0.3">
      <c r="A385" t="s">
        <v>809</v>
      </c>
      <c r="B385" t="s">
        <v>810</v>
      </c>
      <c r="C385" t="s">
        <v>9</v>
      </c>
      <c r="D385" t="s">
        <v>16</v>
      </c>
      <c r="E385" t="s">
        <v>54</v>
      </c>
      <c r="F385" t="s">
        <v>55</v>
      </c>
      <c r="G385" t="s">
        <v>17</v>
      </c>
    </row>
    <row r="386" spans="1:7" x14ac:dyDescent="0.3">
      <c r="A386" t="s">
        <v>811</v>
      </c>
      <c r="B386" t="s">
        <v>812</v>
      </c>
      <c r="C386" t="s">
        <v>9</v>
      </c>
      <c r="D386" t="s">
        <v>31</v>
      </c>
      <c r="E386" t="s">
        <v>23</v>
      </c>
      <c r="F386" t="s">
        <v>24</v>
      </c>
      <c r="G386" t="s">
        <v>56</v>
      </c>
    </row>
    <row r="387" spans="1:7" x14ac:dyDescent="0.3">
      <c r="A387" t="s">
        <v>813</v>
      </c>
      <c r="B387" t="s">
        <v>814</v>
      </c>
      <c r="C387" t="s">
        <v>39</v>
      </c>
      <c r="D387" t="s">
        <v>10</v>
      </c>
      <c r="E387" t="s">
        <v>61</v>
      </c>
      <c r="F387" t="s">
        <v>62</v>
      </c>
      <c r="G387" t="s">
        <v>78</v>
      </c>
    </row>
    <row r="388" spans="1:7" x14ac:dyDescent="0.3">
      <c r="A388" t="s">
        <v>815</v>
      </c>
      <c r="B388" t="s">
        <v>816</v>
      </c>
      <c r="C388" t="s">
        <v>39</v>
      </c>
      <c r="D388" t="s">
        <v>10</v>
      </c>
      <c r="E388" t="s">
        <v>36</v>
      </c>
      <c r="F388" t="s">
        <v>28</v>
      </c>
      <c r="G388" t="s">
        <v>78</v>
      </c>
    </row>
    <row r="389" spans="1:7" x14ac:dyDescent="0.3">
      <c r="A389" t="s">
        <v>817</v>
      </c>
      <c r="B389" t="s">
        <v>818</v>
      </c>
      <c r="C389" t="s">
        <v>9</v>
      </c>
      <c r="D389" t="s">
        <v>31</v>
      </c>
      <c r="E389" t="s">
        <v>11</v>
      </c>
      <c r="F389" t="s">
        <v>12</v>
      </c>
      <c r="G389" t="s">
        <v>78</v>
      </c>
    </row>
    <row r="390" spans="1:7" x14ac:dyDescent="0.3">
      <c r="A390" t="s">
        <v>819</v>
      </c>
      <c r="B390" t="s">
        <v>820</v>
      </c>
      <c r="C390" t="s">
        <v>9</v>
      </c>
      <c r="D390" t="s">
        <v>16</v>
      </c>
      <c r="E390" t="s">
        <v>97</v>
      </c>
      <c r="F390" t="s">
        <v>98</v>
      </c>
      <c r="G390" t="s">
        <v>56</v>
      </c>
    </row>
    <row r="391" spans="1:7" x14ac:dyDescent="0.3">
      <c r="A391" t="s">
        <v>821</v>
      </c>
      <c r="B391" t="s">
        <v>822</v>
      </c>
      <c r="C391" t="s">
        <v>39</v>
      </c>
      <c r="D391" t="s">
        <v>10</v>
      </c>
      <c r="E391" t="s">
        <v>23</v>
      </c>
      <c r="F391" t="s">
        <v>24</v>
      </c>
      <c r="G391" t="s">
        <v>56</v>
      </c>
    </row>
    <row r="392" spans="1:7" x14ac:dyDescent="0.3">
      <c r="A392" t="s">
        <v>823</v>
      </c>
      <c r="B392" t="s">
        <v>824</v>
      </c>
      <c r="C392" t="s">
        <v>9</v>
      </c>
      <c r="D392" t="s">
        <v>22</v>
      </c>
      <c r="E392" t="s">
        <v>73</v>
      </c>
      <c r="F392" t="s">
        <v>24</v>
      </c>
      <c r="G392" t="s">
        <v>17</v>
      </c>
    </row>
    <row r="393" spans="1:7" x14ac:dyDescent="0.3">
      <c r="A393" t="s">
        <v>825</v>
      </c>
      <c r="B393" t="s">
        <v>826</v>
      </c>
      <c r="C393" t="s">
        <v>9</v>
      </c>
      <c r="D393" t="s">
        <v>16</v>
      </c>
      <c r="E393" t="s">
        <v>27</v>
      </c>
      <c r="F393" t="s">
        <v>28</v>
      </c>
      <c r="G393" t="s">
        <v>51</v>
      </c>
    </row>
    <row r="394" spans="1:7" x14ac:dyDescent="0.3">
      <c r="A394" t="s">
        <v>827</v>
      </c>
      <c r="B394" t="s">
        <v>828</v>
      </c>
      <c r="C394" t="s">
        <v>9</v>
      </c>
      <c r="D394" t="s">
        <v>22</v>
      </c>
      <c r="E394" t="s">
        <v>128</v>
      </c>
      <c r="F394" t="s">
        <v>129</v>
      </c>
      <c r="G394" t="s">
        <v>78</v>
      </c>
    </row>
    <row r="395" spans="1:7" x14ac:dyDescent="0.3">
      <c r="A395" t="s">
        <v>829</v>
      </c>
      <c r="B395" t="s">
        <v>830</v>
      </c>
      <c r="C395" t="s">
        <v>39</v>
      </c>
      <c r="D395" t="s">
        <v>31</v>
      </c>
      <c r="E395" t="s">
        <v>32</v>
      </c>
      <c r="F395" t="s">
        <v>33</v>
      </c>
      <c r="G395" t="s">
        <v>17</v>
      </c>
    </row>
    <row r="396" spans="1:7" x14ac:dyDescent="0.3">
      <c r="A396" t="s">
        <v>831</v>
      </c>
      <c r="B396" t="s">
        <v>832</v>
      </c>
      <c r="C396" t="s">
        <v>9</v>
      </c>
      <c r="D396" t="s">
        <v>16</v>
      </c>
      <c r="E396" t="s">
        <v>27</v>
      </c>
      <c r="F396" t="s">
        <v>28</v>
      </c>
      <c r="G396" t="s">
        <v>56</v>
      </c>
    </row>
    <row r="397" spans="1:7" x14ac:dyDescent="0.3">
      <c r="A397" t="s">
        <v>833</v>
      </c>
      <c r="B397" t="s">
        <v>834</v>
      </c>
      <c r="C397" t="s">
        <v>9</v>
      </c>
      <c r="D397" t="s">
        <v>16</v>
      </c>
      <c r="E397" t="s">
        <v>23</v>
      </c>
      <c r="F397" t="s">
        <v>24</v>
      </c>
      <c r="G397" t="s">
        <v>56</v>
      </c>
    </row>
    <row r="398" spans="1:7" x14ac:dyDescent="0.3">
      <c r="A398" t="s">
        <v>835</v>
      </c>
      <c r="B398" t="s">
        <v>836</v>
      </c>
      <c r="C398" t="s">
        <v>9</v>
      </c>
      <c r="D398" t="s">
        <v>10</v>
      </c>
      <c r="E398" t="s">
        <v>40</v>
      </c>
      <c r="F398" t="s">
        <v>41</v>
      </c>
      <c r="G398" t="s">
        <v>51</v>
      </c>
    </row>
    <row r="399" spans="1:7" x14ac:dyDescent="0.3">
      <c r="A399" t="s">
        <v>837</v>
      </c>
      <c r="B399" t="s">
        <v>838</v>
      </c>
      <c r="C399" t="s">
        <v>39</v>
      </c>
      <c r="D399" t="s">
        <v>10</v>
      </c>
      <c r="E399" t="s">
        <v>142</v>
      </c>
      <c r="F399" t="s">
        <v>129</v>
      </c>
      <c r="G399" t="s">
        <v>78</v>
      </c>
    </row>
    <row r="400" spans="1:7" x14ac:dyDescent="0.3">
      <c r="A400" t="s">
        <v>839</v>
      </c>
      <c r="B400" t="s">
        <v>840</v>
      </c>
      <c r="C400" t="s">
        <v>9</v>
      </c>
      <c r="D400" t="s">
        <v>22</v>
      </c>
      <c r="E400" t="s">
        <v>40</v>
      </c>
      <c r="F400" t="s">
        <v>41</v>
      </c>
      <c r="G400" t="s">
        <v>51</v>
      </c>
    </row>
    <row r="401" spans="1:7" x14ac:dyDescent="0.3">
      <c r="A401" t="s">
        <v>841</v>
      </c>
      <c r="B401" t="s">
        <v>842</v>
      </c>
      <c r="C401" t="s">
        <v>9</v>
      </c>
      <c r="D401" t="s">
        <v>31</v>
      </c>
      <c r="E401" t="s">
        <v>164</v>
      </c>
      <c r="F401" t="s">
        <v>98</v>
      </c>
      <c r="G401" t="s">
        <v>51</v>
      </c>
    </row>
    <row r="402" spans="1:7" x14ac:dyDescent="0.3">
      <c r="A402" t="s">
        <v>843</v>
      </c>
      <c r="B402" t="s">
        <v>844</v>
      </c>
      <c r="C402" t="s">
        <v>9</v>
      </c>
      <c r="D402" t="s">
        <v>22</v>
      </c>
      <c r="E402" t="s">
        <v>164</v>
      </c>
      <c r="F402" t="s">
        <v>98</v>
      </c>
      <c r="G402" t="s">
        <v>78</v>
      </c>
    </row>
    <row r="403" spans="1:7" x14ac:dyDescent="0.3">
      <c r="A403" t="s">
        <v>845</v>
      </c>
      <c r="B403" t="s">
        <v>846</v>
      </c>
      <c r="C403" t="s">
        <v>9</v>
      </c>
      <c r="D403" t="s">
        <v>31</v>
      </c>
      <c r="E403" t="s">
        <v>32</v>
      </c>
      <c r="F403" t="s">
        <v>33</v>
      </c>
      <c r="G403" t="s">
        <v>17</v>
      </c>
    </row>
    <row r="404" spans="1:7" x14ac:dyDescent="0.3">
      <c r="A404" t="s">
        <v>847</v>
      </c>
      <c r="B404" t="s">
        <v>848</v>
      </c>
      <c r="C404" t="s">
        <v>9</v>
      </c>
      <c r="D404" t="s">
        <v>16</v>
      </c>
      <c r="E404" t="s">
        <v>54</v>
      </c>
      <c r="F404" t="s">
        <v>55</v>
      </c>
      <c r="G404" t="s">
        <v>17</v>
      </c>
    </row>
    <row r="405" spans="1:7" x14ac:dyDescent="0.3">
      <c r="A405" t="s">
        <v>849</v>
      </c>
      <c r="B405" t="s">
        <v>850</v>
      </c>
      <c r="C405" t="s">
        <v>9</v>
      </c>
      <c r="D405" t="s">
        <v>16</v>
      </c>
      <c r="E405" t="s">
        <v>27</v>
      </c>
      <c r="F405" t="s">
        <v>28</v>
      </c>
      <c r="G405" t="s">
        <v>51</v>
      </c>
    </row>
    <row r="406" spans="1:7" x14ac:dyDescent="0.3">
      <c r="A406" t="s">
        <v>851</v>
      </c>
      <c r="B406" t="s">
        <v>852</v>
      </c>
      <c r="C406" t="s">
        <v>9</v>
      </c>
      <c r="D406" t="s">
        <v>22</v>
      </c>
      <c r="E406" t="s">
        <v>11</v>
      </c>
      <c r="F406" t="s">
        <v>12</v>
      </c>
      <c r="G406" t="s">
        <v>13</v>
      </c>
    </row>
    <row r="407" spans="1:7" x14ac:dyDescent="0.3">
      <c r="A407" t="s">
        <v>853</v>
      </c>
      <c r="B407" t="s">
        <v>854</v>
      </c>
      <c r="C407" t="s">
        <v>46</v>
      </c>
      <c r="D407" t="s">
        <v>10</v>
      </c>
      <c r="E407" t="s">
        <v>147</v>
      </c>
      <c r="F407" t="s">
        <v>98</v>
      </c>
      <c r="G407" t="s">
        <v>13</v>
      </c>
    </row>
    <row r="408" spans="1:7" x14ac:dyDescent="0.3">
      <c r="A408" t="s">
        <v>855</v>
      </c>
      <c r="B408" t="s">
        <v>856</v>
      </c>
      <c r="C408" t="s">
        <v>9</v>
      </c>
      <c r="D408" t="s">
        <v>16</v>
      </c>
      <c r="E408" t="s">
        <v>23</v>
      </c>
      <c r="F408" t="s">
        <v>24</v>
      </c>
      <c r="G408" t="s">
        <v>13</v>
      </c>
    </row>
    <row r="409" spans="1:7" x14ac:dyDescent="0.3">
      <c r="A409" t="s">
        <v>857</v>
      </c>
      <c r="B409" t="s">
        <v>858</v>
      </c>
      <c r="C409" t="s">
        <v>9</v>
      </c>
      <c r="D409" t="s">
        <v>22</v>
      </c>
      <c r="E409" t="s">
        <v>97</v>
      </c>
      <c r="F409" t="s">
        <v>98</v>
      </c>
      <c r="G409" t="s">
        <v>13</v>
      </c>
    </row>
    <row r="410" spans="1:7" x14ac:dyDescent="0.3">
      <c r="A410" t="s">
        <v>859</v>
      </c>
      <c r="B410" t="s">
        <v>860</v>
      </c>
      <c r="C410" t="s">
        <v>46</v>
      </c>
      <c r="D410" t="s">
        <v>10</v>
      </c>
      <c r="E410" t="s">
        <v>23</v>
      </c>
      <c r="F410" t="s">
        <v>24</v>
      </c>
      <c r="G410" t="s">
        <v>17</v>
      </c>
    </row>
    <row r="411" spans="1:7" x14ac:dyDescent="0.3">
      <c r="A411" t="s">
        <v>861</v>
      </c>
      <c r="B411" t="s">
        <v>862</v>
      </c>
      <c r="C411" t="s">
        <v>9</v>
      </c>
      <c r="D411" t="s">
        <v>22</v>
      </c>
      <c r="E411" t="s">
        <v>23</v>
      </c>
      <c r="F411" t="s">
        <v>24</v>
      </c>
      <c r="G411" t="s">
        <v>78</v>
      </c>
    </row>
    <row r="412" spans="1:7" x14ac:dyDescent="0.3">
      <c r="A412" t="s">
        <v>863</v>
      </c>
      <c r="B412" t="s">
        <v>864</v>
      </c>
      <c r="C412" t="s">
        <v>9</v>
      </c>
      <c r="D412" t="s">
        <v>31</v>
      </c>
      <c r="E412" t="s">
        <v>32</v>
      </c>
      <c r="F412" t="s">
        <v>33</v>
      </c>
      <c r="G412" t="s">
        <v>13</v>
      </c>
    </row>
    <row r="413" spans="1:7" x14ac:dyDescent="0.3">
      <c r="A413" t="s">
        <v>865</v>
      </c>
      <c r="B413" t="s">
        <v>866</v>
      </c>
      <c r="C413" t="s">
        <v>39</v>
      </c>
      <c r="D413" t="s">
        <v>22</v>
      </c>
      <c r="E413" t="s">
        <v>73</v>
      </c>
      <c r="F413" t="s">
        <v>24</v>
      </c>
      <c r="G413" t="s">
        <v>13</v>
      </c>
    </row>
    <row r="414" spans="1:7" x14ac:dyDescent="0.3">
      <c r="A414" t="s">
        <v>867</v>
      </c>
      <c r="B414" t="s">
        <v>868</v>
      </c>
      <c r="C414" t="s">
        <v>9</v>
      </c>
      <c r="D414" t="s">
        <v>31</v>
      </c>
      <c r="E414" t="s">
        <v>164</v>
      </c>
      <c r="F414" t="s">
        <v>98</v>
      </c>
      <c r="G414" t="s">
        <v>56</v>
      </c>
    </row>
    <row r="415" spans="1:7" x14ac:dyDescent="0.3">
      <c r="A415" t="s">
        <v>869</v>
      </c>
      <c r="B415" t="s">
        <v>870</v>
      </c>
      <c r="C415" t="s">
        <v>9</v>
      </c>
      <c r="D415" t="s">
        <v>10</v>
      </c>
      <c r="E415" t="s">
        <v>32</v>
      </c>
      <c r="F415" t="s">
        <v>33</v>
      </c>
      <c r="G415" t="s">
        <v>56</v>
      </c>
    </row>
    <row r="416" spans="1:7" x14ac:dyDescent="0.3">
      <c r="A416" t="s">
        <v>871</v>
      </c>
      <c r="B416" t="s">
        <v>872</v>
      </c>
      <c r="C416" t="s">
        <v>9</v>
      </c>
      <c r="D416" t="s">
        <v>31</v>
      </c>
      <c r="E416" t="s">
        <v>61</v>
      </c>
      <c r="F416" t="s">
        <v>62</v>
      </c>
      <c r="G416" t="s">
        <v>78</v>
      </c>
    </row>
    <row r="417" spans="1:7" x14ac:dyDescent="0.3">
      <c r="A417" t="s">
        <v>873</v>
      </c>
      <c r="B417" t="s">
        <v>874</v>
      </c>
      <c r="C417" t="s">
        <v>9</v>
      </c>
      <c r="D417" t="s">
        <v>16</v>
      </c>
      <c r="E417" t="s">
        <v>40</v>
      </c>
      <c r="F417" t="s">
        <v>41</v>
      </c>
      <c r="G417" t="s">
        <v>51</v>
      </c>
    </row>
    <row r="418" spans="1:7" x14ac:dyDescent="0.3">
      <c r="A418" t="s">
        <v>875</v>
      </c>
      <c r="B418" t="s">
        <v>876</v>
      </c>
      <c r="C418" t="s">
        <v>9</v>
      </c>
      <c r="D418" t="s">
        <v>22</v>
      </c>
      <c r="E418" t="s">
        <v>40</v>
      </c>
      <c r="F418" t="s">
        <v>41</v>
      </c>
      <c r="G418" t="s">
        <v>56</v>
      </c>
    </row>
    <row r="419" spans="1:7" x14ac:dyDescent="0.3">
      <c r="A419" t="s">
        <v>877</v>
      </c>
      <c r="B419" t="s">
        <v>878</v>
      </c>
      <c r="C419" t="s">
        <v>9</v>
      </c>
      <c r="D419" t="s">
        <v>10</v>
      </c>
      <c r="E419" t="s">
        <v>164</v>
      </c>
      <c r="F419" t="s">
        <v>98</v>
      </c>
      <c r="G419" t="s">
        <v>56</v>
      </c>
    </row>
    <row r="420" spans="1:7" x14ac:dyDescent="0.3">
      <c r="A420" t="s">
        <v>879</v>
      </c>
      <c r="B420" t="s">
        <v>880</v>
      </c>
      <c r="C420" t="s">
        <v>9</v>
      </c>
      <c r="D420" t="s">
        <v>22</v>
      </c>
      <c r="E420" t="s">
        <v>147</v>
      </c>
      <c r="F420" t="s">
        <v>98</v>
      </c>
      <c r="G420" t="s">
        <v>17</v>
      </c>
    </row>
    <row r="421" spans="1:7" x14ac:dyDescent="0.3">
      <c r="A421" t="s">
        <v>881</v>
      </c>
      <c r="B421" t="s">
        <v>882</v>
      </c>
      <c r="C421" t="s">
        <v>9</v>
      </c>
      <c r="D421" t="s">
        <v>22</v>
      </c>
      <c r="E421" t="s">
        <v>54</v>
      </c>
      <c r="F421" t="s">
        <v>55</v>
      </c>
      <c r="G421" t="s">
        <v>13</v>
      </c>
    </row>
    <row r="422" spans="1:7" x14ac:dyDescent="0.3">
      <c r="A422" t="s">
        <v>883</v>
      </c>
      <c r="B422" t="s">
        <v>884</v>
      </c>
      <c r="C422" t="s">
        <v>9</v>
      </c>
      <c r="D422" t="s">
        <v>16</v>
      </c>
      <c r="E422" t="s">
        <v>36</v>
      </c>
      <c r="F422" t="s">
        <v>28</v>
      </c>
      <c r="G422" t="s">
        <v>13</v>
      </c>
    </row>
    <row r="423" spans="1:7" x14ac:dyDescent="0.3">
      <c r="A423" t="s">
        <v>885</v>
      </c>
      <c r="B423" t="s">
        <v>886</v>
      </c>
      <c r="C423" t="s">
        <v>9</v>
      </c>
      <c r="D423" t="s">
        <v>31</v>
      </c>
      <c r="E423" t="s">
        <v>11</v>
      </c>
      <c r="F423" t="s">
        <v>12</v>
      </c>
      <c r="G423" t="s">
        <v>17</v>
      </c>
    </row>
    <row r="424" spans="1:7" x14ac:dyDescent="0.3">
      <c r="A424" t="s">
        <v>887</v>
      </c>
      <c r="B424" t="s">
        <v>888</v>
      </c>
      <c r="C424" t="s">
        <v>39</v>
      </c>
      <c r="D424" t="s">
        <v>22</v>
      </c>
      <c r="E424" t="s">
        <v>54</v>
      </c>
      <c r="F424" t="s">
        <v>55</v>
      </c>
      <c r="G424" t="s">
        <v>13</v>
      </c>
    </row>
    <row r="425" spans="1:7" x14ac:dyDescent="0.3">
      <c r="A425" t="s">
        <v>889</v>
      </c>
      <c r="B425" t="s">
        <v>890</v>
      </c>
      <c r="C425" t="s">
        <v>9</v>
      </c>
      <c r="D425" t="s">
        <v>22</v>
      </c>
      <c r="E425" t="s">
        <v>101</v>
      </c>
      <c r="F425" t="s">
        <v>62</v>
      </c>
      <c r="G425" t="s">
        <v>51</v>
      </c>
    </row>
    <row r="426" spans="1:7" x14ac:dyDescent="0.3">
      <c r="A426" t="s">
        <v>891</v>
      </c>
      <c r="B426" t="s">
        <v>892</v>
      </c>
      <c r="C426" t="s">
        <v>9</v>
      </c>
      <c r="D426" t="s">
        <v>22</v>
      </c>
      <c r="E426" t="s">
        <v>54</v>
      </c>
      <c r="F426" t="s">
        <v>55</v>
      </c>
      <c r="G426" t="s">
        <v>78</v>
      </c>
    </row>
    <row r="427" spans="1:7" x14ac:dyDescent="0.3">
      <c r="A427" t="s">
        <v>893</v>
      </c>
      <c r="B427" t="s">
        <v>894</v>
      </c>
      <c r="C427" t="s">
        <v>9</v>
      </c>
      <c r="D427" t="s">
        <v>16</v>
      </c>
      <c r="E427" t="s">
        <v>54</v>
      </c>
      <c r="F427" t="s">
        <v>55</v>
      </c>
      <c r="G427" t="s">
        <v>13</v>
      </c>
    </row>
    <row r="428" spans="1:7" x14ac:dyDescent="0.3">
      <c r="A428" t="s">
        <v>895</v>
      </c>
      <c r="B428" t="s">
        <v>896</v>
      </c>
      <c r="C428" t="s">
        <v>9</v>
      </c>
      <c r="D428" t="s">
        <v>22</v>
      </c>
      <c r="E428" t="s">
        <v>54</v>
      </c>
      <c r="F428" t="s">
        <v>55</v>
      </c>
      <c r="G428" t="s">
        <v>17</v>
      </c>
    </row>
    <row r="429" spans="1:7" x14ac:dyDescent="0.3">
      <c r="A429" t="s">
        <v>897</v>
      </c>
      <c r="B429" t="s">
        <v>898</v>
      </c>
      <c r="C429" t="s">
        <v>9</v>
      </c>
      <c r="D429" t="s">
        <v>16</v>
      </c>
      <c r="E429" t="s">
        <v>11</v>
      </c>
      <c r="F429" t="s">
        <v>12</v>
      </c>
      <c r="G429" t="s">
        <v>51</v>
      </c>
    </row>
    <row r="430" spans="1:7" x14ac:dyDescent="0.3">
      <c r="A430" t="s">
        <v>899</v>
      </c>
      <c r="B430" t="s">
        <v>900</v>
      </c>
      <c r="C430" t="s">
        <v>9</v>
      </c>
      <c r="D430" t="s">
        <v>10</v>
      </c>
      <c r="E430" t="s">
        <v>32</v>
      </c>
      <c r="F430" t="s">
        <v>33</v>
      </c>
      <c r="G430" t="s">
        <v>13</v>
      </c>
    </row>
    <row r="431" spans="1:7" x14ac:dyDescent="0.3">
      <c r="A431" t="s">
        <v>901</v>
      </c>
      <c r="B431" t="s">
        <v>902</v>
      </c>
      <c r="C431" t="s">
        <v>39</v>
      </c>
      <c r="D431" t="s">
        <v>31</v>
      </c>
      <c r="E431" t="s">
        <v>142</v>
      </c>
      <c r="F431" t="s">
        <v>129</v>
      </c>
      <c r="G431" t="s">
        <v>51</v>
      </c>
    </row>
    <row r="432" spans="1:7" x14ac:dyDescent="0.3">
      <c r="A432" t="s">
        <v>903</v>
      </c>
      <c r="B432" t="s">
        <v>904</v>
      </c>
      <c r="C432" t="s">
        <v>9</v>
      </c>
      <c r="D432" t="s">
        <v>22</v>
      </c>
      <c r="E432" t="s">
        <v>11</v>
      </c>
      <c r="F432" t="s">
        <v>12</v>
      </c>
      <c r="G432" t="s">
        <v>78</v>
      </c>
    </row>
    <row r="433" spans="1:7" x14ac:dyDescent="0.3">
      <c r="A433" t="s">
        <v>905</v>
      </c>
      <c r="B433" t="s">
        <v>906</v>
      </c>
      <c r="C433" t="s">
        <v>9</v>
      </c>
      <c r="D433" t="s">
        <v>10</v>
      </c>
      <c r="E433" t="s">
        <v>27</v>
      </c>
      <c r="F433" t="s">
        <v>28</v>
      </c>
      <c r="G433" t="s">
        <v>17</v>
      </c>
    </row>
    <row r="434" spans="1:7" x14ac:dyDescent="0.3">
      <c r="A434" t="s">
        <v>907</v>
      </c>
      <c r="B434" t="s">
        <v>908</v>
      </c>
      <c r="C434" t="s">
        <v>9</v>
      </c>
      <c r="D434" t="s">
        <v>10</v>
      </c>
      <c r="E434" t="s">
        <v>128</v>
      </c>
      <c r="F434" t="s">
        <v>129</v>
      </c>
      <c r="G434" t="s">
        <v>56</v>
      </c>
    </row>
    <row r="435" spans="1:7" x14ac:dyDescent="0.3">
      <c r="A435" t="s">
        <v>909</v>
      </c>
      <c r="B435" t="s">
        <v>910</v>
      </c>
      <c r="C435" t="s">
        <v>9</v>
      </c>
      <c r="D435" t="s">
        <v>16</v>
      </c>
      <c r="E435" t="s">
        <v>101</v>
      </c>
      <c r="F435" t="s">
        <v>62</v>
      </c>
      <c r="G435" t="s">
        <v>13</v>
      </c>
    </row>
    <row r="436" spans="1:7" x14ac:dyDescent="0.3">
      <c r="A436" t="s">
        <v>911</v>
      </c>
      <c r="B436" t="s">
        <v>912</v>
      </c>
      <c r="C436" t="s">
        <v>9</v>
      </c>
      <c r="D436" t="s">
        <v>31</v>
      </c>
      <c r="E436" t="s">
        <v>32</v>
      </c>
      <c r="F436" t="s">
        <v>33</v>
      </c>
      <c r="G436" t="s">
        <v>56</v>
      </c>
    </row>
    <row r="437" spans="1:7" x14ac:dyDescent="0.3">
      <c r="A437" t="s">
        <v>913</v>
      </c>
      <c r="B437" t="s">
        <v>914</v>
      </c>
      <c r="C437" t="s">
        <v>9</v>
      </c>
      <c r="D437" t="s">
        <v>10</v>
      </c>
      <c r="E437" t="s">
        <v>27</v>
      </c>
      <c r="F437" t="s">
        <v>28</v>
      </c>
      <c r="G437" t="s">
        <v>78</v>
      </c>
    </row>
    <row r="438" spans="1:7" x14ac:dyDescent="0.3">
      <c r="A438" t="s">
        <v>915</v>
      </c>
      <c r="B438" t="s">
        <v>916</v>
      </c>
      <c r="C438" t="s">
        <v>39</v>
      </c>
      <c r="D438" t="s">
        <v>22</v>
      </c>
      <c r="E438" t="s">
        <v>73</v>
      </c>
      <c r="F438" t="s">
        <v>24</v>
      </c>
      <c r="G438" t="s">
        <v>17</v>
      </c>
    </row>
    <row r="439" spans="1:7" x14ac:dyDescent="0.3">
      <c r="A439" t="s">
        <v>917</v>
      </c>
      <c r="B439" t="s">
        <v>918</v>
      </c>
      <c r="C439" t="s">
        <v>9</v>
      </c>
      <c r="D439" t="s">
        <v>22</v>
      </c>
      <c r="E439" t="s">
        <v>23</v>
      </c>
      <c r="F439" t="s">
        <v>24</v>
      </c>
      <c r="G439" t="s">
        <v>13</v>
      </c>
    </row>
    <row r="440" spans="1:7" x14ac:dyDescent="0.3">
      <c r="A440" t="s">
        <v>919</v>
      </c>
      <c r="B440" t="s">
        <v>920</v>
      </c>
      <c r="C440" t="s">
        <v>39</v>
      </c>
      <c r="D440" t="s">
        <v>22</v>
      </c>
      <c r="E440" t="s">
        <v>23</v>
      </c>
      <c r="F440" t="s">
        <v>24</v>
      </c>
      <c r="G440" t="s">
        <v>17</v>
      </c>
    </row>
    <row r="441" spans="1:7" x14ac:dyDescent="0.3">
      <c r="A441" t="s">
        <v>921</v>
      </c>
      <c r="B441" t="s">
        <v>922</v>
      </c>
      <c r="C441" t="s">
        <v>9</v>
      </c>
      <c r="D441" t="s">
        <v>31</v>
      </c>
      <c r="E441" t="s">
        <v>142</v>
      </c>
      <c r="F441" t="s">
        <v>129</v>
      </c>
      <c r="G441" t="s">
        <v>13</v>
      </c>
    </row>
    <row r="442" spans="1:7" x14ac:dyDescent="0.3">
      <c r="A442" t="s">
        <v>923</v>
      </c>
      <c r="B442" t="s">
        <v>924</v>
      </c>
      <c r="C442" t="s">
        <v>9</v>
      </c>
      <c r="D442" t="s">
        <v>31</v>
      </c>
      <c r="E442" t="s">
        <v>32</v>
      </c>
      <c r="F442" t="s">
        <v>33</v>
      </c>
      <c r="G442" t="s">
        <v>56</v>
      </c>
    </row>
    <row r="443" spans="1:7" x14ac:dyDescent="0.3">
      <c r="A443" t="s">
        <v>925</v>
      </c>
      <c r="B443" t="s">
        <v>926</v>
      </c>
      <c r="C443" t="s">
        <v>39</v>
      </c>
      <c r="D443" t="s">
        <v>10</v>
      </c>
      <c r="E443" t="s">
        <v>32</v>
      </c>
      <c r="F443" t="s">
        <v>33</v>
      </c>
      <c r="G443" t="s">
        <v>78</v>
      </c>
    </row>
    <row r="444" spans="1:7" x14ac:dyDescent="0.3">
      <c r="A444" t="s">
        <v>927</v>
      </c>
      <c r="B444" t="s">
        <v>928</v>
      </c>
      <c r="C444" t="s">
        <v>9</v>
      </c>
      <c r="D444" t="s">
        <v>31</v>
      </c>
      <c r="E444" t="s">
        <v>142</v>
      </c>
      <c r="F444" t="s">
        <v>129</v>
      </c>
      <c r="G444" t="s">
        <v>13</v>
      </c>
    </row>
    <row r="445" spans="1:7" x14ac:dyDescent="0.3">
      <c r="A445" t="s">
        <v>929</v>
      </c>
      <c r="B445" t="s">
        <v>930</v>
      </c>
      <c r="C445" t="s">
        <v>9</v>
      </c>
      <c r="D445" t="s">
        <v>22</v>
      </c>
      <c r="E445" t="s">
        <v>36</v>
      </c>
      <c r="F445" t="s">
        <v>28</v>
      </c>
      <c r="G445" t="s">
        <v>17</v>
      </c>
    </row>
    <row r="446" spans="1:7" x14ac:dyDescent="0.3">
      <c r="A446" t="s">
        <v>931</v>
      </c>
      <c r="B446" t="s">
        <v>932</v>
      </c>
      <c r="C446" t="s">
        <v>39</v>
      </c>
      <c r="D446" t="s">
        <v>31</v>
      </c>
      <c r="E446" t="s">
        <v>40</v>
      </c>
      <c r="F446" t="s">
        <v>41</v>
      </c>
      <c r="G446" t="s">
        <v>51</v>
      </c>
    </row>
    <row r="447" spans="1:7" x14ac:dyDescent="0.3">
      <c r="A447" t="s">
        <v>933</v>
      </c>
      <c r="B447" t="s">
        <v>934</v>
      </c>
      <c r="C447" t="s">
        <v>9</v>
      </c>
      <c r="D447" t="s">
        <v>16</v>
      </c>
      <c r="E447" t="s">
        <v>128</v>
      </c>
      <c r="F447" t="s">
        <v>129</v>
      </c>
      <c r="G447" t="s">
        <v>13</v>
      </c>
    </row>
    <row r="448" spans="1:7" x14ac:dyDescent="0.3">
      <c r="A448" t="s">
        <v>935</v>
      </c>
      <c r="B448" t="s">
        <v>936</v>
      </c>
      <c r="C448" t="s">
        <v>9</v>
      </c>
      <c r="D448" t="s">
        <v>22</v>
      </c>
      <c r="E448" t="s">
        <v>40</v>
      </c>
      <c r="F448" t="s">
        <v>41</v>
      </c>
      <c r="G448" t="s">
        <v>17</v>
      </c>
    </row>
    <row r="449" spans="1:7" x14ac:dyDescent="0.3">
      <c r="A449" t="s">
        <v>937</v>
      </c>
      <c r="B449" t="s">
        <v>938</v>
      </c>
      <c r="C449" t="s">
        <v>39</v>
      </c>
      <c r="D449" t="s">
        <v>31</v>
      </c>
      <c r="E449" t="s">
        <v>54</v>
      </c>
      <c r="F449" t="s">
        <v>55</v>
      </c>
      <c r="G449" t="s">
        <v>17</v>
      </c>
    </row>
    <row r="450" spans="1:7" x14ac:dyDescent="0.3">
      <c r="A450" t="s">
        <v>939</v>
      </c>
      <c r="B450" t="s">
        <v>940</v>
      </c>
      <c r="C450" t="s">
        <v>9</v>
      </c>
      <c r="D450" t="s">
        <v>22</v>
      </c>
      <c r="E450" t="s">
        <v>147</v>
      </c>
      <c r="F450" t="s">
        <v>98</v>
      </c>
      <c r="G450" t="s">
        <v>13</v>
      </c>
    </row>
    <row r="451" spans="1:7" x14ac:dyDescent="0.3">
      <c r="A451" t="s">
        <v>941</v>
      </c>
      <c r="B451" t="s">
        <v>942</v>
      </c>
      <c r="C451" t="s">
        <v>9</v>
      </c>
      <c r="D451" t="s">
        <v>16</v>
      </c>
      <c r="E451" t="s">
        <v>32</v>
      </c>
      <c r="F451" t="s">
        <v>33</v>
      </c>
      <c r="G451" t="s">
        <v>56</v>
      </c>
    </row>
    <row r="452" spans="1:7" x14ac:dyDescent="0.3">
      <c r="A452" t="s">
        <v>943</v>
      </c>
      <c r="B452" t="s">
        <v>944</v>
      </c>
      <c r="C452" t="s">
        <v>9</v>
      </c>
      <c r="D452" t="s">
        <v>16</v>
      </c>
      <c r="E452" t="s">
        <v>11</v>
      </c>
      <c r="F452" t="s">
        <v>12</v>
      </c>
      <c r="G452" t="s">
        <v>17</v>
      </c>
    </row>
    <row r="453" spans="1:7" x14ac:dyDescent="0.3">
      <c r="A453" t="s">
        <v>945</v>
      </c>
      <c r="B453" t="s">
        <v>946</v>
      </c>
      <c r="C453" t="s">
        <v>9</v>
      </c>
      <c r="D453" t="s">
        <v>31</v>
      </c>
      <c r="E453" t="s">
        <v>73</v>
      </c>
      <c r="F453" t="s">
        <v>24</v>
      </c>
      <c r="G453" t="s">
        <v>56</v>
      </c>
    </row>
    <row r="454" spans="1:7" x14ac:dyDescent="0.3">
      <c r="A454" t="s">
        <v>947</v>
      </c>
      <c r="B454" t="s">
        <v>948</v>
      </c>
      <c r="C454" t="s">
        <v>9</v>
      </c>
      <c r="D454" t="s">
        <v>22</v>
      </c>
      <c r="E454" t="s">
        <v>27</v>
      </c>
      <c r="F454" t="s">
        <v>28</v>
      </c>
      <c r="G454" t="s">
        <v>17</v>
      </c>
    </row>
    <row r="455" spans="1:7" x14ac:dyDescent="0.3">
      <c r="A455" t="s">
        <v>949</v>
      </c>
      <c r="B455" t="s">
        <v>950</v>
      </c>
      <c r="C455" t="s">
        <v>9</v>
      </c>
      <c r="D455" t="s">
        <v>31</v>
      </c>
      <c r="E455" t="s">
        <v>54</v>
      </c>
      <c r="F455" t="s">
        <v>55</v>
      </c>
      <c r="G455" t="s">
        <v>56</v>
      </c>
    </row>
    <row r="456" spans="1:7" x14ac:dyDescent="0.3">
      <c r="A456" t="s">
        <v>951</v>
      </c>
      <c r="B456" t="s">
        <v>952</v>
      </c>
      <c r="C456" t="s">
        <v>9</v>
      </c>
      <c r="D456" t="s">
        <v>10</v>
      </c>
      <c r="E456" t="s">
        <v>61</v>
      </c>
      <c r="F456" t="s">
        <v>62</v>
      </c>
      <c r="G456" t="s">
        <v>17</v>
      </c>
    </row>
    <row r="457" spans="1:7" x14ac:dyDescent="0.3">
      <c r="A457" t="s">
        <v>953</v>
      </c>
      <c r="B457" t="s">
        <v>954</v>
      </c>
      <c r="C457" t="s">
        <v>9</v>
      </c>
      <c r="D457" t="s">
        <v>31</v>
      </c>
      <c r="E457" t="s">
        <v>40</v>
      </c>
      <c r="F457" t="s">
        <v>41</v>
      </c>
      <c r="G457" t="s">
        <v>78</v>
      </c>
    </row>
    <row r="458" spans="1:7" x14ac:dyDescent="0.3">
      <c r="A458" t="s">
        <v>955</v>
      </c>
      <c r="B458" t="s">
        <v>956</v>
      </c>
      <c r="C458" t="s">
        <v>9</v>
      </c>
      <c r="D458" t="s">
        <v>10</v>
      </c>
      <c r="E458" t="s">
        <v>128</v>
      </c>
      <c r="F458" t="s">
        <v>129</v>
      </c>
      <c r="G458" t="s">
        <v>13</v>
      </c>
    </row>
    <row r="459" spans="1:7" x14ac:dyDescent="0.3">
      <c r="A459" t="s">
        <v>957</v>
      </c>
      <c r="B459" t="s">
        <v>958</v>
      </c>
      <c r="C459" t="s">
        <v>9</v>
      </c>
      <c r="D459" t="s">
        <v>10</v>
      </c>
      <c r="E459" t="s">
        <v>11</v>
      </c>
      <c r="F459" t="s">
        <v>12</v>
      </c>
      <c r="G459" t="s">
        <v>56</v>
      </c>
    </row>
    <row r="460" spans="1:7" x14ac:dyDescent="0.3">
      <c r="A460" t="s">
        <v>959</v>
      </c>
      <c r="B460" t="s">
        <v>960</v>
      </c>
      <c r="C460" t="s">
        <v>9</v>
      </c>
      <c r="D460" t="s">
        <v>31</v>
      </c>
      <c r="E460" t="s">
        <v>128</v>
      </c>
      <c r="F460" t="s">
        <v>129</v>
      </c>
      <c r="G460" t="s">
        <v>78</v>
      </c>
    </row>
    <row r="461" spans="1:7" x14ac:dyDescent="0.3">
      <c r="A461" t="s">
        <v>961</v>
      </c>
      <c r="B461" t="s">
        <v>962</v>
      </c>
      <c r="C461" t="s">
        <v>9</v>
      </c>
      <c r="D461" t="s">
        <v>22</v>
      </c>
      <c r="E461" t="s">
        <v>32</v>
      </c>
      <c r="F461" t="s">
        <v>33</v>
      </c>
      <c r="G461" t="s">
        <v>17</v>
      </c>
    </row>
    <row r="462" spans="1:7" x14ac:dyDescent="0.3">
      <c r="A462" t="s">
        <v>963</v>
      </c>
      <c r="B462" t="s">
        <v>964</v>
      </c>
      <c r="C462" t="s">
        <v>46</v>
      </c>
      <c r="D462" t="s">
        <v>10</v>
      </c>
      <c r="E462" t="s">
        <v>32</v>
      </c>
      <c r="F462" t="s">
        <v>33</v>
      </c>
      <c r="G462" t="s">
        <v>51</v>
      </c>
    </row>
    <row r="463" spans="1:7" x14ac:dyDescent="0.3">
      <c r="A463" t="s">
        <v>965</v>
      </c>
      <c r="B463" t="s">
        <v>966</v>
      </c>
      <c r="C463" t="s">
        <v>39</v>
      </c>
      <c r="D463" t="s">
        <v>22</v>
      </c>
      <c r="E463" t="s">
        <v>32</v>
      </c>
      <c r="F463" t="s">
        <v>33</v>
      </c>
      <c r="G463" t="s">
        <v>51</v>
      </c>
    </row>
    <row r="464" spans="1:7" x14ac:dyDescent="0.3">
      <c r="A464" t="s">
        <v>967</v>
      </c>
      <c r="B464" t="s">
        <v>968</v>
      </c>
      <c r="C464" t="s">
        <v>9</v>
      </c>
      <c r="D464" t="s">
        <v>31</v>
      </c>
      <c r="E464" t="s">
        <v>23</v>
      </c>
      <c r="F464" t="s">
        <v>24</v>
      </c>
      <c r="G464" t="s">
        <v>17</v>
      </c>
    </row>
    <row r="465" spans="1:7" x14ac:dyDescent="0.3">
      <c r="A465" t="s">
        <v>969</v>
      </c>
      <c r="B465" t="s">
        <v>970</v>
      </c>
      <c r="C465" t="s">
        <v>9</v>
      </c>
      <c r="D465" t="s">
        <v>31</v>
      </c>
      <c r="E465" t="s">
        <v>11</v>
      </c>
      <c r="F465" t="s">
        <v>12</v>
      </c>
      <c r="G465" t="s">
        <v>78</v>
      </c>
    </row>
    <row r="466" spans="1:7" x14ac:dyDescent="0.3">
      <c r="A466" t="s">
        <v>971</v>
      </c>
      <c r="B466" t="s">
        <v>972</v>
      </c>
      <c r="C466" t="s">
        <v>9</v>
      </c>
      <c r="D466" t="s">
        <v>16</v>
      </c>
      <c r="E466" t="s">
        <v>61</v>
      </c>
      <c r="F466" t="s">
        <v>62</v>
      </c>
      <c r="G466" t="s">
        <v>78</v>
      </c>
    </row>
    <row r="467" spans="1:7" x14ac:dyDescent="0.3">
      <c r="A467" t="s">
        <v>973</v>
      </c>
      <c r="B467" t="s">
        <v>974</v>
      </c>
      <c r="C467" t="s">
        <v>46</v>
      </c>
      <c r="D467" t="s">
        <v>10</v>
      </c>
      <c r="E467" t="s">
        <v>32</v>
      </c>
      <c r="F467" t="s">
        <v>33</v>
      </c>
      <c r="G467" t="s">
        <v>17</v>
      </c>
    </row>
    <row r="468" spans="1:7" x14ac:dyDescent="0.3">
      <c r="A468" t="s">
        <v>975</v>
      </c>
      <c r="B468" t="s">
        <v>976</v>
      </c>
      <c r="C468" t="s">
        <v>9</v>
      </c>
      <c r="D468" t="s">
        <v>10</v>
      </c>
      <c r="E468" t="s">
        <v>101</v>
      </c>
      <c r="F468" t="s">
        <v>62</v>
      </c>
      <c r="G468" t="s">
        <v>13</v>
      </c>
    </row>
    <row r="469" spans="1:7" x14ac:dyDescent="0.3">
      <c r="A469" t="s">
        <v>977</v>
      </c>
      <c r="B469" t="s">
        <v>978</v>
      </c>
      <c r="C469" t="s">
        <v>9</v>
      </c>
      <c r="D469" t="s">
        <v>31</v>
      </c>
      <c r="E469" t="s">
        <v>128</v>
      </c>
      <c r="F469" t="s">
        <v>129</v>
      </c>
      <c r="G469" t="s">
        <v>51</v>
      </c>
    </row>
    <row r="470" spans="1:7" x14ac:dyDescent="0.3">
      <c r="A470" t="s">
        <v>979</v>
      </c>
      <c r="B470" t="s">
        <v>980</v>
      </c>
      <c r="C470" t="s">
        <v>9</v>
      </c>
      <c r="D470" t="s">
        <v>22</v>
      </c>
      <c r="E470" t="s">
        <v>61</v>
      </c>
      <c r="F470" t="s">
        <v>62</v>
      </c>
      <c r="G470" t="s">
        <v>51</v>
      </c>
    </row>
    <row r="471" spans="1:7" x14ac:dyDescent="0.3">
      <c r="A471" t="s">
        <v>981</v>
      </c>
      <c r="B471" t="s">
        <v>982</v>
      </c>
      <c r="C471" t="s">
        <v>9</v>
      </c>
      <c r="D471" t="s">
        <v>31</v>
      </c>
      <c r="E471" t="s">
        <v>36</v>
      </c>
      <c r="F471" t="s">
        <v>28</v>
      </c>
      <c r="G471" t="s">
        <v>17</v>
      </c>
    </row>
    <row r="472" spans="1:7" x14ac:dyDescent="0.3">
      <c r="A472" t="s">
        <v>983</v>
      </c>
      <c r="B472" t="s">
        <v>984</v>
      </c>
      <c r="C472" t="s">
        <v>39</v>
      </c>
      <c r="D472" t="s">
        <v>22</v>
      </c>
      <c r="E472" t="s">
        <v>164</v>
      </c>
      <c r="F472" t="s">
        <v>98</v>
      </c>
      <c r="G472" t="s">
        <v>51</v>
      </c>
    </row>
    <row r="473" spans="1:7" x14ac:dyDescent="0.3">
      <c r="A473" t="s">
        <v>985</v>
      </c>
      <c r="B473" t="s">
        <v>986</v>
      </c>
      <c r="C473" t="s">
        <v>39</v>
      </c>
      <c r="D473" t="s">
        <v>10</v>
      </c>
      <c r="E473" t="s">
        <v>32</v>
      </c>
      <c r="F473" t="s">
        <v>33</v>
      </c>
      <c r="G473" t="s">
        <v>13</v>
      </c>
    </row>
    <row r="474" spans="1:7" x14ac:dyDescent="0.3">
      <c r="A474" t="s">
        <v>987</v>
      </c>
      <c r="B474" t="s">
        <v>988</v>
      </c>
      <c r="C474" t="s">
        <v>9</v>
      </c>
      <c r="D474" t="s">
        <v>16</v>
      </c>
      <c r="E474" t="s">
        <v>101</v>
      </c>
      <c r="F474" t="s">
        <v>62</v>
      </c>
      <c r="G474" t="s">
        <v>56</v>
      </c>
    </row>
    <row r="475" spans="1:7" x14ac:dyDescent="0.3">
      <c r="A475" t="s">
        <v>989</v>
      </c>
      <c r="B475" t="s">
        <v>990</v>
      </c>
      <c r="C475" t="s">
        <v>9</v>
      </c>
      <c r="D475" t="s">
        <v>22</v>
      </c>
      <c r="E475" t="s">
        <v>32</v>
      </c>
      <c r="F475" t="s">
        <v>33</v>
      </c>
      <c r="G475" t="s">
        <v>56</v>
      </c>
    </row>
    <row r="476" spans="1:7" x14ac:dyDescent="0.3">
      <c r="A476" t="s">
        <v>991</v>
      </c>
      <c r="B476" t="s">
        <v>992</v>
      </c>
      <c r="C476" t="s">
        <v>9</v>
      </c>
      <c r="D476" t="s">
        <v>31</v>
      </c>
      <c r="E476" t="s">
        <v>32</v>
      </c>
      <c r="F476" t="s">
        <v>33</v>
      </c>
      <c r="G476" t="s">
        <v>56</v>
      </c>
    </row>
    <row r="477" spans="1:7" x14ac:dyDescent="0.3">
      <c r="A477" t="s">
        <v>993</v>
      </c>
      <c r="B477" t="s">
        <v>994</v>
      </c>
      <c r="C477" t="s">
        <v>39</v>
      </c>
      <c r="D477" t="s">
        <v>22</v>
      </c>
      <c r="E477" t="s">
        <v>54</v>
      </c>
      <c r="F477" t="s">
        <v>55</v>
      </c>
      <c r="G477" t="s">
        <v>13</v>
      </c>
    </row>
    <row r="478" spans="1:7" x14ac:dyDescent="0.3">
      <c r="A478" t="s">
        <v>995</v>
      </c>
      <c r="B478" t="s">
        <v>996</v>
      </c>
      <c r="C478" t="s">
        <v>9</v>
      </c>
      <c r="D478" t="s">
        <v>10</v>
      </c>
      <c r="E478" t="s">
        <v>147</v>
      </c>
      <c r="F478" t="s">
        <v>98</v>
      </c>
      <c r="G478" t="s">
        <v>51</v>
      </c>
    </row>
    <row r="479" spans="1:7" x14ac:dyDescent="0.3">
      <c r="A479" t="s">
        <v>997</v>
      </c>
      <c r="B479" t="s">
        <v>998</v>
      </c>
      <c r="C479" t="s">
        <v>9</v>
      </c>
      <c r="D479" t="s">
        <v>22</v>
      </c>
      <c r="E479" t="s">
        <v>128</v>
      </c>
      <c r="F479" t="s">
        <v>129</v>
      </c>
      <c r="G479" t="s">
        <v>78</v>
      </c>
    </row>
    <row r="480" spans="1:7" x14ac:dyDescent="0.3">
      <c r="A480" t="s">
        <v>999</v>
      </c>
      <c r="B480" t="s">
        <v>1000</v>
      </c>
      <c r="C480" t="s">
        <v>9</v>
      </c>
      <c r="D480" t="s">
        <v>16</v>
      </c>
      <c r="E480" t="s">
        <v>27</v>
      </c>
      <c r="F480" t="s">
        <v>28</v>
      </c>
      <c r="G480" t="s">
        <v>17</v>
      </c>
    </row>
    <row r="481" spans="1:7" x14ac:dyDescent="0.3">
      <c r="A481" t="s">
        <v>1001</v>
      </c>
      <c r="B481" t="s">
        <v>1002</v>
      </c>
      <c r="C481" t="s">
        <v>9</v>
      </c>
      <c r="D481" t="s">
        <v>16</v>
      </c>
      <c r="E481" t="s">
        <v>164</v>
      </c>
      <c r="F481" t="s">
        <v>98</v>
      </c>
      <c r="G481" t="s">
        <v>56</v>
      </c>
    </row>
    <row r="482" spans="1:7" x14ac:dyDescent="0.3">
      <c r="A482" t="s">
        <v>1003</v>
      </c>
      <c r="B482" t="s">
        <v>1004</v>
      </c>
      <c r="C482" t="s">
        <v>46</v>
      </c>
      <c r="D482" t="s">
        <v>10</v>
      </c>
      <c r="E482" t="s">
        <v>23</v>
      </c>
      <c r="F482" t="s">
        <v>24</v>
      </c>
      <c r="G482" t="s">
        <v>51</v>
      </c>
    </row>
    <row r="483" spans="1:7" x14ac:dyDescent="0.3">
      <c r="A483" t="s">
        <v>1005</v>
      </c>
      <c r="B483" t="s">
        <v>1006</v>
      </c>
      <c r="C483" t="s">
        <v>9</v>
      </c>
      <c r="D483" t="s">
        <v>31</v>
      </c>
      <c r="E483" t="s">
        <v>11</v>
      </c>
      <c r="F483" t="s">
        <v>12</v>
      </c>
      <c r="G483" t="s">
        <v>13</v>
      </c>
    </row>
    <row r="484" spans="1:7" x14ac:dyDescent="0.3">
      <c r="A484" t="s">
        <v>1007</v>
      </c>
      <c r="B484" t="s">
        <v>1008</v>
      </c>
      <c r="C484" t="s">
        <v>39</v>
      </c>
      <c r="D484" t="s">
        <v>31</v>
      </c>
      <c r="E484" t="s">
        <v>11</v>
      </c>
      <c r="F484" t="s">
        <v>12</v>
      </c>
      <c r="G484" t="s">
        <v>13</v>
      </c>
    </row>
    <row r="485" spans="1:7" x14ac:dyDescent="0.3">
      <c r="A485" t="s">
        <v>1009</v>
      </c>
      <c r="B485" t="s">
        <v>1010</v>
      </c>
      <c r="C485" t="s">
        <v>9</v>
      </c>
      <c r="D485" t="s">
        <v>16</v>
      </c>
      <c r="E485" t="s">
        <v>54</v>
      </c>
      <c r="F485" t="s">
        <v>55</v>
      </c>
      <c r="G485" t="s">
        <v>56</v>
      </c>
    </row>
    <row r="486" spans="1:7" x14ac:dyDescent="0.3">
      <c r="A486" t="s">
        <v>1011</v>
      </c>
      <c r="B486" t="s">
        <v>1012</v>
      </c>
      <c r="C486" t="s">
        <v>9</v>
      </c>
      <c r="D486" t="s">
        <v>22</v>
      </c>
      <c r="E486" t="s">
        <v>36</v>
      </c>
      <c r="F486" t="s">
        <v>28</v>
      </c>
      <c r="G486" t="s">
        <v>51</v>
      </c>
    </row>
    <row r="487" spans="1:7" x14ac:dyDescent="0.3">
      <c r="A487" t="s">
        <v>1013</v>
      </c>
      <c r="B487" t="s">
        <v>1014</v>
      </c>
      <c r="C487" t="s">
        <v>39</v>
      </c>
      <c r="D487" t="s">
        <v>10</v>
      </c>
      <c r="E487" t="s">
        <v>73</v>
      </c>
      <c r="F487" t="s">
        <v>24</v>
      </c>
      <c r="G487" t="s">
        <v>56</v>
      </c>
    </row>
    <row r="488" spans="1:7" x14ac:dyDescent="0.3">
      <c r="A488" t="s">
        <v>1015</v>
      </c>
      <c r="B488" t="s">
        <v>1016</v>
      </c>
      <c r="C488" t="s">
        <v>9</v>
      </c>
      <c r="D488" t="s">
        <v>10</v>
      </c>
      <c r="E488" t="s">
        <v>54</v>
      </c>
      <c r="F488" t="s">
        <v>55</v>
      </c>
      <c r="G488" t="s">
        <v>51</v>
      </c>
    </row>
    <row r="489" spans="1:7" x14ac:dyDescent="0.3">
      <c r="A489" t="s">
        <v>1017</v>
      </c>
      <c r="B489" t="s">
        <v>1018</v>
      </c>
      <c r="C489" t="s">
        <v>9</v>
      </c>
      <c r="D489" t="s">
        <v>22</v>
      </c>
      <c r="E489" t="s">
        <v>23</v>
      </c>
      <c r="F489" t="s">
        <v>24</v>
      </c>
      <c r="G489" t="s">
        <v>51</v>
      </c>
    </row>
    <row r="490" spans="1:7" x14ac:dyDescent="0.3">
      <c r="A490" t="s">
        <v>1019</v>
      </c>
      <c r="B490" t="s">
        <v>1020</v>
      </c>
      <c r="C490" t="s">
        <v>9</v>
      </c>
      <c r="D490" t="s">
        <v>10</v>
      </c>
      <c r="E490" t="s">
        <v>32</v>
      </c>
      <c r="F490" t="s">
        <v>33</v>
      </c>
      <c r="G490" t="s">
        <v>13</v>
      </c>
    </row>
    <row r="491" spans="1:7" x14ac:dyDescent="0.3">
      <c r="A491" t="s">
        <v>1021</v>
      </c>
      <c r="B491" t="s">
        <v>1022</v>
      </c>
      <c r="C491" t="s">
        <v>9</v>
      </c>
      <c r="D491" t="s">
        <v>10</v>
      </c>
      <c r="E491" t="s">
        <v>128</v>
      </c>
      <c r="F491" t="s">
        <v>129</v>
      </c>
      <c r="G491" t="s">
        <v>51</v>
      </c>
    </row>
    <row r="492" spans="1:7" x14ac:dyDescent="0.3">
      <c r="A492" t="s">
        <v>1023</v>
      </c>
      <c r="B492" t="s">
        <v>1024</v>
      </c>
      <c r="C492" t="s">
        <v>9</v>
      </c>
      <c r="D492" t="s">
        <v>10</v>
      </c>
      <c r="E492" t="s">
        <v>32</v>
      </c>
      <c r="F492" t="s">
        <v>33</v>
      </c>
      <c r="G492" t="s">
        <v>56</v>
      </c>
    </row>
    <row r="493" spans="1:7" x14ac:dyDescent="0.3">
      <c r="A493" t="s">
        <v>1025</v>
      </c>
      <c r="B493" t="s">
        <v>1026</v>
      </c>
      <c r="C493" t="s">
        <v>9</v>
      </c>
      <c r="D493" t="s">
        <v>22</v>
      </c>
      <c r="E493" t="s">
        <v>23</v>
      </c>
      <c r="F493" t="s">
        <v>24</v>
      </c>
      <c r="G493" t="s">
        <v>51</v>
      </c>
    </row>
    <row r="494" spans="1:7" x14ac:dyDescent="0.3">
      <c r="A494" t="s">
        <v>1027</v>
      </c>
      <c r="B494" t="s">
        <v>1028</v>
      </c>
      <c r="C494" t="s">
        <v>39</v>
      </c>
      <c r="D494" t="s">
        <v>10</v>
      </c>
      <c r="E494" t="s">
        <v>32</v>
      </c>
      <c r="F494" t="s">
        <v>33</v>
      </c>
      <c r="G494" t="s">
        <v>13</v>
      </c>
    </row>
    <row r="495" spans="1:7" x14ac:dyDescent="0.3">
      <c r="A495" t="s">
        <v>1029</v>
      </c>
      <c r="B495" t="s">
        <v>1030</v>
      </c>
      <c r="C495" t="s">
        <v>9</v>
      </c>
      <c r="D495" t="s">
        <v>31</v>
      </c>
      <c r="E495" t="s">
        <v>73</v>
      </c>
      <c r="F495" t="s">
        <v>24</v>
      </c>
      <c r="G495" t="s">
        <v>56</v>
      </c>
    </row>
    <row r="496" spans="1:7" x14ac:dyDescent="0.3">
      <c r="A496" t="s">
        <v>1031</v>
      </c>
      <c r="B496" t="s">
        <v>1032</v>
      </c>
      <c r="C496" t="s">
        <v>9</v>
      </c>
      <c r="D496" t="s">
        <v>10</v>
      </c>
      <c r="E496" t="s">
        <v>54</v>
      </c>
      <c r="F496" t="s">
        <v>55</v>
      </c>
      <c r="G496" t="s">
        <v>13</v>
      </c>
    </row>
    <row r="497" spans="1:7" x14ac:dyDescent="0.3">
      <c r="A497" t="s">
        <v>1033</v>
      </c>
      <c r="B497" t="s">
        <v>1034</v>
      </c>
      <c r="C497" t="s">
        <v>9</v>
      </c>
      <c r="D497" t="s">
        <v>22</v>
      </c>
      <c r="E497" t="s">
        <v>54</v>
      </c>
      <c r="F497" t="s">
        <v>55</v>
      </c>
      <c r="G497" t="s">
        <v>51</v>
      </c>
    </row>
    <row r="498" spans="1:7" x14ac:dyDescent="0.3">
      <c r="A498" t="s">
        <v>1035</v>
      </c>
      <c r="B498" t="s">
        <v>1036</v>
      </c>
      <c r="C498" t="s">
        <v>9</v>
      </c>
      <c r="D498" t="s">
        <v>10</v>
      </c>
      <c r="E498" t="s">
        <v>32</v>
      </c>
      <c r="F498" t="s">
        <v>33</v>
      </c>
      <c r="G498" t="s">
        <v>51</v>
      </c>
    </row>
    <row r="499" spans="1:7" x14ac:dyDescent="0.3">
      <c r="A499" t="s">
        <v>1037</v>
      </c>
      <c r="B499" t="s">
        <v>1038</v>
      </c>
      <c r="C499" t="s">
        <v>9</v>
      </c>
      <c r="D499" t="s">
        <v>16</v>
      </c>
      <c r="E499" t="s">
        <v>23</v>
      </c>
      <c r="F499" t="s">
        <v>24</v>
      </c>
      <c r="G499" t="s">
        <v>51</v>
      </c>
    </row>
    <row r="500" spans="1:7" x14ac:dyDescent="0.3">
      <c r="A500" t="s">
        <v>1039</v>
      </c>
      <c r="B500" t="s">
        <v>1040</v>
      </c>
      <c r="C500" t="s">
        <v>9</v>
      </c>
      <c r="D500" t="s">
        <v>22</v>
      </c>
      <c r="E500" t="s">
        <v>54</v>
      </c>
      <c r="F500" t="s">
        <v>55</v>
      </c>
      <c r="G500" t="s">
        <v>17</v>
      </c>
    </row>
    <row r="501" spans="1:7" x14ac:dyDescent="0.3">
      <c r="A501" t="s">
        <v>1041</v>
      </c>
      <c r="B501" t="s">
        <v>1042</v>
      </c>
      <c r="C501" t="s">
        <v>39</v>
      </c>
      <c r="D501" t="s">
        <v>31</v>
      </c>
      <c r="E501" t="s">
        <v>27</v>
      </c>
      <c r="F501" t="s">
        <v>28</v>
      </c>
      <c r="G501" t="s">
        <v>51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6"/>
  <sheetViews>
    <sheetView workbookViewId="0">
      <pane ySplit="1" topLeftCell="A2" activePane="bottomLeft" state="frozen"/>
      <selection pane="bottomLeft" activeCell="J8" sqref="J8"/>
    </sheetView>
  </sheetViews>
  <sheetFormatPr defaultRowHeight="14.4" x14ac:dyDescent="0.3"/>
  <cols>
    <col min="1" max="1" width="12" customWidth="1"/>
    <col min="2" max="2" width="37" customWidth="1"/>
    <col min="3" max="3" width="11" customWidth="1"/>
    <col min="4" max="4" width="15" customWidth="1"/>
    <col min="5" max="5" width="10.88671875" customWidth="1"/>
  </cols>
  <sheetData>
    <row r="1" spans="1:5" x14ac:dyDescent="0.3">
      <c r="A1" s="1" t="s">
        <v>1043</v>
      </c>
      <c r="B1" s="1" t="s">
        <v>1044</v>
      </c>
      <c r="C1" s="1" t="s">
        <v>1045</v>
      </c>
      <c r="D1" s="1" t="s">
        <v>1046</v>
      </c>
      <c r="E1" s="1" t="s">
        <v>1047</v>
      </c>
    </row>
    <row r="2" spans="1:5" x14ac:dyDescent="0.3">
      <c r="A2" t="s">
        <v>1048</v>
      </c>
      <c r="B2" t="s">
        <v>1049</v>
      </c>
      <c r="C2" t="s">
        <v>1050</v>
      </c>
      <c r="D2">
        <v>120</v>
      </c>
      <c r="E2">
        <v>599</v>
      </c>
    </row>
    <row r="3" spans="1:5" x14ac:dyDescent="0.3">
      <c r="A3" t="s">
        <v>1051</v>
      </c>
      <c r="B3" t="s">
        <v>1052</v>
      </c>
      <c r="C3" t="s">
        <v>1050</v>
      </c>
      <c r="D3">
        <v>150</v>
      </c>
      <c r="E3">
        <v>499</v>
      </c>
    </row>
    <row r="4" spans="1:5" x14ac:dyDescent="0.3">
      <c r="A4" t="s">
        <v>1053</v>
      </c>
      <c r="B4" t="s">
        <v>1054</v>
      </c>
      <c r="C4" t="s">
        <v>1050</v>
      </c>
      <c r="D4">
        <v>200</v>
      </c>
      <c r="E4">
        <v>899</v>
      </c>
    </row>
    <row r="5" spans="1:5" x14ac:dyDescent="0.3">
      <c r="A5" t="s">
        <v>1055</v>
      </c>
      <c r="B5" t="s">
        <v>1056</v>
      </c>
      <c r="C5" t="s">
        <v>1050</v>
      </c>
      <c r="D5">
        <v>75</v>
      </c>
      <c r="E5">
        <v>299</v>
      </c>
    </row>
    <row r="6" spans="1:5" x14ac:dyDescent="0.3">
      <c r="A6" t="s">
        <v>1057</v>
      </c>
      <c r="B6" t="s">
        <v>1058</v>
      </c>
      <c r="C6" t="s">
        <v>1050</v>
      </c>
      <c r="D6">
        <v>130</v>
      </c>
      <c r="E6">
        <v>549</v>
      </c>
    </row>
    <row r="7" spans="1:5" x14ac:dyDescent="0.3">
      <c r="A7" t="s">
        <v>1059</v>
      </c>
      <c r="B7" t="s">
        <v>1060</v>
      </c>
      <c r="C7" t="s">
        <v>1061</v>
      </c>
      <c r="D7">
        <v>110</v>
      </c>
      <c r="E7">
        <v>399</v>
      </c>
    </row>
    <row r="8" spans="1:5" x14ac:dyDescent="0.3">
      <c r="A8" t="s">
        <v>1062</v>
      </c>
      <c r="B8" t="s">
        <v>1063</v>
      </c>
      <c r="C8" t="s">
        <v>1061</v>
      </c>
      <c r="D8">
        <v>95</v>
      </c>
      <c r="E8">
        <v>349</v>
      </c>
    </row>
    <row r="9" spans="1:5" x14ac:dyDescent="0.3">
      <c r="A9" t="s">
        <v>1064</v>
      </c>
      <c r="B9" t="s">
        <v>1065</v>
      </c>
      <c r="C9" t="s">
        <v>1061</v>
      </c>
      <c r="D9">
        <v>160</v>
      </c>
      <c r="E9">
        <v>699</v>
      </c>
    </row>
    <row r="10" spans="1:5" x14ac:dyDescent="0.3">
      <c r="A10" t="s">
        <v>1066</v>
      </c>
      <c r="B10" t="s">
        <v>1067</v>
      </c>
      <c r="C10" t="s">
        <v>1061</v>
      </c>
      <c r="D10">
        <v>140</v>
      </c>
      <c r="E10">
        <v>499</v>
      </c>
    </row>
    <row r="11" spans="1:5" x14ac:dyDescent="0.3">
      <c r="A11" t="s">
        <v>1068</v>
      </c>
      <c r="B11" t="s">
        <v>1069</v>
      </c>
      <c r="C11" t="s">
        <v>1070</v>
      </c>
      <c r="D11">
        <v>180</v>
      </c>
      <c r="E11">
        <v>449</v>
      </c>
    </row>
    <row r="12" spans="1:5" x14ac:dyDescent="0.3">
      <c r="A12" t="s">
        <v>1071</v>
      </c>
      <c r="B12" t="s">
        <v>1072</v>
      </c>
      <c r="C12" t="s">
        <v>1070</v>
      </c>
      <c r="D12">
        <v>125</v>
      </c>
      <c r="E12">
        <v>399</v>
      </c>
    </row>
    <row r="13" spans="1:5" x14ac:dyDescent="0.3">
      <c r="A13" t="s">
        <v>1073</v>
      </c>
      <c r="B13" t="s">
        <v>1074</v>
      </c>
      <c r="C13" t="s">
        <v>1070</v>
      </c>
      <c r="D13">
        <v>100</v>
      </c>
      <c r="E13">
        <v>349</v>
      </c>
    </row>
    <row r="14" spans="1:5" x14ac:dyDescent="0.3">
      <c r="A14" t="s">
        <v>1075</v>
      </c>
      <c r="B14" t="s">
        <v>1076</v>
      </c>
      <c r="C14" t="s">
        <v>1077</v>
      </c>
      <c r="D14">
        <v>80</v>
      </c>
      <c r="E14">
        <v>499</v>
      </c>
    </row>
    <row r="15" spans="1:5" x14ac:dyDescent="0.3">
      <c r="A15" t="s">
        <v>1078</v>
      </c>
      <c r="B15" t="s">
        <v>1079</v>
      </c>
      <c r="C15" t="s">
        <v>1077</v>
      </c>
      <c r="D15">
        <v>80</v>
      </c>
      <c r="E15">
        <v>499</v>
      </c>
    </row>
    <row r="16" spans="1:5" x14ac:dyDescent="0.3">
      <c r="A16" t="s">
        <v>1080</v>
      </c>
      <c r="B16" t="s">
        <v>1081</v>
      </c>
      <c r="C16" t="s">
        <v>1077</v>
      </c>
      <c r="D16">
        <v>45</v>
      </c>
      <c r="E16">
        <v>249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501"/>
  <sheetViews>
    <sheetView tabSelected="1" topLeftCell="D1" workbookViewId="0">
      <pane ySplit="1" topLeftCell="A2" activePane="bottomLeft" state="frozen"/>
      <selection pane="bottomLeft" activeCell="A4478" sqref="A4478"/>
    </sheetView>
  </sheetViews>
  <sheetFormatPr defaultRowHeight="14.4" x14ac:dyDescent="0.3"/>
  <cols>
    <col min="1" max="1" width="12" bestFit="1" customWidth="1"/>
    <col min="2" max="2" width="14.109375" bestFit="1" customWidth="1"/>
    <col min="3" max="3" width="15.33203125" bestFit="1" customWidth="1"/>
    <col min="4" max="4" width="13.88671875" bestFit="1" customWidth="1"/>
    <col min="5" max="5" width="12.77734375" bestFit="1" customWidth="1"/>
    <col min="6" max="6" width="14.109375" bestFit="1" customWidth="1"/>
    <col min="7" max="8" width="13" bestFit="1" customWidth="1"/>
    <col min="9" max="9" width="13.44140625" bestFit="1" customWidth="1"/>
    <col min="10" max="10" width="19.109375" bestFit="1" customWidth="1"/>
    <col min="11" max="11" width="16.44140625" bestFit="1" customWidth="1"/>
    <col min="12" max="12" width="23.44140625" bestFit="1" customWidth="1"/>
    <col min="13" max="13" width="22" bestFit="1" customWidth="1"/>
    <col min="14" max="14" width="15.44140625" bestFit="1" customWidth="1"/>
    <col min="15" max="15" width="9.44140625" bestFit="1" customWidth="1"/>
  </cols>
  <sheetData>
    <row r="1" spans="1:15" x14ac:dyDescent="0.3">
      <c r="A1" s="1" t="s">
        <v>1082</v>
      </c>
      <c r="B1" s="1" t="s">
        <v>1083</v>
      </c>
      <c r="C1" s="1" t="s">
        <v>0</v>
      </c>
      <c r="D1" s="1" t="s">
        <v>1043</v>
      </c>
      <c r="E1" s="1" t="s">
        <v>1084</v>
      </c>
      <c r="F1" s="3" t="s">
        <v>6332</v>
      </c>
      <c r="G1" s="3" t="s">
        <v>6331</v>
      </c>
      <c r="H1" s="3" t="s">
        <v>6330</v>
      </c>
      <c r="I1" s="1" t="s">
        <v>1047</v>
      </c>
      <c r="J1" s="1" t="s">
        <v>1085</v>
      </c>
      <c r="K1" s="1" t="s">
        <v>1086</v>
      </c>
      <c r="L1" s="1" t="s">
        <v>1087</v>
      </c>
      <c r="M1" s="1" t="s">
        <v>1088</v>
      </c>
      <c r="N1" s="1" t="s">
        <v>1089</v>
      </c>
      <c r="O1" s="3" t="s">
        <v>6333</v>
      </c>
    </row>
    <row r="2" spans="1:15" x14ac:dyDescent="0.3">
      <c r="A2" t="s">
        <v>1090</v>
      </c>
      <c r="B2" t="s">
        <v>1091</v>
      </c>
      <c r="C2" t="s">
        <v>277</v>
      </c>
      <c r="D2" t="s">
        <v>1057</v>
      </c>
      <c r="E2">
        <v>1</v>
      </c>
      <c r="F2">
        <f>_xlfn.XLOOKUP(Table1[[#This Row],[ProductID]],Products!A:A,Products!D:D,,0)</f>
        <v>130</v>
      </c>
      <c r="I2">
        <v>549</v>
      </c>
      <c r="J2">
        <v>467</v>
      </c>
      <c r="K2" t="s">
        <v>1092</v>
      </c>
      <c r="L2">
        <v>467</v>
      </c>
      <c r="M2" t="s">
        <v>1093</v>
      </c>
      <c r="N2" t="s">
        <v>1094</v>
      </c>
      <c r="O2">
        <f>Table1[[#This Row],[Unit_Price]]*Table1[[#This Row],[Quantity]]</f>
        <v>130</v>
      </c>
    </row>
    <row r="3" spans="1:15" x14ac:dyDescent="0.3">
      <c r="A3" t="s">
        <v>1095</v>
      </c>
      <c r="B3" t="s">
        <v>1096</v>
      </c>
      <c r="C3" t="s">
        <v>451</v>
      </c>
      <c r="D3" t="s">
        <v>1075</v>
      </c>
      <c r="E3">
        <v>1</v>
      </c>
      <c r="F3">
        <f>_xlfn.XLOOKUP(Table1[[#This Row],[ProductID]],Products!A:A,Products!D:D,,0)</f>
        <v>80</v>
      </c>
      <c r="I3">
        <v>499</v>
      </c>
      <c r="J3">
        <v>399</v>
      </c>
      <c r="K3" t="s">
        <v>1097</v>
      </c>
      <c r="L3">
        <v>399</v>
      </c>
      <c r="M3" t="s">
        <v>1098</v>
      </c>
      <c r="N3" t="s">
        <v>1099</v>
      </c>
      <c r="O3">
        <f>Table1[[#This Row],[Unit_Price]]*Table1[[#This Row],[Quantity]]</f>
        <v>80</v>
      </c>
    </row>
    <row r="4" spans="1:15" x14ac:dyDescent="0.3">
      <c r="A4" t="s">
        <v>1100</v>
      </c>
      <c r="B4" t="s">
        <v>1101</v>
      </c>
      <c r="C4" t="s">
        <v>669</v>
      </c>
      <c r="D4" t="s">
        <v>1078</v>
      </c>
      <c r="E4">
        <v>2</v>
      </c>
      <c r="F4">
        <f>_xlfn.XLOOKUP(Table1[[#This Row],[ProductID]],Products!A:A,Products!D:D,,0)</f>
        <v>80</v>
      </c>
      <c r="I4">
        <v>499</v>
      </c>
      <c r="J4">
        <v>499</v>
      </c>
      <c r="K4" t="s">
        <v>1102</v>
      </c>
      <c r="L4">
        <v>998</v>
      </c>
      <c r="M4" t="s">
        <v>1098</v>
      </c>
      <c r="N4" t="s">
        <v>1099</v>
      </c>
      <c r="O4">
        <f>Table1[[#This Row],[Unit_Price]]*Table1[[#This Row],[Quantity]]</f>
        <v>160</v>
      </c>
    </row>
    <row r="5" spans="1:15" x14ac:dyDescent="0.3">
      <c r="A5" t="s">
        <v>1103</v>
      </c>
      <c r="B5" t="s">
        <v>1104</v>
      </c>
      <c r="C5" t="s">
        <v>443</v>
      </c>
      <c r="D5" t="s">
        <v>1048</v>
      </c>
      <c r="E5">
        <v>1</v>
      </c>
      <c r="F5">
        <f>_xlfn.XLOOKUP(Table1[[#This Row],[ProductID]],Products!A:A,Products!D:D,,0)</f>
        <v>120</v>
      </c>
      <c r="I5">
        <v>599</v>
      </c>
      <c r="J5">
        <v>509</v>
      </c>
      <c r="K5" t="s">
        <v>1092</v>
      </c>
      <c r="L5">
        <v>509</v>
      </c>
      <c r="M5" t="s">
        <v>1098</v>
      </c>
      <c r="N5" t="s">
        <v>1099</v>
      </c>
      <c r="O5">
        <f>Table1[[#This Row],[Unit_Price]]*Table1[[#This Row],[Quantity]]</f>
        <v>120</v>
      </c>
    </row>
    <row r="6" spans="1:15" x14ac:dyDescent="0.3">
      <c r="A6" t="s">
        <v>1105</v>
      </c>
      <c r="B6" t="s">
        <v>1106</v>
      </c>
      <c r="C6" t="s">
        <v>355</v>
      </c>
      <c r="D6" t="s">
        <v>1051</v>
      </c>
      <c r="E6">
        <v>1</v>
      </c>
      <c r="F6">
        <f>_xlfn.XLOOKUP(Table1[[#This Row],[ProductID]],Products!A:A,Products!D:D,,0)</f>
        <v>150</v>
      </c>
      <c r="I6">
        <v>499</v>
      </c>
      <c r="J6">
        <v>449</v>
      </c>
      <c r="K6" t="s">
        <v>1107</v>
      </c>
      <c r="L6">
        <v>449</v>
      </c>
      <c r="M6" t="s">
        <v>1093</v>
      </c>
      <c r="N6" t="s">
        <v>1099</v>
      </c>
      <c r="O6">
        <f>Table1[[#This Row],[Unit_Price]]*Table1[[#This Row],[Quantity]]</f>
        <v>150</v>
      </c>
    </row>
    <row r="7" spans="1:15" x14ac:dyDescent="0.3">
      <c r="A7" t="s">
        <v>1108</v>
      </c>
      <c r="B7" t="s">
        <v>1109</v>
      </c>
      <c r="C7" t="s">
        <v>219</v>
      </c>
      <c r="D7" t="s">
        <v>1051</v>
      </c>
      <c r="E7">
        <v>2</v>
      </c>
      <c r="F7">
        <f>_xlfn.XLOOKUP(Table1[[#This Row],[ProductID]],Products!A:A,Products!D:D,,0)</f>
        <v>150</v>
      </c>
      <c r="I7">
        <v>499</v>
      </c>
      <c r="J7">
        <v>399</v>
      </c>
      <c r="K7" t="s">
        <v>1097</v>
      </c>
      <c r="L7">
        <v>798</v>
      </c>
      <c r="M7" t="s">
        <v>1098</v>
      </c>
      <c r="N7" t="s">
        <v>1099</v>
      </c>
      <c r="O7">
        <f>Table1[[#This Row],[Unit_Price]]*Table1[[#This Row],[Quantity]]</f>
        <v>300</v>
      </c>
    </row>
    <row r="8" spans="1:15" x14ac:dyDescent="0.3">
      <c r="A8" t="s">
        <v>1110</v>
      </c>
      <c r="B8" t="s">
        <v>1111</v>
      </c>
      <c r="C8" t="s">
        <v>451</v>
      </c>
      <c r="D8" t="s">
        <v>1064</v>
      </c>
      <c r="E8">
        <v>1</v>
      </c>
      <c r="F8">
        <f>_xlfn.XLOOKUP(Table1[[#This Row],[ProductID]],Products!A:A,Products!D:D,,0)</f>
        <v>160</v>
      </c>
      <c r="I8">
        <v>699</v>
      </c>
      <c r="J8">
        <v>699</v>
      </c>
      <c r="K8" t="s">
        <v>1102</v>
      </c>
      <c r="L8">
        <v>699</v>
      </c>
      <c r="M8" t="s">
        <v>1098</v>
      </c>
      <c r="N8" t="s">
        <v>1099</v>
      </c>
      <c r="O8">
        <f>Table1[[#This Row],[Unit_Price]]*Table1[[#This Row],[Quantity]]</f>
        <v>160</v>
      </c>
    </row>
    <row r="9" spans="1:15" x14ac:dyDescent="0.3">
      <c r="A9" t="s">
        <v>1112</v>
      </c>
      <c r="B9" t="s">
        <v>1113</v>
      </c>
      <c r="C9" t="s">
        <v>797</v>
      </c>
      <c r="D9" t="s">
        <v>1055</v>
      </c>
      <c r="E9">
        <v>1</v>
      </c>
      <c r="F9">
        <f>_xlfn.XLOOKUP(Table1[[#This Row],[ProductID]],Products!A:A,Products!D:D,,0)</f>
        <v>75</v>
      </c>
      <c r="I9">
        <v>299</v>
      </c>
      <c r="J9">
        <v>239</v>
      </c>
      <c r="K9" t="s">
        <v>1097</v>
      </c>
      <c r="L9">
        <v>239</v>
      </c>
      <c r="M9" t="s">
        <v>1093</v>
      </c>
      <c r="N9" t="s">
        <v>1099</v>
      </c>
      <c r="O9">
        <f>Table1[[#This Row],[Unit_Price]]*Table1[[#This Row],[Quantity]]</f>
        <v>75</v>
      </c>
    </row>
    <row r="10" spans="1:15" x14ac:dyDescent="0.3">
      <c r="A10" t="s">
        <v>1114</v>
      </c>
      <c r="B10" t="s">
        <v>1115</v>
      </c>
      <c r="C10" t="s">
        <v>567</v>
      </c>
      <c r="D10" t="s">
        <v>1071</v>
      </c>
      <c r="E10">
        <v>2</v>
      </c>
      <c r="F10">
        <f>_xlfn.XLOOKUP(Table1[[#This Row],[ProductID]],Products!A:A,Products!D:D,,0)</f>
        <v>125</v>
      </c>
      <c r="I10">
        <v>399</v>
      </c>
      <c r="J10">
        <v>319</v>
      </c>
      <c r="K10" t="s">
        <v>1097</v>
      </c>
      <c r="L10">
        <v>638</v>
      </c>
      <c r="M10" t="s">
        <v>1093</v>
      </c>
      <c r="N10" t="s">
        <v>1094</v>
      </c>
      <c r="O10">
        <f>Table1[[#This Row],[Unit_Price]]*Table1[[#This Row],[Quantity]]</f>
        <v>250</v>
      </c>
    </row>
    <row r="11" spans="1:15" x14ac:dyDescent="0.3">
      <c r="A11" t="s">
        <v>1116</v>
      </c>
      <c r="B11" t="s">
        <v>1117</v>
      </c>
      <c r="C11" t="s">
        <v>1005</v>
      </c>
      <c r="D11" t="s">
        <v>1051</v>
      </c>
      <c r="E11">
        <v>1</v>
      </c>
      <c r="F11">
        <f>_xlfn.XLOOKUP(Table1[[#This Row],[ProductID]],Products!A:A,Products!D:D,,0)</f>
        <v>150</v>
      </c>
      <c r="I11">
        <v>499</v>
      </c>
      <c r="J11">
        <v>449</v>
      </c>
      <c r="K11" t="s">
        <v>1107</v>
      </c>
      <c r="L11">
        <v>449</v>
      </c>
      <c r="M11" t="s">
        <v>1118</v>
      </c>
      <c r="N11" t="s">
        <v>1099</v>
      </c>
      <c r="O11">
        <f>Table1[[#This Row],[Unit_Price]]*Table1[[#This Row],[Quantity]]</f>
        <v>150</v>
      </c>
    </row>
    <row r="12" spans="1:15" x14ac:dyDescent="0.3">
      <c r="A12" t="s">
        <v>1119</v>
      </c>
      <c r="B12" t="s">
        <v>1120</v>
      </c>
      <c r="C12" t="s">
        <v>339</v>
      </c>
      <c r="D12" t="s">
        <v>1057</v>
      </c>
      <c r="E12">
        <v>2</v>
      </c>
      <c r="F12">
        <f>_xlfn.XLOOKUP(Table1[[#This Row],[ProductID]],Products!A:A,Products!D:D,,0)</f>
        <v>130</v>
      </c>
      <c r="I12">
        <v>549</v>
      </c>
      <c r="J12">
        <v>549</v>
      </c>
      <c r="K12" t="s">
        <v>1102</v>
      </c>
      <c r="L12">
        <v>1098</v>
      </c>
      <c r="M12" t="s">
        <v>1093</v>
      </c>
      <c r="N12" t="s">
        <v>1099</v>
      </c>
      <c r="O12">
        <f>Table1[[#This Row],[Unit_Price]]*Table1[[#This Row],[Quantity]]</f>
        <v>260</v>
      </c>
    </row>
    <row r="13" spans="1:15" x14ac:dyDescent="0.3">
      <c r="A13" t="s">
        <v>1121</v>
      </c>
      <c r="B13" t="s">
        <v>1122</v>
      </c>
      <c r="C13" t="s">
        <v>925</v>
      </c>
      <c r="D13" t="s">
        <v>1057</v>
      </c>
      <c r="E13">
        <v>1</v>
      </c>
      <c r="F13">
        <f>_xlfn.XLOOKUP(Table1[[#This Row],[ProductID]],Products!A:A,Products!D:D,,0)</f>
        <v>130</v>
      </c>
      <c r="I13">
        <v>549</v>
      </c>
      <c r="J13">
        <v>494</v>
      </c>
      <c r="K13" t="s">
        <v>1107</v>
      </c>
      <c r="L13">
        <v>494</v>
      </c>
      <c r="M13" t="s">
        <v>1093</v>
      </c>
      <c r="N13" t="s">
        <v>1123</v>
      </c>
      <c r="O13">
        <f>Table1[[#This Row],[Unit_Price]]*Table1[[#This Row],[Quantity]]</f>
        <v>130</v>
      </c>
    </row>
    <row r="14" spans="1:15" x14ac:dyDescent="0.3">
      <c r="A14" t="s">
        <v>1124</v>
      </c>
      <c r="B14" t="s">
        <v>1125</v>
      </c>
      <c r="C14" t="s">
        <v>1019</v>
      </c>
      <c r="D14" t="s">
        <v>1057</v>
      </c>
      <c r="E14">
        <v>2</v>
      </c>
      <c r="F14">
        <f>_xlfn.XLOOKUP(Table1[[#This Row],[ProductID]],Products!A:A,Products!D:D,,0)</f>
        <v>130</v>
      </c>
      <c r="I14">
        <v>549</v>
      </c>
      <c r="J14">
        <v>549</v>
      </c>
      <c r="K14" t="s">
        <v>1102</v>
      </c>
      <c r="L14">
        <v>1098</v>
      </c>
      <c r="M14" t="s">
        <v>1126</v>
      </c>
      <c r="N14" t="s">
        <v>1099</v>
      </c>
      <c r="O14">
        <f>Table1[[#This Row],[Unit_Price]]*Table1[[#This Row],[Quantity]]</f>
        <v>260</v>
      </c>
    </row>
    <row r="15" spans="1:15" x14ac:dyDescent="0.3">
      <c r="A15" t="s">
        <v>1127</v>
      </c>
      <c r="B15" t="s">
        <v>1128</v>
      </c>
      <c r="C15" t="s">
        <v>251</v>
      </c>
      <c r="D15" t="s">
        <v>1080</v>
      </c>
      <c r="E15">
        <v>3</v>
      </c>
      <c r="F15">
        <f>_xlfn.XLOOKUP(Table1[[#This Row],[ProductID]],Products!A:A,Products!D:D,,0)</f>
        <v>45</v>
      </c>
      <c r="I15">
        <v>249</v>
      </c>
      <c r="J15">
        <v>224</v>
      </c>
      <c r="K15" t="s">
        <v>1107</v>
      </c>
      <c r="L15">
        <v>672</v>
      </c>
      <c r="M15" t="s">
        <v>1098</v>
      </c>
      <c r="N15" t="s">
        <v>1099</v>
      </c>
      <c r="O15">
        <f>Table1[[#This Row],[Unit_Price]]*Table1[[#This Row],[Quantity]]</f>
        <v>135</v>
      </c>
    </row>
    <row r="16" spans="1:15" x14ac:dyDescent="0.3">
      <c r="A16" t="s">
        <v>1129</v>
      </c>
      <c r="B16" t="s">
        <v>1130</v>
      </c>
      <c r="C16" t="s">
        <v>559</v>
      </c>
      <c r="D16" t="s">
        <v>1053</v>
      </c>
      <c r="E16">
        <v>1</v>
      </c>
      <c r="F16">
        <f>_xlfn.XLOOKUP(Table1[[#This Row],[ProductID]],Products!A:A,Products!D:D,,0)</f>
        <v>200</v>
      </c>
      <c r="I16">
        <v>899</v>
      </c>
      <c r="J16">
        <v>899</v>
      </c>
      <c r="K16" t="s">
        <v>1102</v>
      </c>
      <c r="L16">
        <v>899</v>
      </c>
      <c r="M16" t="s">
        <v>1093</v>
      </c>
      <c r="N16" t="s">
        <v>1099</v>
      </c>
      <c r="O16">
        <f>Table1[[#This Row],[Unit_Price]]*Table1[[#This Row],[Quantity]]</f>
        <v>200</v>
      </c>
    </row>
    <row r="17" spans="1:15" x14ac:dyDescent="0.3">
      <c r="A17" t="s">
        <v>1131</v>
      </c>
      <c r="B17" t="s">
        <v>1132</v>
      </c>
      <c r="C17" t="s">
        <v>665</v>
      </c>
      <c r="D17" t="s">
        <v>1055</v>
      </c>
      <c r="E17">
        <v>1</v>
      </c>
      <c r="F17">
        <f>_xlfn.XLOOKUP(Table1[[#This Row],[ProductID]],Products!A:A,Products!D:D,,0)</f>
        <v>75</v>
      </c>
      <c r="I17">
        <v>299</v>
      </c>
      <c r="J17">
        <v>239</v>
      </c>
      <c r="K17" t="s">
        <v>1097</v>
      </c>
      <c r="L17">
        <v>239</v>
      </c>
      <c r="M17" t="s">
        <v>1093</v>
      </c>
      <c r="N17" t="s">
        <v>1099</v>
      </c>
      <c r="O17">
        <f>Table1[[#This Row],[Unit_Price]]*Table1[[#This Row],[Quantity]]</f>
        <v>75</v>
      </c>
    </row>
    <row r="18" spans="1:15" x14ac:dyDescent="0.3">
      <c r="A18" t="s">
        <v>1133</v>
      </c>
      <c r="B18" t="s">
        <v>1134</v>
      </c>
      <c r="C18" t="s">
        <v>413</v>
      </c>
      <c r="D18" t="s">
        <v>1064</v>
      </c>
      <c r="E18">
        <v>2</v>
      </c>
      <c r="F18">
        <f>_xlfn.XLOOKUP(Table1[[#This Row],[ProductID]],Products!A:A,Products!D:D,,0)</f>
        <v>160</v>
      </c>
      <c r="I18">
        <v>699</v>
      </c>
      <c r="J18">
        <v>699</v>
      </c>
      <c r="K18" t="s">
        <v>1102</v>
      </c>
      <c r="L18">
        <v>1398</v>
      </c>
      <c r="M18" t="s">
        <v>1093</v>
      </c>
      <c r="N18" t="s">
        <v>1099</v>
      </c>
      <c r="O18">
        <f>Table1[[#This Row],[Unit_Price]]*Table1[[#This Row],[Quantity]]</f>
        <v>320</v>
      </c>
    </row>
    <row r="19" spans="1:15" x14ac:dyDescent="0.3">
      <c r="A19" t="s">
        <v>1135</v>
      </c>
      <c r="B19" t="s">
        <v>1136</v>
      </c>
      <c r="C19" t="s">
        <v>811</v>
      </c>
      <c r="D19" t="s">
        <v>1048</v>
      </c>
      <c r="E19">
        <v>1</v>
      </c>
      <c r="F19">
        <f>_xlfn.XLOOKUP(Table1[[#This Row],[ProductID]],Products!A:A,Products!D:D,,0)</f>
        <v>120</v>
      </c>
      <c r="I19">
        <v>599</v>
      </c>
      <c r="J19">
        <v>539</v>
      </c>
      <c r="K19" t="s">
        <v>1107</v>
      </c>
      <c r="L19">
        <v>539</v>
      </c>
      <c r="M19" t="s">
        <v>1118</v>
      </c>
      <c r="N19" t="s">
        <v>1099</v>
      </c>
      <c r="O19">
        <f>Table1[[#This Row],[Unit_Price]]*Table1[[#This Row],[Quantity]]</f>
        <v>120</v>
      </c>
    </row>
    <row r="20" spans="1:15" x14ac:dyDescent="0.3">
      <c r="A20" t="s">
        <v>1137</v>
      </c>
      <c r="B20" t="s">
        <v>1138</v>
      </c>
      <c r="C20" t="s">
        <v>851</v>
      </c>
      <c r="D20" t="s">
        <v>1071</v>
      </c>
      <c r="E20">
        <v>2</v>
      </c>
      <c r="F20">
        <f>_xlfn.XLOOKUP(Table1[[#This Row],[ProductID]],Products!A:A,Products!D:D,,0)</f>
        <v>125</v>
      </c>
      <c r="I20">
        <v>399</v>
      </c>
      <c r="J20">
        <v>399</v>
      </c>
      <c r="K20" t="s">
        <v>1102</v>
      </c>
      <c r="L20">
        <v>798</v>
      </c>
      <c r="M20" t="s">
        <v>1098</v>
      </c>
      <c r="N20" t="s">
        <v>1099</v>
      </c>
      <c r="O20">
        <f>Table1[[#This Row],[Unit_Price]]*Table1[[#This Row],[Quantity]]</f>
        <v>250</v>
      </c>
    </row>
    <row r="21" spans="1:15" x14ac:dyDescent="0.3">
      <c r="A21" t="s">
        <v>1139</v>
      </c>
      <c r="B21" t="s">
        <v>1140</v>
      </c>
      <c r="C21" t="s">
        <v>138</v>
      </c>
      <c r="D21" t="s">
        <v>1064</v>
      </c>
      <c r="E21">
        <v>2</v>
      </c>
      <c r="F21">
        <f>_xlfn.XLOOKUP(Table1[[#This Row],[ProductID]],Products!A:A,Products!D:D,,0)</f>
        <v>160</v>
      </c>
      <c r="I21">
        <v>699</v>
      </c>
      <c r="J21">
        <v>559</v>
      </c>
      <c r="K21" t="s">
        <v>1097</v>
      </c>
      <c r="L21">
        <v>1118</v>
      </c>
      <c r="M21" t="s">
        <v>1098</v>
      </c>
      <c r="N21" t="s">
        <v>1099</v>
      </c>
      <c r="O21">
        <f>Table1[[#This Row],[Unit_Price]]*Table1[[#This Row],[Quantity]]</f>
        <v>320</v>
      </c>
    </row>
    <row r="22" spans="1:15" x14ac:dyDescent="0.3">
      <c r="A22" t="s">
        <v>1141</v>
      </c>
      <c r="B22" t="s">
        <v>1142</v>
      </c>
      <c r="C22" t="s">
        <v>443</v>
      </c>
      <c r="D22" t="s">
        <v>1078</v>
      </c>
      <c r="E22">
        <v>2</v>
      </c>
      <c r="F22">
        <f>_xlfn.XLOOKUP(Table1[[#This Row],[ProductID]],Products!A:A,Products!D:D,,0)</f>
        <v>80</v>
      </c>
      <c r="I22">
        <v>499</v>
      </c>
      <c r="J22">
        <v>449</v>
      </c>
      <c r="K22" t="s">
        <v>1107</v>
      </c>
      <c r="L22">
        <v>898</v>
      </c>
      <c r="M22" t="s">
        <v>1093</v>
      </c>
      <c r="N22" t="s">
        <v>1099</v>
      </c>
      <c r="O22">
        <f>Table1[[#This Row],[Unit_Price]]*Table1[[#This Row],[Quantity]]</f>
        <v>160</v>
      </c>
    </row>
    <row r="23" spans="1:15" x14ac:dyDescent="0.3">
      <c r="A23" t="s">
        <v>1143</v>
      </c>
      <c r="B23" t="s">
        <v>1144</v>
      </c>
      <c r="C23" t="s">
        <v>855</v>
      </c>
      <c r="D23" t="s">
        <v>1055</v>
      </c>
      <c r="E23">
        <v>2</v>
      </c>
      <c r="F23">
        <f>_xlfn.XLOOKUP(Table1[[#This Row],[ProductID]],Products!A:A,Products!D:D,,0)</f>
        <v>75</v>
      </c>
      <c r="I23">
        <v>299</v>
      </c>
      <c r="J23">
        <v>299</v>
      </c>
      <c r="K23" t="s">
        <v>1102</v>
      </c>
      <c r="L23">
        <v>598</v>
      </c>
      <c r="M23" t="s">
        <v>1098</v>
      </c>
      <c r="N23" t="s">
        <v>1099</v>
      </c>
      <c r="O23">
        <f>Table1[[#This Row],[Unit_Price]]*Table1[[#This Row],[Quantity]]</f>
        <v>150</v>
      </c>
    </row>
    <row r="24" spans="1:15" x14ac:dyDescent="0.3">
      <c r="A24" t="s">
        <v>1145</v>
      </c>
      <c r="B24" t="s">
        <v>1146</v>
      </c>
      <c r="C24" t="s">
        <v>349</v>
      </c>
      <c r="D24" t="s">
        <v>1064</v>
      </c>
      <c r="E24">
        <v>2</v>
      </c>
      <c r="F24">
        <f>_xlfn.XLOOKUP(Table1[[#This Row],[ProductID]],Products!A:A,Products!D:D,,0)</f>
        <v>160</v>
      </c>
      <c r="I24">
        <v>699</v>
      </c>
      <c r="J24">
        <v>629</v>
      </c>
      <c r="K24" t="s">
        <v>1107</v>
      </c>
      <c r="L24">
        <v>1258</v>
      </c>
      <c r="M24" t="s">
        <v>1093</v>
      </c>
      <c r="N24" t="s">
        <v>1099</v>
      </c>
      <c r="O24">
        <f>Table1[[#This Row],[Unit_Price]]*Table1[[#This Row],[Quantity]]</f>
        <v>320</v>
      </c>
    </row>
    <row r="25" spans="1:15" x14ac:dyDescent="0.3">
      <c r="A25" t="s">
        <v>1147</v>
      </c>
      <c r="B25" t="s">
        <v>1148</v>
      </c>
      <c r="C25" t="s">
        <v>467</v>
      </c>
      <c r="D25" t="s">
        <v>1048</v>
      </c>
      <c r="E25">
        <v>1</v>
      </c>
      <c r="F25">
        <f>_xlfn.XLOOKUP(Table1[[#This Row],[ProductID]],Products!A:A,Products!D:D,,0)</f>
        <v>120</v>
      </c>
      <c r="I25">
        <v>599</v>
      </c>
      <c r="J25">
        <v>479</v>
      </c>
      <c r="K25" t="s">
        <v>1097</v>
      </c>
      <c r="L25">
        <v>479</v>
      </c>
      <c r="M25" t="s">
        <v>1093</v>
      </c>
      <c r="N25" t="s">
        <v>1099</v>
      </c>
      <c r="O25">
        <f>Table1[[#This Row],[Unit_Price]]*Table1[[#This Row],[Quantity]]</f>
        <v>120</v>
      </c>
    </row>
    <row r="26" spans="1:15" x14ac:dyDescent="0.3">
      <c r="A26" t="s">
        <v>1149</v>
      </c>
      <c r="B26" t="s">
        <v>1150</v>
      </c>
      <c r="C26" t="s">
        <v>583</v>
      </c>
      <c r="D26" t="s">
        <v>1078</v>
      </c>
      <c r="E26">
        <v>1</v>
      </c>
      <c r="F26">
        <f>_xlfn.XLOOKUP(Table1[[#This Row],[ProductID]],Products!A:A,Products!D:D,,0)</f>
        <v>80</v>
      </c>
      <c r="I26">
        <v>499</v>
      </c>
      <c r="J26">
        <v>424</v>
      </c>
      <c r="K26" t="s">
        <v>1092</v>
      </c>
      <c r="L26">
        <v>424</v>
      </c>
      <c r="M26" t="s">
        <v>1098</v>
      </c>
      <c r="N26" t="s">
        <v>1099</v>
      </c>
      <c r="O26">
        <f>Table1[[#This Row],[Unit_Price]]*Table1[[#This Row],[Quantity]]</f>
        <v>80</v>
      </c>
    </row>
    <row r="27" spans="1:15" x14ac:dyDescent="0.3">
      <c r="A27" t="s">
        <v>1151</v>
      </c>
      <c r="B27" t="s">
        <v>1152</v>
      </c>
      <c r="C27" t="s">
        <v>455</v>
      </c>
      <c r="D27" t="s">
        <v>1078</v>
      </c>
      <c r="E27">
        <v>1</v>
      </c>
      <c r="F27">
        <f>_xlfn.XLOOKUP(Table1[[#This Row],[ProductID]],Products!A:A,Products!D:D,,0)</f>
        <v>80</v>
      </c>
      <c r="I27">
        <v>499</v>
      </c>
      <c r="J27">
        <v>499</v>
      </c>
      <c r="K27" t="s">
        <v>1102</v>
      </c>
      <c r="L27">
        <v>499</v>
      </c>
      <c r="M27" t="s">
        <v>1098</v>
      </c>
      <c r="N27" t="s">
        <v>1099</v>
      </c>
      <c r="O27">
        <f>Table1[[#This Row],[Unit_Price]]*Table1[[#This Row],[Quantity]]</f>
        <v>80</v>
      </c>
    </row>
    <row r="28" spans="1:15" x14ac:dyDescent="0.3">
      <c r="A28" t="s">
        <v>1153</v>
      </c>
      <c r="B28" t="s">
        <v>1154</v>
      </c>
      <c r="C28" t="s">
        <v>797</v>
      </c>
      <c r="D28" t="s">
        <v>1078</v>
      </c>
      <c r="E28">
        <v>2</v>
      </c>
      <c r="F28">
        <f>_xlfn.XLOOKUP(Table1[[#This Row],[ProductID]],Products!A:A,Products!D:D,,0)</f>
        <v>80</v>
      </c>
      <c r="I28">
        <v>499</v>
      </c>
      <c r="J28">
        <v>449</v>
      </c>
      <c r="K28" t="s">
        <v>1107</v>
      </c>
      <c r="L28">
        <v>898</v>
      </c>
      <c r="M28" t="s">
        <v>1098</v>
      </c>
      <c r="N28" t="s">
        <v>1099</v>
      </c>
      <c r="O28">
        <f>Table1[[#This Row],[Unit_Price]]*Table1[[#This Row],[Quantity]]</f>
        <v>160</v>
      </c>
    </row>
    <row r="29" spans="1:15" x14ac:dyDescent="0.3">
      <c r="A29" t="s">
        <v>1155</v>
      </c>
      <c r="B29" t="s">
        <v>1156</v>
      </c>
      <c r="C29" t="s">
        <v>271</v>
      </c>
      <c r="D29" t="s">
        <v>1057</v>
      </c>
      <c r="E29">
        <v>2</v>
      </c>
      <c r="F29">
        <f>_xlfn.XLOOKUP(Table1[[#This Row],[ProductID]],Products!A:A,Products!D:D,,0)</f>
        <v>130</v>
      </c>
      <c r="I29">
        <v>549</v>
      </c>
      <c r="J29">
        <v>494</v>
      </c>
      <c r="K29" t="s">
        <v>1107</v>
      </c>
      <c r="L29">
        <v>988</v>
      </c>
      <c r="M29" t="s">
        <v>1093</v>
      </c>
      <c r="N29" t="s">
        <v>1123</v>
      </c>
      <c r="O29">
        <f>Table1[[#This Row],[Unit_Price]]*Table1[[#This Row],[Quantity]]</f>
        <v>260</v>
      </c>
    </row>
    <row r="30" spans="1:15" x14ac:dyDescent="0.3">
      <c r="A30" t="s">
        <v>1157</v>
      </c>
      <c r="B30" t="s">
        <v>1158</v>
      </c>
      <c r="C30" t="s">
        <v>525</v>
      </c>
      <c r="D30" t="s">
        <v>1073</v>
      </c>
      <c r="E30">
        <v>1</v>
      </c>
      <c r="F30">
        <f>_xlfn.XLOOKUP(Table1[[#This Row],[ProductID]],Products!A:A,Products!D:D,,0)</f>
        <v>100</v>
      </c>
      <c r="I30">
        <v>349</v>
      </c>
      <c r="J30">
        <v>297</v>
      </c>
      <c r="K30" t="s">
        <v>1092</v>
      </c>
      <c r="L30">
        <v>297</v>
      </c>
      <c r="M30" t="s">
        <v>1093</v>
      </c>
      <c r="N30" t="s">
        <v>1099</v>
      </c>
      <c r="O30">
        <f>Table1[[#This Row],[Unit_Price]]*Table1[[#This Row],[Quantity]]</f>
        <v>100</v>
      </c>
    </row>
    <row r="31" spans="1:15" x14ac:dyDescent="0.3">
      <c r="A31" t="s">
        <v>1159</v>
      </c>
      <c r="B31" t="s">
        <v>1160</v>
      </c>
      <c r="C31" t="s">
        <v>185</v>
      </c>
      <c r="D31" t="s">
        <v>1075</v>
      </c>
      <c r="E31">
        <v>4</v>
      </c>
      <c r="F31">
        <f>_xlfn.XLOOKUP(Table1[[#This Row],[ProductID]],Products!A:A,Products!D:D,,0)</f>
        <v>80</v>
      </c>
      <c r="I31">
        <v>499</v>
      </c>
      <c r="J31">
        <v>499</v>
      </c>
      <c r="K31" t="s">
        <v>1102</v>
      </c>
      <c r="L31">
        <v>1996</v>
      </c>
      <c r="M31" t="s">
        <v>1093</v>
      </c>
      <c r="N31" t="s">
        <v>1099</v>
      </c>
      <c r="O31">
        <f>Table1[[#This Row],[Unit_Price]]*Table1[[#This Row],[Quantity]]</f>
        <v>320</v>
      </c>
    </row>
    <row r="32" spans="1:15" x14ac:dyDescent="0.3">
      <c r="A32" t="s">
        <v>1161</v>
      </c>
      <c r="B32" t="s">
        <v>1162</v>
      </c>
      <c r="C32" t="s">
        <v>711</v>
      </c>
      <c r="D32" t="s">
        <v>1048</v>
      </c>
      <c r="E32">
        <v>1</v>
      </c>
      <c r="F32">
        <f>_xlfn.XLOOKUP(Table1[[#This Row],[ProductID]],Products!A:A,Products!D:D,,0)</f>
        <v>120</v>
      </c>
      <c r="I32">
        <v>599</v>
      </c>
      <c r="J32">
        <v>509</v>
      </c>
      <c r="K32" t="s">
        <v>1092</v>
      </c>
      <c r="L32">
        <v>509</v>
      </c>
      <c r="M32" t="s">
        <v>1098</v>
      </c>
      <c r="N32" t="s">
        <v>1099</v>
      </c>
      <c r="O32">
        <f>Table1[[#This Row],[Unit_Price]]*Table1[[#This Row],[Quantity]]</f>
        <v>120</v>
      </c>
    </row>
    <row r="33" spans="1:15" x14ac:dyDescent="0.3">
      <c r="A33" t="s">
        <v>1163</v>
      </c>
      <c r="B33" t="s">
        <v>1164</v>
      </c>
      <c r="C33" t="s">
        <v>861</v>
      </c>
      <c r="D33" t="s">
        <v>1055</v>
      </c>
      <c r="E33">
        <v>1</v>
      </c>
      <c r="F33">
        <f>_xlfn.XLOOKUP(Table1[[#This Row],[ProductID]],Products!A:A,Products!D:D,,0)</f>
        <v>75</v>
      </c>
      <c r="I33">
        <v>299</v>
      </c>
      <c r="J33">
        <v>299</v>
      </c>
      <c r="K33" t="s">
        <v>1102</v>
      </c>
      <c r="L33">
        <v>299</v>
      </c>
      <c r="M33" t="s">
        <v>1098</v>
      </c>
      <c r="N33" t="s">
        <v>1099</v>
      </c>
      <c r="O33">
        <f>Table1[[#This Row],[Unit_Price]]*Table1[[#This Row],[Quantity]]</f>
        <v>75</v>
      </c>
    </row>
    <row r="34" spans="1:15" x14ac:dyDescent="0.3">
      <c r="A34" t="s">
        <v>1165</v>
      </c>
      <c r="B34" t="s">
        <v>1166</v>
      </c>
      <c r="C34" t="s">
        <v>559</v>
      </c>
      <c r="D34" t="s">
        <v>1078</v>
      </c>
      <c r="E34">
        <v>2</v>
      </c>
      <c r="F34">
        <f>_xlfn.XLOOKUP(Table1[[#This Row],[ProductID]],Products!A:A,Products!D:D,,0)</f>
        <v>80</v>
      </c>
      <c r="I34">
        <v>499</v>
      </c>
      <c r="J34">
        <v>449</v>
      </c>
      <c r="K34" t="s">
        <v>1107</v>
      </c>
      <c r="L34">
        <v>898</v>
      </c>
      <c r="M34" t="s">
        <v>1098</v>
      </c>
      <c r="N34" t="s">
        <v>1099</v>
      </c>
      <c r="O34">
        <f>Table1[[#This Row],[Unit_Price]]*Table1[[#This Row],[Quantity]]</f>
        <v>160</v>
      </c>
    </row>
    <row r="35" spans="1:15" x14ac:dyDescent="0.3">
      <c r="A35" t="s">
        <v>1167</v>
      </c>
      <c r="B35" t="s">
        <v>1168</v>
      </c>
      <c r="C35" t="s">
        <v>329</v>
      </c>
      <c r="D35" t="s">
        <v>1075</v>
      </c>
      <c r="E35">
        <v>3</v>
      </c>
      <c r="F35">
        <f>_xlfn.XLOOKUP(Table1[[#This Row],[ProductID]],Products!A:A,Products!D:D,,0)</f>
        <v>80</v>
      </c>
      <c r="I35">
        <v>499</v>
      </c>
      <c r="J35">
        <v>424</v>
      </c>
      <c r="K35" t="s">
        <v>1092</v>
      </c>
      <c r="L35">
        <v>1272</v>
      </c>
      <c r="M35" t="s">
        <v>1098</v>
      </c>
      <c r="N35" t="s">
        <v>1099</v>
      </c>
      <c r="O35">
        <f>Table1[[#This Row],[Unit_Price]]*Table1[[#This Row],[Quantity]]</f>
        <v>240</v>
      </c>
    </row>
    <row r="36" spans="1:15" x14ac:dyDescent="0.3">
      <c r="A36" t="s">
        <v>1169</v>
      </c>
      <c r="B36" t="s">
        <v>1170</v>
      </c>
      <c r="C36" t="s">
        <v>963</v>
      </c>
      <c r="D36" t="s">
        <v>1068</v>
      </c>
      <c r="E36">
        <v>1</v>
      </c>
      <c r="F36">
        <f>_xlfn.XLOOKUP(Table1[[#This Row],[ProductID]],Products!A:A,Products!D:D,,0)</f>
        <v>180</v>
      </c>
      <c r="I36">
        <v>449</v>
      </c>
      <c r="J36">
        <v>359</v>
      </c>
      <c r="K36" t="s">
        <v>1097</v>
      </c>
      <c r="L36">
        <v>359</v>
      </c>
      <c r="M36" t="s">
        <v>1126</v>
      </c>
      <c r="N36" t="s">
        <v>1099</v>
      </c>
      <c r="O36">
        <f>Table1[[#This Row],[Unit_Price]]*Table1[[#This Row],[Quantity]]</f>
        <v>180</v>
      </c>
    </row>
    <row r="37" spans="1:15" x14ac:dyDescent="0.3">
      <c r="A37" t="s">
        <v>1171</v>
      </c>
      <c r="B37" t="s">
        <v>1172</v>
      </c>
      <c r="C37" t="s">
        <v>130</v>
      </c>
      <c r="D37" t="s">
        <v>1051</v>
      </c>
      <c r="E37">
        <v>1</v>
      </c>
      <c r="F37">
        <f>_xlfn.XLOOKUP(Table1[[#This Row],[ProductID]],Products!A:A,Products!D:D,,0)</f>
        <v>150</v>
      </c>
      <c r="I37">
        <v>499</v>
      </c>
      <c r="J37">
        <v>499</v>
      </c>
      <c r="K37" t="s">
        <v>1102</v>
      </c>
      <c r="L37">
        <v>499</v>
      </c>
      <c r="M37" t="s">
        <v>1118</v>
      </c>
      <c r="N37" t="s">
        <v>1099</v>
      </c>
      <c r="O37">
        <f>Table1[[#This Row],[Unit_Price]]*Table1[[#This Row],[Quantity]]</f>
        <v>150</v>
      </c>
    </row>
    <row r="38" spans="1:15" x14ac:dyDescent="0.3">
      <c r="A38" t="s">
        <v>1173</v>
      </c>
      <c r="B38" t="s">
        <v>1174</v>
      </c>
      <c r="C38" t="s">
        <v>52</v>
      </c>
      <c r="D38" t="s">
        <v>1053</v>
      </c>
      <c r="E38">
        <v>2</v>
      </c>
      <c r="F38">
        <f>_xlfn.XLOOKUP(Table1[[#This Row],[ProductID]],Products!A:A,Products!D:D,,0)</f>
        <v>200</v>
      </c>
      <c r="I38">
        <v>899</v>
      </c>
      <c r="J38">
        <v>719</v>
      </c>
      <c r="K38" t="s">
        <v>1097</v>
      </c>
      <c r="L38">
        <v>1438</v>
      </c>
      <c r="M38" t="s">
        <v>1093</v>
      </c>
      <c r="N38" t="s">
        <v>1094</v>
      </c>
      <c r="O38">
        <f>Table1[[#This Row],[Unit_Price]]*Table1[[#This Row],[Quantity]]</f>
        <v>400</v>
      </c>
    </row>
    <row r="39" spans="1:15" x14ac:dyDescent="0.3">
      <c r="A39" t="s">
        <v>1175</v>
      </c>
      <c r="B39" t="s">
        <v>1176</v>
      </c>
      <c r="C39" t="s">
        <v>93</v>
      </c>
      <c r="D39" t="s">
        <v>1057</v>
      </c>
      <c r="E39">
        <v>1</v>
      </c>
      <c r="F39">
        <f>_xlfn.XLOOKUP(Table1[[#This Row],[ProductID]],Products!A:A,Products!D:D,,0)</f>
        <v>130</v>
      </c>
      <c r="I39">
        <v>549</v>
      </c>
      <c r="J39">
        <v>467</v>
      </c>
      <c r="K39" t="s">
        <v>1092</v>
      </c>
      <c r="L39">
        <v>467</v>
      </c>
      <c r="M39" t="s">
        <v>1093</v>
      </c>
      <c r="N39" t="s">
        <v>1099</v>
      </c>
      <c r="O39">
        <f>Table1[[#This Row],[Unit_Price]]*Table1[[#This Row],[Quantity]]</f>
        <v>130</v>
      </c>
    </row>
    <row r="40" spans="1:15" x14ac:dyDescent="0.3">
      <c r="A40" t="s">
        <v>1177</v>
      </c>
      <c r="B40" t="s">
        <v>1178</v>
      </c>
      <c r="C40" t="s">
        <v>857</v>
      </c>
      <c r="D40" t="s">
        <v>1048</v>
      </c>
      <c r="E40">
        <v>1</v>
      </c>
      <c r="F40">
        <f>_xlfn.XLOOKUP(Table1[[#This Row],[ProductID]],Products!A:A,Products!D:D,,0)</f>
        <v>120</v>
      </c>
      <c r="I40">
        <v>599</v>
      </c>
      <c r="J40">
        <v>539</v>
      </c>
      <c r="K40" t="s">
        <v>1107</v>
      </c>
      <c r="L40">
        <v>539</v>
      </c>
      <c r="M40" t="s">
        <v>1098</v>
      </c>
      <c r="N40" t="s">
        <v>1099</v>
      </c>
      <c r="O40">
        <f>Table1[[#This Row],[Unit_Price]]*Table1[[#This Row],[Quantity]]</f>
        <v>120</v>
      </c>
    </row>
    <row r="41" spans="1:15" x14ac:dyDescent="0.3">
      <c r="A41" t="s">
        <v>1179</v>
      </c>
      <c r="B41" t="s">
        <v>1180</v>
      </c>
      <c r="C41" t="s">
        <v>219</v>
      </c>
      <c r="D41" t="s">
        <v>1064</v>
      </c>
      <c r="E41">
        <v>4</v>
      </c>
      <c r="F41">
        <f>_xlfn.XLOOKUP(Table1[[#This Row],[ProductID]],Products!A:A,Products!D:D,,0)</f>
        <v>160</v>
      </c>
      <c r="I41">
        <v>699</v>
      </c>
      <c r="J41">
        <v>629</v>
      </c>
      <c r="K41" t="s">
        <v>1107</v>
      </c>
      <c r="L41">
        <v>2516</v>
      </c>
      <c r="M41" t="s">
        <v>1118</v>
      </c>
      <c r="N41" t="s">
        <v>1099</v>
      </c>
      <c r="O41">
        <f>Table1[[#This Row],[Unit_Price]]*Table1[[#This Row],[Quantity]]</f>
        <v>640</v>
      </c>
    </row>
    <row r="42" spans="1:15" x14ac:dyDescent="0.3">
      <c r="A42" t="s">
        <v>1181</v>
      </c>
      <c r="B42" t="s">
        <v>1182</v>
      </c>
      <c r="C42" t="s">
        <v>489</v>
      </c>
      <c r="D42" t="s">
        <v>1051</v>
      </c>
      <c r="E42">
        <v>1</v>
      </c>
      <c r="F42">
        <f>_xlfn.XLOOKUP(Table1[[#This Row],[ProductID]],Products!A:A,Products!D:D,,0)</f>
        <v>150</v>
      </c>
      <c r="I42">
        <v>499</v>
      </c>
      <c r="J42">
        <v>499</v>
      </c>
      <c r="K42" t="s">
        <v>1102</v>
      </c>
      <c r="L42">
        <v>499</v>
      </c>
      <c r="M42" t="s">
        <v>1098</v>
      </c>
      <c r="N42" t="s">
        <v>1099</v>
      </c>
      <c r="O42">
        <f>Table1[[#This Row],[Unit_Price]]*Table1[[#This Row],[Quantity]]</f>
        <v>150</v>
      </c>
    </row>
    <row r="43" spans="1:15" x14ac:dyDescent="0.3">
      <c r="A43" t="s">
        <v>1183</v>
      </c>
      <c r="B43" t="s">
        <v>1184</v>
      </c>
      <c r="C43" t="s">
        <v>395</v>
      </c>
      <c r="D43" t="s">
        <v>1075</v>
      </c>
      <c r="E43">
        <v>2</v>
      </c>
      <c r="F43">
        <f>_xlfn.XLOOKUP(Table1[[#This Row],[ProductID]],Products!A:A,Products!D:D,,0)</f>
        <v>80</v>
      </c>
      <c r="I43">
        <v>499</v>
      </c>
      <c r="J43">
        <v>499</v>
      </c>
      <c r="K43" t="s">
        <v>1102</v>
      </c>
      <c r="L43">
        <v>998</v>
      </c>
      <c r="M43" t="s">
        <v>1098</v>
      </c>
      <c r="N43" t="s">
        <v>1099</v>
      </c>
      <c r="O43">
        <f>Table1[[#This Row],[Unit_Price]]*Table1[[#This Row],[Quantity]]</f>
        <v>160</v>
      </c>
    </row>
    <row r="44" spans="1:15" x14ac:dyDescent="0.3">
      <c r="A44" t="s">
        <v>1185</v>
      </c>
      <c r="B44" t="s">
        <v>1186</v>
      </c>
      <c r="C44" t="s">
        <v>253</v>
      </c>
      <c r="D44" t="s">
        <v>1080</v>
      </c>
      <c r="E44">
        <v>1</v>
      </c>
      <c r="F44">
        <f>_xlfn.XLOOKUP(Table1[[#This Row],[ProductID]],Products!A:A,Products!D:D,,0)</f>
        <v>45</v>
      </c>
      <c r="I44">
        <v>249</v>
      </c>
      <c r="J44">
        <v>199</v>
      </c>
      <c r="K44" t="s">
        <v>1097</v>
      </c>
      <c r="L44">
        <v>199</v>
      </c>
      <c r="M44" t="s">
        <v>1098</v>
      </c>
      <c r="N44" t="s">
        <v>1099</v>
      </c>
      <c r="O44">
        <f>Table1[[#This Row],[Unit_Price]]*Table1[[#This Row],[Quantity]]</f>
        <v>45</v>
      </c>
    </row>
    <row r="45" spans="1:15" x14ac:dyDescent="0.3">
      <c r="A45" t="s">
        <v>1187</v>
      </c>
      <c r="B45" t="s">
        <v>1188</v>
      </c>
      <c r="C45" t="s">
        <v>737</v>
      </c>
      <c r="D45" t="s">
        <v>1068</v>
      </c>
      <c r="E45">
        <v>3</v>
      </c>
      <c r="F45">
        <f>_xlfn.XLOOKUP(Table1[[#This Row],[ProductID]],Products!A:A,Products!D:D,,0)</f>
        <v>180</v>
      </c>
      <c r="I45">
        <v>449</v>
      </c>
      <c r="J45">
        <v>404</v>
      </c>
      <c r="K45" t="s">
        <v>1107</v>
      </c>
      <c r="L45">
        <v>1212</v>
      </c>
      <c r="M45" t="s">
        <v>1093</v>
      </c>
      <c r="N45" t="s">
        <v>1094</v>
      </c>
      <c r="O45">
        <f>Table1[[#This Row],[Unit_Price]]*Table1[[#This Row],[Quantity]]</f>
        <v>540</v>
      </c>
    </row>
    <row r="46" spans="1:15" x14ac:dyDescent="0.3">
      <c r="A46" t="s">
        <v>1189</v>
      </c>
      <c r="B46" t="s">
        <v>1190</v>
      </c>
      <c r="C46" t="s">
        <v>511</v>
      </c>
      <c r="D46" t="s">
        <v>1051</v>
      </c>
      <c r="E46">
        <v>1</v>
      </c>
      <c r="F46">
        <f>_xlfn.XLOOKUP(Table1[[#This Row],[ProductID]],Products!A:A,Products!D:D,,0)</f>
        <v>150</v>
      </c>
      <c r="I46">
        <v>499</v>
      </c>
      <c r="J46">
        <v>449</v>
      </c>
      <c r="K46" t="s">
        <v>1107</v>
      </c>
      <c r="L46">
        <v>449</v>
      </c>
      <c r="M46" t="s">
        <v>1093</v>
      </c>
      <c r="N46" t="s">
        <v>1094</v>
      </c>
      <c r="O46">
        <f>Table1[[#This Row],[Unit_Price]]*Table1[[#This Row],[Quantity]]</f>
        <v>150</v>
      </c>
    </row>
    <row r="47" spans="1:15" x14ac:dyDescent="0.3">
      <c r="A47" t="s">
        <v>1191</v>
      </c>
      <c r="B47" t="s">
        <v>1192</v>
      </c>
      <c r="C47" t="s">
        <v>763</v>
      </c>
      <c r="D47" t="s">
        <v>1059</v>
      </c>
      <c r="E47">
        <v>1</v>
      </c>
      <c r="F47">
        <f>_xlfn.XLOOKUP(Table1[[#This Row],[ProductID]],Products!A:A,Products!D:D,,0)</f>
        <v>110</v>
      </c>
      <c r="I47">
        <v>399</v>
      </c>
      <c r="J47">
        <v>399</v>
      </c>
      <c r="K47" t="s">
        <v>1102</v>
      </c>
      <c r="L47">
        <v>399</v>
      </c>
      <c r="M47" t="s">
        <v>1093</v>
      </c>
      <c r="N47" t="s">
        <v>1099</v>
      </c>
      <c r="O47">
        <f>Table1[[#This Row],[Unit_Price]]*Table1[[#This Row],[Quantity]]</f>
        <v>110</v>
      </c>
    </row>
    <row r="48" spans="1:15" x14ac:dyDescent="0.3">
      <c r="A48" t="s">
        <v>1193</v>
      </c>
      <c r="B48" t="s">
        <v>1194</v>
      </c>
      <c r="C48" t="s">
        <v>767</v>
      </c>
      <c r="D48" t="s">
        <v>1073</v>
      </c>
      <c r="E48">
        <v>4</v>
      </c>
      <c r="F48">
        <f>_xlfn.XLOOKUP(Table1[[#This Row],[ProductID]],Products!A:A,Products!D:D,,0)</f>
        <v>100</v>
      </c>
      <c r="I48">
        <v>349</v>
      </c>
      <c r="J48">
        <v>349</v>
      </c>
      <c r="K48" t="s">
        <v>1102</v>
      </c>
      <c r="L48">
        <v>1396</v>
      </c>
      <c r="M48" t="s">
        <v>1098</v>
      </c>
      <c r="N48" t="s">
        <v>1099</v>
      </c>
      <c r="O48">
        <f>Table1[[#This Row],[Unit_Price]]*Table1[[#This Row],[Quantity]]</f>
        <v>400</v>
      </c>
    </row>
    <row r="49" spans="1:15" x14ac:dyDescent="0.3">
      <c r="A49" t="s">
        <v>1195</v>
      </c>
      <c r="B49" t="s">
        <v>1196</v>
      </c>
      <c r="C49" t="s">
        <v>1041</v>
      </c>
      <c r="D49" t="s">
        <v>1053</v>
      </c>
      <c r="E49">
        <v>1</v>
      </c>
      <c r="F49">
        <f>_xlfn.XLOOKUP(Table1[[#This Row],[ProductID]],Products!A:A,Products!D:D,,0)</f>
        <v>200</v>
      </c>
      <c r="I49">
        <v>899</v>
      </c>
      <c r="J49">
        <v>764</v>
      </c>
      <c r="K49" t="s">
        <v>1092</v>
      </c>
      <c r="L49">
        <v>764</v>
      </c>
      <c r="M49" t="s">
        <v>1093</v>
      </c>
      <c r="N49" t="s">
        <v>1099</v>
      </c>
      <c r="O49">
        <f>Table1[[#This Row],[Unit_Price]]*Table1[[#This Row],[Quantity]]</f>
        <v>200</v>
      </c>
    </row>
    <row r="50" spans="1:15" x14ac:dyDescent="0.3">
      <c r="A50" t="s">
        <v>1197</v>
      </c>
      <c r="B50" t="s">
        <v>1198</v>
      </c>
      <c r="C50" t="s">
        <v>118</v>
      </c>
      <c r="D50" t="s">
        <v>1053</v>
      </c>
      <c r="E50">
        <v>2</v>
      </c>
      <c r="F50">
        <f>_xlfn.XLOOKUP(Table1[[#This Row],[ProductID]],Products!A:A,Products!D:D,,0)</f>
        <v>200</v>
      </c>
      <c r="I50">
        <v>899</v>
      </c>
      <c r="J50">
        <v>899</v>
      </c>
      <c r="K50" t="s">
        <v>1102</v>
      </c>
      <c r="L50">
        <v>1798</v>
      </c>
      <c r="M50" t="s">
        <v>1098</v>
      </c>
      <c r="N50" t="s">
        <v>1099</v>
      </c>
      <c r="O50">
        <f>Table1[[#This Row],[Unit_Price]]*Table1[[#This Row],[Quantity]]</f>
        <v>400</v>
      </c>
    </row>
    <row r="51" spans="1:15" x14ac:dyDescent="0.3">
      <c r="A51" t="s">
        <v>1199</v>
      </c>
      <c r="B51" t="s">
        <v>1200</v>
      </c>
      <c r="C51" t="s">
        <v>881</v>
      </c>
      <c r="D51" t="s">
        <v>1078</v>
      </c>
      <c r="E51">
        <v>1</v>
      </c>
      <c r="F51">
        <f>_xlfn.XLOOKUP(Table1[[#This Row],[ProductID]],Products!A:A,Products!D:D,,0)</f>
        <v>80</v>
      </c>
      <c r="I51">
        <v>499</v>
      </c>
      <c r="J51">
        <v>449</v>
      </c>
      <c r="K51" t="s">
        <v>1107</v>
      </c>
      <c r="L51">
        <v>449</v>
      </c>
      <c r="M51" t="s">
        <v>1093</v>
      </c>
      <c r="N51" t="s">
        <v>1123</v>
      </c>
      <c r="O51">
        <f>Table1[[#This Row],[Unit_Price]]*Table1[[#This Row],[Quantity]]</f>
        <v>80</v>
      </c>
    </row>
    <row r="52" spans="1:15" x14ac:dyDescent="0.3">
      <c r="A52" t="s">
        <v>1201</v>
      </c>
      <c r="B52" t="s">
        <v>1202</v>
      </c>
      <c r="C52" t="s">
        <v>307</v>
      </c>
      <c r="D52" t="s">
        <v>1057</v>
      </c>
      <c r="E52">
        <v>1</v>
      </c>
      <c r="F52">
        <f>_xlfn.XLOOKUP(Table1[[#This Row],[ProductID]],Products!A:A,Products!D:D,,0)</f>
        <v>130</v>
      </c>
      <c r="I52">
        <v>549</v>
      </c>
      <c r="J52">
        <v>494</v>
      </c>
      <c r="K52" t="s">
        <v>1107</v>
      </c>
      <c r="L52">
        <v>494</v>
      </c>
      <c r="M52" t="s">
        <v>1093</v>
      </c>
      <c r="N52" t="s">
        <v>1094</v>
      </c>
      <c r="O52">
        <f>Table1[[#This Row],[Unit_Price]]*Table1[[#This Row],[Quantity]]</f>
        <v>130</v>
      </c>
    </row>
    <row r="53" spans="1:15" x14ac:dyDescent="0.3">
      <c r="A53" t="s">
        <v>1203</v>
      </c>
      <c r="B53" t="s">
        <v>1166</v>
      </c>
      <c r="C53" t="s">
        <v>124</v>
      </c>
      <c r="D53" t="s">
        <v>1055</v>
      </c>
      <c r="E53">
        <v>1</v>
      </c>
      <c r="F53">
        <f>_xlfn.XLOOKUP(Table1[[#This Row],[ProductID]],Products!A:A,Products!D:D,,0)</f>
        <v>75</v>
      </c>
      <c r="I53">
        <v>299</v>
      </c>
      <c r="J53">
        <v>299</v>
      </c>
      <c r="K53" t="s">
        <v>1102</v>
      </c>
      <c r="L53">
        <v>299</v>
      </c>
      <c r="M53" t="s">
        <v>1126</v>
      </c>
      <c r="N53" t="s">
        <v>1099</v>
      </c>
      <c r="O53">
        <f>Table1[[#This Row],[Unit_Price]]*Table1[[#This Row],[Quantity]]</f>
        <v>75</v>
      </c>
    </row>
    <row r="54" spans="1:15" x14ac:dyDescent="0.3">
      <c r="A54" t="s">
        <v>1204</v>
      </c>
      <c r="B54" t="s">
        <v>1205</v>
      </c>
      <c r="C54" t="s">
        <v>237</v>
      </c>
      <c r="D54" t="s">
        <v>1075</v>
      </c>
      <c r="E54">
        <v>1</v>
      </c>
      <c r="F54">
        <f>_xlfn.XLOOKUP(Table1[[#This Row],[ProductID]],Products!A:A,Products!D:D,,0)</f>
        <v>80</v>
      </c>
      <c r="I54">
        <v>499</v>
      </c>
      <c r="J54">
        <v>499</v>
      </c>
      <c r="K54" t="s">
        <v>1102</v>
      </c>
      <c r="L54">
        <v>499</v>
      </c>
      <c r="M54" t="s">
        <v>1098</v>
      </c>
      <c r="N54" t="s">
        <v>1099</v>
      </c>
      <c r="O54">
        <f>Table1[[#This Row],[Unit_Price]]*Table1[[#This Row],[Quantity]]</f>
        <v>80</v>
      </c>
    </row>
    <row r="55" spans="1:15" x14ac:dyDescent="0.3">
      <c r="A55" t="s">
        <v>1206</v>
      </c>
      <c r="B55" t="s">
        <v>1207</v>
      </c>
      <c r="C55" t="s">
        <v>907</v>
      </c>
      <c r="D55" t="s">
        <v>1075</v>
      </c>
      <c r="E55">
        <v>2</v>
      </c>
      <c r="F55">
        <f>_xlfn.XLOOKUP(Table1[[#This Row],[ProductID]],Products!A:A,Products!D:D,,0)</f>
        <v>80</v>
      </c>
      <c r="I55">
        <v>499</v>
      </c>
      <c r="J55">
        <v>399</v>
      </c>
      <c r="K55" t="s">
        <v>1097</v>
      </c>
      <c r="L55">
        <v>798</v>
      </c>
      <c r="M55" t="s">
        <v>1098</v>
      </c>
      <c r="N55" t="s">
        <v>1099</v>
      </c>
      <c r="O55">
        <f>Table1[[#This Row],[Unit_Price]]*Table1[[#This Row],[Quantity]]</f>
        <v>160</v>
      </c>
    </row>
    <row r="56" spans="1:15" x14ac:dyDescent="0.3">
      <c r="A56" t="s">
        <v>1208</v>
      </c>
      <c r="B56" t="s">
        <v>1209</v>
      </c>
      <c r="C56" t="s">
        <v>765</v>
      </c>
      <c r="D56" t="s">
        <v>1080</v>
      </c>
      <c r="E56">
        <v>1</v>
      </c>
      <c r="F56">
        <f>_xlfn.XLOOKUP(Table1[[#This Row],[ProductID]],Products!A:A,Products!D:D,,0)</f>
        <v>45</v>
      </c>
      <c r="I56">
        <v>249</v>
      </c>
      <c r="J56">
        <v>199</v>
      </c>
      <c r="K56" t="s">
        <v>1097</v>
      </c>
      <c r="L56">
        <v>199</v>
      </c>
      <c r="M56" t="s">
        <v>1098</v>
      </c>
      <c r="N56" t="s">
        <v>1099</v>
      </c>
      <c r="O56">
        <f>Table1[[#This Row],[Unit_Price]]*Table1[[#This Row],[Quantity]]</f>
        <v>45</v>
      </c>
    </row>
    <row r="57" spans="1:15" x14ac:dyDescent="0.3">
      <c r="A57" t="s">
        <v>1210</v>
      </c>
      <c r="B57" t="s">
        <v>1211</v>
      </c>
      <c r="C57" t="s">
        <v>44</v>
      </c>
      <c r="D57" t="s">
        <v>1048</v>
      </c>
      <c r="E57">
        <v>2</v>
      </c>
      <c r="F57">
        <f>_xlfn.XLOOKUP(Table1[[#This Row],[ProductID]],Products!A:A,Products!D:D,,0)</f>
        <v>120</v>
      </c>
      <c r="I57">
        <v>599</v>
      </c>
      <c r="J57">
        <v>479</v>
      </c>
      <c r="K57" t="s">
        <v>1097</v>
      </c>
      <c r="L57">
        <v>958</v>
      </c>
      <c r="M57" t="s">
        <v>1093</v>
      </c>
      <c r="N57" t="s">
        <v>1094</v>
      </c>
      <c r="O57">
        <f>Table1[[#This Row],[Unit_Price]]*Table1[[#This Row],[Quantity]]</f>
        <v>240</v>
      </c>
    </row>
    <row r="58" spans="1:15" x14ac:dyDescent="0.3">
      <c r="A58" t="s">
        <v>1212</v>
      </c>
      <c r="B58" t="s">
        <v>1213</v>
      </c>
      <c r="C58" t="s">
        <v>173</v>
      </c>
      <c r="D58" t="s">
        <v>1078</v>
      </c>
      <c r="E58">
        <v>4</v>
      </c>
      <c r="F58">
        <f>_xlfn.XLOOKUP(Table1[[#This Row],[ProductID]],Products!A:A,Products!D:D,,0)</f>
        <v>80</v>
      </c>
      <c r="I58">
        <v>499</v>
      </c>
      <c r="J58">
        <v>399</v>
      </c>
      <c r="K58" t="s">
        <v>1097</v>
      </c>
      <c r="L58">
        <v>1596</v>
      </c>
      <c r="M58" t="s">
        <v>1093</v>
      </c>
      <c r="N58" t="s">
        <v>1123</v>
      </c>
      <c r="O58">
        <f>Table1[[#This Row],[Unit_Price]]*Table1[[#This Row],[Quantity]]</f>
        <v>320</v>
      </c>
    </row>
    <row r="59" spans="1:15" x14ac:dyDescent="0.3">
      <c r="A59" t="s">
        <v>1214</v>
      </c>
      <c r="B59" t="s">
        <v>1215</v>
      </c>
      <c r="C59" t="s">
        <v>437</v>
      </c>
      <c r="D59" t="s">
        <v>1062</v>
      </c>
      <c r="E59">
        <v>1</v>
      </c>
      <c r="F59">
        <f>_xlfn.XLOOKUP(Table1[[#This Row],[ProductID]],Products!A:A,Products!D:D,,0)</f>
        <v>95</v>
      </c>
      <c r="I59">
        <v>349</v>
      </c>
      <c r="J59">
        <v>279</v>
      </c>
      <c r="K59" t="s">
        <v>1097</v>
      </c>
      <c r="L59">
        <v>279</v>
      </c>
      <c r="M59" t="s">
        <v>1093</v>
      </c>
      <c r="N59" t="s">
        <v>1123</v>
      </c>
      <c r="O59">
        <f>Table1[[#This Row],[Unit_Price]]*Table1[[#This Row],[Quantity]]</f>
        <v>95</v>
      </c>
    </row>
    <row r="60" spans="1:15" x14ac:dyDescent="0.3">
      <c r="A60" t="s">
        <v>1216</v>
      </c>
      <c r="B60" t="s">
        <v>1217</v>
      </c>
      <c r="C60" t="s">
        <v>785</v>
      </c>
      <c r="D60" t="s">
        <v>1051</v>
      </c>
      <c r="E60">
        <v>1</v>
      </c>
      <c r="F60">
        <f>_xlfn.XLOOKUP(Table1[[#This Row],[ProductID]],Products!A:A,Products!D:D,,0)</f>
        <v>150</v>
      </c>
      <c r="I60">
        <v>499</v>
      </c>
      <c r="J60">
        <v>424</v>
      </c>
      <c r="K60" t="s">
        <v>1092</v>
      </c>
      <c r="L60">
        <v>424</v>
      </c>
      <c r="M60" t="s">
        <v>1098</v>
      </c>
      <c r="N60" t="s">
        <v>1099</v>
      </c>
      <c r="O60">
        <f>Table1[[#This Row],[Unit_Price]]*Table1[[#This Row],[Quantity]]</f>
        <v>150</v>
      </c>
    </row>
    <row r="61" spans="1:15" x14ac:dyDescent="0.3">
      <c r="A61" t="s">
        <v>1218</v>
      </c>
      <c r="B61" t="s">
        <v>1219</v>
      </c>
      <c r="C61" t="s">
        <v>511</v>
      </c>
      <c r="D61" t="s">
        <v>1068</v>
      </c>
      <c r="E61">
        <v>2</v>
      </c>
      <c r="F61">
        <f>_xlfn.XLOOKUP(Table1[[#This Row],[ProductID]],Products!A:A,Products!D:D,,0)</f>
        <v>180</v>
      </c>
      <c r="I61">
        <v>449</v>
      </c>
      <c r="J61">
        <v>449</v>
      </c>
      <c r="K61" t="s">
        <v>1102</v>
      </c>
      <c r="L61">
        <v>898</v>
      </c>
      <c r="M61" t="s">
        <v>1098</v>
      </c>
      <c r="N61" t="s">
        <v>1099</v>
      </c>
      <c r="O61">
        <f>Table1[[#This Row],[Unit_Price]]*Table1[[#This Row],[Quantity]]</f>
        <v>360</v>
      </c>
    </row>
    <row r="62" spans="1:15" x14ac:dyDescent="0.3">
      <c r="A62" t="s">
        <v>1220</v>
      </c>
      <c r="B62" t="s">
        <v>1221</v>
      </c>
      <c r="C62" t="s">
        <v>739</v>
      </c>
      <c r="D62" t="s">
        <v>1064</v>
      </c>
      <c r="E62">
        <v>1</v>
      </c>
      <c r="F62">
        <f>_xlfn.XLOOKUP(Table1[[#This Row],[ProductID]],Products!A:A,Products!D:D,,0)</f>
        <v>160</v>
      </c>
      <c r="I62">
        <v>699</v>
      </c>
      <c r="J62">
        <v>699</v>
      </c>
      <c r="K62" t="s">
        <v>1102</v>
      </c>
      <c r="L62">
        <v>699</v>
      </c>
      <c r="M62" t="s">
        <v>1098</v>
      </c>
      <c r="N62" t="s">
        <v>1099</v>
      </c>
      <c r="O62">
        <f>Table1[[#This Row],[Unit_Price]]*Table1[[#This Row],[Quantity]]</f>
        <v>160</v>
      </c>
    </row>
    <row r="63" spans="1:15" x14ac:dyDescent="0.3">
      <c r="A63" t="s">
        <v>1222</v>
      </c>
      <c r="B63" t="s">
        <v>1223</v>
      </c>
      <c r="C63" t="s">
        <v>1005</v>
      </c>
      <c r="D63" t="s">
        <v>1071</v>
      </c>
      <c r="E63">
        <v>1</v>
      </c>
      <c r="F63">
        <f>_xlfn.XLOOKUP(Table1[[#This Row],[ProductID]],Products!A:A,Products!D:D,,0)</f>
        <v>125</v>
      </c>
      <c r="I63">
        <v>399</v>
      </c>
      <c r="J63">
        <v>339</v>
      </c>
      <c r="K63" t="s">
        <v>1092</v>
      </c>
      <c r="L63">
        <v>339</v>
      </c>
      <c r="M63" t="s">
        <v>1098</v>
      </c>
      <c r="N63" t="s">
        <v>1099</v>
      </c>
      <c r="O63">
        <f>Table1[[#This Row],[Unit_Price]]*Table1[[#This Row],[Quantity]]</f>
        <v>125</v>
      </c>
    </row>
    <row r="64" spans="1:15" x14ac:dyDescent="0.3">
      <c r="A64" t="s">
        <v>1224</v>
      </c>
      <c r="B64" t="s">
        <v>1109</v>
      </c>
      <c r="C64" t="s">
        <v>197</v>
      </c>
      <c r="D64" t="s">
        <v>1071</v>
      </c>
      <c r="E64">
        <v>1</v>
      </c>
      <c r="F64">
        <f>_xlfn.XLOOKUP(Table1[[#This Row],[ProductID]],Products!A:A,Products!D:D,,0)</f>
        <v>125</v>
      </c>
      <c r="I64">
        <v>399</v>
      </c>
      <c r="J64">
        <v>319</v>
      </c>
      <c r="K64" t="s">
        <v>1097</v>
      </c>
      <c r="L64">
        <v>319</v>
      </c>
      <c r="M64" t="s">
        <v>1098</v>
      </c>
      <c r="N64" t="s">
        <v>1099</v>
      </c>
      <c r="O64">
        <f>Table1[[#This Row],[Unit_Price]]*Table1[[#This Row],[Quantity]]</f>
        <v>125</v>
      </c>
    </row>
    <row r="65" spans="1:15" x14ac:dyDescent="0.3">
      <c r="A65" t="s">
        <v>1225</v>
      </c>
      <c r="B65" t="s">
        <v>1226</v>
      </c>
      <c r="C65" t="s">
        <v>291</v>
      </c>
      <c r="D65" t="s">
        <v>1048</v>
      </c>
      <c r="E65">
        <v>1</v>
      </c>
      <c r="F65">
        <f>_xlfn.XLOOKUP(Table1[[#This Row],[ProductID]],Products!A:A,Products!D:D,,0)</f>
        <v>120</v>
      </c>
      <c r="I65">
        <v>599</v>
      </c>
      <c r="J65">
        <v>479</v>
      </c>
      <c r="K65" t="s">
        <v>1097</v>
      </c>
      <c r="L65">
        <v>479</v>
      </c>
      <c r="M65" t="s">
        <v>1098</v>
      </c>
      <c r="N65" t="s">
        <v>1099</v>
      </c>
      <c r="O65">
        <f>Table1[[#This Row],[Unit_Price]]*Table1[[#This Row],[Quantity]]</f>
        <v>120</v>
      </c>
    </row>
    <row r="66" spans="1:15" x14ac:dyDescent="0.3">
      <c r="A66" t="s">
        <v>1227</v>
      </c>
      <c r="B66" t="s">
        <v>1228</v>
      </c>
      <c r="C66" t="s">
        <v>363</v>
      </c>
      <c r="D66" t="s">
        <v>1075</v>
      </c>
      <c r="E66">
        <v>1</v>
      </c>
      <c r="F66">
        <f>_xlfn.XLOOKUP(Table1[[#This Row],[ProductID]],Products!A:A,Products!D:D,,0)</f>
        <v>80</v>
      </c>
      <c r="I66">
        <v>499</v>
      </c>
      <c r="J66">
        <v>399</v>
      </c>
      <c r="K66" t="s">
        <v>1097</v>
      </c>
      <c r="L66">
        <v>399</v>
      </c>
      <c r="M66" t="s">
        <v>1093</v>
      </c>
      <c r="N66" t="s">
        <v>1094</v>
      </c>
      <c r="O66">
        <f>Table1[[#This Row],[Unit_Price]]*Table1[[#This Row],[Quantity]]</f>
        <v>80</v>
      </c>
    </row>
    <row r="67" spans="1:15" x14ac:dyDescent="0.3">
      <c r="A67" t="s">
        <v>1229</v>
      </c>
      <c r="B67" t="s">
        <v>1230</v>
      </c>
      <c r="C67" t="s">
        <v>89</v>
      </c>
      <c r="D67" t="s">
        <v>1075</v>
      </c>
      <c r="E67">
        <v>1</v>
      </c>
      <c r="F67">
        <f>_xlfn.XLOOKUP(Table1[[#This Row],[ProductID]],Products!A:A,Products!D:D,,0)</f>
        <v>80</v>
      </c>
      <c r="I67">
        <v>499</v>
      </c>
      <c r="J67">
        <v>499</v>
      </c>
      <c r="K67" t="s">
        <v>1102</v>
      </c>
      <c r="L67">
        <v>499</v>
      </c>
      <c r="M67" t="s">
        <v>1093</v>
      </c>
      <c r="N67" t="s">
        <v>1123</v>
      </c>
      <c r="O67">
        <f>Table1[[#This Row],[Unit_Price]]*Table1[[#This Row],[Quantity]]</f>
        <v>80</v>
      </c>
    </row>
    <row r="68" spans="1:15" x14ac:dyDescent="0.3">
      <c r="A68" t="s">
        <v>1231</v>
      </c>
      <c r="B68" t="s">
        <v>1232</v>
      </c>
      <c r="C68" t="s">
        <v>401</v>
      </c>
      <c r="D68" t="s">
        <v>1073</v>
      </c>
      <c r="E68">
        <v>2</v>
      </c>
      <c r="F68">
        <f>_xlfn.XLOOKUP(Table1[[#This Row],[ProductID]],Products!A:A,Products!D:D,,0)</f>
        <v>100</v>
      </c>
      <c r="I68">
        <v>349</v>
      </c>
      <c r="J68">
        <v>349</v>
      </c>
      <c r="K68" t="s">
        <v>1102</v>
      </c>
      <c r="L68">
        <v>698</v>
      </c>
      <c r="M68" t="s">
        <v>1098</v>
      </c>
      <c r="N68" t="s">
        <v>1099</v>
      </c>
      <c r="O68">
        <f>Table1[[#This Row],[Unit_Price]]*Table1[[#This Row],[Quantity]]</f>
        <v>200</v>
      </c>
    </row>
    <row r="69" spans="1:15" x14ac:dyDescent="0.3">
      <c r="A69" t="s">
        <v>1233</v>
      </c>
      <c r="B69" t="s">
        <v>1234</v>
      </c>
      <c r="C69" t="s">
        <v>469</v>
      </c>
      <c r="D69" t="s">
        <v>1053</v>
      </c>
      <c r="E69">
        <v>1</v>
      </c>
      <c r="F69">
        <f>_xlfn.XLOOKUP(Table1[[#This Row],[ProductID]],Products!A:A,Products!D:D,,0)</f>
        <v>200</v>
      </c>
      <c r="I69">
        <v>899</v>
      </c>
      <c r="J69">
        <v>764</v>
      </c>
      <c r="K69" t="s">
        <v>1092</v>
      </c>
      <c r="L69">
        <v>764</v>
      </c>
      <c r="M69" t="s">
        <v>1126</v>
      </c>
      <c r="N69" t="s">
        <v>1099</v>
      </c>
      <c r="O69">
        <f>Table1[[#This Row],[Unit_Price]]*Table1[[#This Row],[Quantity]]</f>
        <v>200</v>
      </c>
    </row>
    <row r="70" spans="1:15" x14ac:dyDescent="0.3">
      <c r="A70" t="s">
        <v>1235</v>
      </c>
      <c r="B70" t="s">
        <v>1236</v>
      </c>
      <c r="C70" t="s">
        <v>695</v>
      </c>
      <c r="D70" t="s">
        <v>1048</v>
      </c>
      <c r="E70">
        <v>1</v>
      </c>
      <c r="F70">
        <f>_xlfn.XLOOKUP(Table1[[#This Row],[ProductID]],Products!A:A,Products!D:D,,0)</f>
        <v>120</v>
      </c>
      <c r="I70">
        <v>599</v>
      </c>
      <c r="J70">
        <v>539</v>
      </c>
      <c r="K70" t="s">
        <v>1107</v>
      </c>
      <c r="L70">
        <v>539</v>
      </c>
      <c r="M70" t="s">
        <v>1098</v>
      </c>
      <c r="N70" t="s">
        <v>1099</v>
      </c>
      <c r="O70">
        <f>Table1[[#This Row],[Unit_Price]]*Table1[[#This Row],[Quantity]]</f>
        <v>120</v>
      </c>
    </row>
    <row r="71" spans="1:15" x14ac:dyDescent="0.3">
      <c r="A71" t="s">
        <v>1237</v>
      </c>
      <c r="B71" t="s">
        <v>1238</v>
      </c>
      <c r="C71" t="s">
        <v>793</v>
      </c>
      <c r="D71" t="s">
        <v>1064</v>
      </c>
      <c r="E71">
        <v>1</v>
      </c>
      <c r="F71">
        <f>_xlfn.XLOOKUP(Table1[[#This Row],[ProductID]],Products!A:A,Products!D:D,,0)</f>
        <v>160</v>
      </c>
      <c r="I71">
        <v>699</v>
      </c>
      <c r="J71">
        <v>559</v>
      </c>
      <c r="K71" t="s">
        <v>1097</v>
      </c>
      <c r="L71">
        <v>559</v>
      </c>
      <c r="M71" t="s">
        <v>1118</v>
      </c>
      <c r="N71" t="s">
        <v>1099</v>
      </c>
      <c r="O71">
        <f>Table1[[#This Row],[Unit_Price]]*Table1[[#This Row],[Quantity]]</f>
        <v>160</v>
      </c>
    </row>
    <row r="72" spans="1:15" x14ac:dyDescent="0.3">
      <c r="A72" t="s">
        <v>1239</v>
      </c>
      <c r="B72" t="s">
        <v>1240</v>
      </c>
      <c r="C72" t="s">
        <v>1015</v>
      </c>
      <c r="D72" t="s">
        <v>1055</v>
      </c>
      <c r="E72">
        <v>1</v>
      </c>
      <c r="F72">
        <f>_xlfn.XLOOKUP(Table1[[#This Row],[ProductID]],Products!A:A,Products!D:D,,0)</f>
        <v>75</v>
      </c>
      <c r="I72">
        <v>299</v>
      </c>
      <c r="J72">
        <v>239</v>
      </c>
      <c r="K72" t="s">
        <v>1097</v>
      </c>
      <c r="L72">
        <v>239</v>
      </c>
      <c r="M72" t="s">
        <v>1093</v>
      </c>
      <c r="N72" t="s">
        <v>1099</v>
      </c>
      <c r="O72">
        <f>Table1[[#This Row],[Unit_Price]]*Table1[[#This Row],[Quantity]]</f>
        <v>75</v>
      </c>
    </row>
    <row r="73" spans="1:15" x14ac:dyDescent="0.3">
      <c r="A73" t="s">
        <v>1241</v>
      </c>
      <c r="B73" t="s">
        <v>1242</v>
      </c>
      <c r="C73" t="s">
        <v>941</v>
      </c>
      <c r="D73" t="s">
        <v>1068</v>
      </c>
      <c r="E73">
        <v>3</v>
      </c>
      <c r="F73">
        <f>_xlfn.XLOOKUP(Table1[[#This Row],[ProductID]],Products!A:A,Products!D:D,,0)</f>
        <v>180</v>
      </c>
      <c r="I73">
        <v>449</v>
      </c>
      <c r="J73">
        <v>359</v>
      </c>
      <c r="K73" t="s">
        <v>1097</v>
      </c>
      <c r="L73">
        <v>1077</v>
      </c>
      <c r="M73" t="s">
        <v>1093</v>
      </c>
      <c r="N73" t="s">
        <v>1094</v>
      </c>
      <c r="O73">
        <f>Table1[[#This Row],[Unit_Price]]*Table1[[#This Row],[Quantity]]</f>
        <v>540</v>
      </c>
    </row>
    <row r="74" spans="1:15" x14ac:dyDescent="0.3">
      <c r="A74" t="s">
        <v>1243</v>
      </c>
      <c r="B74" t="s">
        <v>1244</v>
      </c>
      <c r="C74" t="s">
        <v>761</v>
      </c>
      <c r="D74" t="s">
        <v>1073</v>
      </c>
      <c r="E74">
        <v>1</v>
      </c>
      <c r="F74">
        <f>_xlfn.XLOOKUP(Table1[[#This Row],[ProductID]],Products!A:A,Products!D:D,,0)</f>
        <v>100</v>
      </c>
      <c r="I74">
        <v>349</v>
      </c>
      <c r="J74">
        <v>314</v>
      </c>
      <c r="K74" t="s">
        <v>1107</v>
      </c>
      <c r="L74">
        <v>314</v>
      </c>
      <c r="M74" t="s">
        <v>1093</v>
      </c>
      <c r="N74" t="s">
        <v>1099</v>
      </c>
      <c r="O74">
        <f>Table1[[#This Row],[Unit_Price]]*Table1[[#This Row],[Quantity]]</f>
        <v>100</v>
      </c>
    </row>
    <row r="75" spans="1:15" x14ac:dyDescent="0.3">
      <c r="A75" t="s">
        <v>1245</v>
      </c>
      <c r="B75" t="s">
        <v>1246</v>
      </c>
      <c r="C75" t="s">
        <v>279</v>
      </c>
      <c r="D75" t="s">
        <v>1075</v>
      </c>
      <c r="E75">
        <v>1</v>
      </c>
      <c r="F75">
        <f>_xlfn.XLOOKUP(Table1[[#This Row],[ProductID]],Products!A:A,Products!D:D,,0)</f>
        <v>80</v>
      </c>
      <c r="I75">
        <v>499</v>
      </c>
      <c r="J75">
        <v>449</v>
      </c>
      <c r="K75" t="s">
        <v>1107</v>
      </c>
      <c r="L75">
        <v>449</v>
      </c>
      <c r="M75" t="s">
        <v>1093</v>
      </c>
      <c r="N75" t="s">
        <v>1099</v>
      </c>
      <c r="O75">
        <f>Table1[[#This Row],[Unit_Price]]*Table1[[#This Row],[Quantity]]</f>
        <v>80</v>
      </c>
    </row>
    <row r="76" spans="1:15" x14ac:dyDescent="0.3">
      <c r="A76" t="s">
        <v>1247</v>
      </c>
      <c r="B76" t="s">
        <v>1248</v>
      </c>
      <c r="C76" t="s">
        <v>381</v>
      </c>
      <c r="D76" t="s">
        <v>1051</v>
      </c>
      <c r="E76">
        <v>2</v>
      </c>
      <c r="F76">
        <f>_xlfn.XLOOKUP(Table1[[#This Row],[ProductID]],Products!A:A,Products!D:D,,0)</f>
        <v>150</v>
      </c>
      <c r="I76">
        <v>499</v>
      </c>
      <c r="J76">
        <v>499</v>
      </c>
      <c r="K76" t="s">
        <v>1102</v>
      </c>
      <c r="L76">
        <v>998</v>
      </c>
      <c r="M76" t="s">
        <v>1093</v>
      </c>
      <c r="N76" t="s">
        <v>1099</v>
      </c>
      <c r="O76">
        <f>Table1[[#This Row],[Unit_Price]]*Table1[[#This Row],[Quantity]]</f>
        <v>300</v>
      </c>
    </row>
    <row r="77" spans="1:15" x14ac:dyDescent="0.3">
      <c r="A77" t="s">
        <v>1249</v>
      </c>
      <c r="B77" t="s">
        <v>1250</v>
      </c>
      <c r="C77" t="s">
        <v>507</v>
      </c>
      <c r="D77" t="s">
        <v>1059</v>
      </c>
      <c r="E77">
        <v>3</v>
      </c>
      <c r="F77">
        <f>_xlfn.XLOOKUP(Table1[[#This Row],[ProductID]],Products!A:A,Products!D:D,,0)</f>
        <v>110</v>
      </c>
      <c r="I77">
        <v>399</v>
      </c>
      <c r="J77">
        <v>359</v>
      </c>
      <c r="K77" t="s">
        <v>1107</v>
      </c>
      <c r="L77">
        <v>1077</v>
      </c>
      <c r="M77" t="s">
        <v>1126</v>
      </c>
      <c r="N77" t="s">
        <v>1099</v>
      </c>
      <c r="O77">
        <f>Table1[[#This Row],[Unit_Price]]*Table1[[#This Row],[Quantity]]</f>
        <v>330</v>
      </c>
    </row>
    <row r="78" spans="1:15" x14ac:dyDescent="0.3">
      <c r="A78" t="s">
        <v>1251</v>
      </c>
      <c r="B78" t="s">
        <v>1252</v>
      </c>
      <c r="C78" t="s">
        <v>235</v>
      </c>
      <c r="D78" t="s">
        <v>1080</v>
      </c>
      <c r="E78">
        <v>1</v>
      </c>
      <c r="F78">
        <f>_xlfn.XLOOKUP(Table1[[#This Row],[ProductID]],Products!A:A,Products!D:D,,0)</f>
        <v>45</v>
      </c>
      <c r="I78">
        <v>249</v>
      </c>
      <c r="J78">
        <v>212</v>
      </c>
      <c r="K78" t="s">
        <v>1092</v>
      </c>
      <c r="L78">
        <v>212</v>
      </c>
      <c r="M78" t="s">
        <v>1126</v>
      </c>
      <c r="N78" t="s">
        <v>1099</v>
      </c>
      <c r="O78">
        <f>Table1[[#This Row],[Unit_Price]]*Table1[[#This Row],[Quantity]]</f>
        <v>45</v>
      </c>
    </row>
    <row r="79" spans="1:15" x14ac:dyDescent="0.3">
      <c r="A79" t="s">
        <v>1253</v>
      </c>
      <c r="B79" t="s">
        <v>1254</v>
      </c>
      <c r="C79" t="s">
        <v>517</v>
      </c>
      <c r="D79" t="s">
        <v>1064</v>
      </c>
      <c r="E79">
        <v>1</v>
      </c>
      <c r="F79">
        <f>_xlfn.XLOOKUP(Table1[[#This Row],[ProductID]],Products!A:A,Products!D:D,,0)</f>
        <v>160</v>
      </c>
      <c r="I79">
        <v>699</v>
      </c>
      <c r="J79">
        <v>629</v>
      </c>
      <c r="K79" t="s">
        <v>1107</v>
      </c>
      <c r="L79">
        <v>629</v>
      </c>
      <c r="M79" t="s">
        <v>1098</v>
      </c>
      <c r="N79" t="s">
        <v>1099</v>
      </c>
      <c r="O79">
        <f>Table1[[#This Row],[Unit_Price]]*Table1[[#This Row],[Quantity]]</f>
        <v>160</v>
      </c>
    </row>
    <row r="80" spans="1:15" x14ac:dyDescent="0.3">
      <c r="A80" t="s">
        <v>1255</v>
      </c>
      <c r="B80" t="s">
        <v>1256</v>
      </c>
      <c r="C80" t="s">
        <v>545</v>
      </c>
      <c r="D80" t="s">
        <v>1075</v>
      </c>
      <c r="E80">
        <v>1</v>
      </c>
      <c r="F80">
        <f>_xlfn.XLOOKUP(Table1[[#This Row],[ProductID]],Products!A:A,Products!D:D,,0)</f>
        <v>80</v>
      </c>
      <c r="I80">
        <v>499</v>
      </c>
      <c r="J80">
        <v>399</v>
      </c>
      <c r="K80" t="s">
        <v>1097</v>
      </c>
      <c r="L80">
        <v>399</v>
      </c>
      <c r="M80" t="s">
        <v>1093</v>
      </c>
      <c r="N80" t="s">
        <v>1099</v>
      </c>
      <c r="O80">
        <f>Table1[[#This Row],[Unit_Price]]*Table1[[#This Row],[Quantity]]</f>
        <v>80</v>
      </c>
    </row>
    <row r="81" spans="1:15" x14ac:dyDescent="0.3">
      <c r="A81" t="s">
        <v>1257</v>
      </c>
      <c r="B81" t="s">
        <v>1258</v>
      </c>
      <c r="C81" t="s">
        <v>407</v>
      </c>
      <c r="D81" t="s">
        <v>1055</v>
      </c>
      <c r="E81">
        <v>1</v>
      </c>
      <c r="F81">
        <f>_xlfn.XLOOKUP(Table1[[#This Row],[ProductID]],Products!A:A,Products!D:D,,0)</f>
        <v>75</v>
      </c>
      <c r="I81">
        <v>299</v>
      </c>
      <c r="J81">
        <v>269</v>
      </c>
      <c r="K81" t="s">
        <v>1107</v>
      </c>
      <c r="L81">
        <v>269</v>
      </c>
      <c r="M81" t="s">
        <v>1098</v>
      </c>
      <c r="N81" t="s">
        <v>1099</v>
      </c>
      <c r="O81">
        <f>Table1[[#This Row],[Unit_Price]]*Table1[[#This Row],[Quantity]]</f>
        <v>75</v>
      </c>
    </row>
    <row r="82" spans="1:15" x14ac:dyDescent="0.3">
      <c r="A82" t="s">
        <v>1259</v>
      </c>
      <c r="B82" t="s">
        <v>1260</v>
      </c>
      <c r="C82" t="s">
        <v>106</v>
      </c>
      <c r="D82" t="s">
        <v>1080</v>
      </c>
      <c r="E82">
        <v>1</v>
      </c>
      <c r="F82">
        <f>_xlfn.XLOOKUP(Table1[[#This Row],[ProductID]],Products!A:A,Products!D:D,,0)</f>
        <v>45</v>
      </c>
      <c r="I82">
        <v>249</v>
      </c>
      <c r="J82">
        <v>224</v>
      </c>
      <c r="K82" t="s">
        <v>1107</v>
      </c>
      <c r="L82">
        <v>224</v>
      </c>
      <c r="M82" t="s">
        <v>1126</v>
      </c>
      <c r="N82" t="s">
        <v>1099</v>
      </c>
      <c r="O82">
        <f>Table1[[#This Row],[Unit_Price]]*Table1[[#This Row],[Quantity]]</f>
        <v>45</v>
      </c>
    </row>
    <row r="83" spans="1:15" x14ac:dyDescent="0.3">
      <c r="A83" t="s">
        <v>1261</v>
      </c>
      <c r="B83" t="s">
        <v>1262</v>
      </c>
      <c r="C83" t="s">
        <v>1017</v>
      </c>
      <c r="D83" t="s">
        <v>1078</v>
      </c>
      <c r="E83">
        <v>1</v>
      </c>
      <c r="F83">
        <f>_xlfn.XLOOKUP(Table1[[#This Row],[ProductID]],Products!A:A,Products!D:D,,0)</f>
        <v>80</v>
      </c>
      <c r="I83">
        <v>499</v>
      </c>
      <c r="J83">
        <v>499</v>
      </c>
      <c r="K83" t="s">
        <v>1102</v>
      </c>
      <c r="L83">
        <v>499</v>
      </c>
      <c r="M83" t="s">
        <v>1126</v>
      </c>
      <c r="N83" t="s">
        <v>1099</v>
      </c>
      <c r="O83">
        <f>Table1[[#This Row],[Unit_Price]]*Table1[[#This Row],[Quantity]]</f>
        <v>80</v>
      </c>
    </row>
    <row r="84" spans="1:15" x14ac:dyDescent="0.3">
      <c r="A84" t="s">
        <v>1263</v>
      </c>
      <c r="B84" t="s">
        <v>1264</v>
      </c>
      <c r="C84" t="s">
        <v>152</v>
      </c>
      <c r="D84" t="s">
        <v>1055</v>
      </c>
      <c r="E84">
        <v>1</v>
      </c>
      <c r="F84">
        <f>_xlfn.XLOOKUP(Table1[[#This Row],[ProductID]],Products!A:A,Products!D:D,,0)</f>
        <v>75</v>
      </c>
      <c r="I84">
        <v>299</v>
      </c>
      <c r="J84">
        <v>254</v>
      </c>
      <c r="K84" t="s">
        <v>1092</v>
      </c>
      <c r="L84">
        <v>254</v>
      </c>
      <c r="M84" t="s">
        <v>1098</v>
      </c>
      <c r="N84" t="s">
        <v>1099</v>
      </c>
      <c r="O84">
        <f>Table1[[#This Row],[Unit_Price]]*Table1[[#This Row],[Quantity]]</f>
        <v>75</v>
      </c>
    </row>
    <row r="85" spans="1:15" x14ac:dyDescent="0.3">
      <c r="A85" t="s">
        <v>1265</v>
      </c>
      <c r="B85" t="s">
        <v>1266</v>
      </c>
      <c r="C85" t="s">
        <v>829</v>
      </c>
      <c r="D85" t="s">
        <v>1068</v>
      </c>
      <c r="E85">
        <v>2</v>
      </c>
      <c r="F85">
        <f>_xlfn.XLOOKUP(Table1[[#This Row],[ProductID]],Products!A:A,Products!D:D,,0)</f>
        <v>180</v>
      </c>
      <c r="I85">
        <v>449</v>
      </c>
      <c r="J85">
        <v>404</v>
      </c>
      <c r="K85" t="s">
        <v>1107</v>
      </c>
      <c r="L85">
        <v>808</v>
      </c>
      <c r="M85" t="s">
        <v>1093</v>
      </c>
      <c r="N85" t="s">
        <v>1094</v>
      </c>
      <c r="O85">
        <f>Table1[[#This Row],[Unit_Price]]*Table1[[#This Row],[Quantity]]</f>
        <v>360</v>
      </c>
    </row>
    <row r="86" spans="1:15" x14ac:dyDescent="0.3">
      <c r="A86" t="s">
        <v>1267</v>
      </c>
      <c r="B86" t="s">
        <v>1268</v>
      </c>
      <c r="C86" t="s">
        <v>18</v>
      </c>
      <c r="D86" t="s">
        <v>1059</v>
      </c>
      <c r="E86">
        <v>1</v>
      </c>
      <c r="F86">
        <f>_xlfn.XLOOKUP(Table1[[#This Row],[ProductID]],Products!A:A,Products!D:D,,0)</f>
        <v>110</v>
      </c>
      <c r="I86">
        <v>399</v>
      </c>
      <c r="J86">
        <v>339</v>
      </c>
      <c r="K86" t="s">
        <v>1092</v>
      </c>
      <c r="L86">
        <v>339</v>
      </c>
      <c r="M86" t="s">
        <v>1093</v>
      </c>
      <c r="N86" t="s">
        <v>1094</v>
      </c>
      <c r="O86">
        <f>Table1[[#This Row],[Unit_Price]]*Table1[[#This Row],[Quantity]]</f>
        <v>110</v>
      </c>
    </row>
    <row r="87" spans="1:15" x14ac:dyDescent="0.3">
      <c r="A87" t="s">
        <v>1269</v>
      </c>
      <c r="B87" t="s">
        <v>1270</v>
      </c>
      <c r="C87" t="s">
        <v>593</v>
      </c>
      <c r="D87" t="s">
        <v>1080</v>
      </c>
      <c r="E87">
        <v>2</v>
      </c>
      <c r="F87">
        <f>_xlfn.XLOOKUP(Table1[[#This Row],[ProductID]],Products!A:A,Products!D:D,,0)</f>
        <v>45</v>
      </c>
      <c r="I87">
        <v>249</v>
      </c>
      <c r="J87">
        <v>224</v>
      </c>
      <c r="K87" t="s">
        <v>1107</v>
      </c>
      <c r="L87">
        <v>448</v>
      </c>
      <c r="M87" t="s">
        <v>1098</v>
      </c>
      <c r="N87" t="s">
        <v>1099</v>
      </c>
      <c r="O87">
        <f>Table1[[#This Row],[Unit_Price]]*Table1[[#This Row],[Quantity]]</f>
        <v>90</v>
      </c>
    </row>
    <row r="88" spans="1:15" x14ac:dyDescent="0.3">
      <c r="A88" t="s">
        <v>1271</v>
      </c>
      <c r="B88" t="s">
        <v>1272</v>
      </c>
      <c r="C88" t="s">
        <v>503</v>
      </c>
      <c r="D88" t="s">
        <v>1073</v>
      </c>
      <c r="E88">
        <v>2</v>
      </c>
      <c r="F88">
        <f>_xlfn.XLOOKUP(Table1[[#This Row],[ProductID]],Products!A:A,Products!D:D,,0)</f>
        <v>100</v>
      </c>
      <c r="I88">
        <v>349</v>
      </c>
      <c r="J88">
        <v>314</v>
      </c>
      <c r="K88" t="s">
        <v>1107</v>
      </c>
      <c r="L88">
        <v>628</v>
      </c>
      <c r="M88" t="s">
        <v>1093</v>
      </c>
      <c r="N88" t="s">
        <v>1094</v>
      </c>
      <c r="O88">
        <f>Table1[[#This Row],[Unit_Price]]*Table1[[#This Row],[Quantity]]</f>
        <v>200</v>
      </c>
    </row>
    <row r="89" spans="1:15" x14ac:dyDescent="0.3">
      <c r="A89" t="s">
        <v>1273</v>
      </c>
      <c r="B89" t="s">
        <v>1111</v>
      </c>
      <c r="C89" t="s">
        <v>717</v>
      </c>
      <c r="D89" t="s">
        <v>1078</v>
      </c>
      <c r="E89">
        <v>2</v>
      </c>
      <c r="F89">
        <f>_xlfn.XLOOKUP(Table1[[#This Row],[ProductID]],Products!A:A,Products!D:D,,0)</f>
        <v>80</v>
      </c>
      <c r="I89">
        <v>499</v>
      </c>
      <c r="J89">
        <v>499</v>
      </c>
      <c r="K89" t="s">
        <v>1102</v>
      </c>
      <c r="L89">
        <v>998</v>
      </c>
      <c r="M89" t="s">
        <v>1093</v>
      </c>
      <c r="N89" t="s">
        <v>1099</v>
      </c>
      <c r="O89">
        <f>Table1[[#This Row],[Unit_Price]]*Table1[[#This Row],[Quantity]]</f>
        <v>160</v>
      </c>
    </row>
    <row r="90" spans="1:15" x14ac:dyDescent="0.3">
      <c r="A90" t="s">
        <v>1274</v>
      </c>
      <c r="B90" t="s">
        <v>1275</v>
      </c>
      <c r="C90" t="s">
        <v>241</v>
      </c>
      <c r="D90" t="s">
        <v>1073</v>
      </c>
      <c r="E90">
        <v>3</v>
      </c>
      <c r="F90">
        <f>_xlfn.XLOOKUP(Table1[[#This Row],[ProductID]],Products!A:A,Products!D:D,,0)</f>
        <v>100</v>
      </c>
      <c r="I90">
        <v>349</v>
      </c>
      <c r="J90">
        <v>349</v>
      </c>
      <c r="K90" t="s">
        <v>1102</v>
      </c>
      <c r="L90">
        <v>1047</v>
      </c>
      <c r="M90" t="s">
        <v>1093</v>
      </c>
      <c r="N90" t="s">
        <v>1094</v>
      </c>
      <c r="O90">
        <f>Table1[[#This Row],[Unit_Price]]*Table1[[#This Row],[Quantity]]</f>
        <v>300</v>
      </c>
    </row>
    <row r="91" spans="1:15" x14ac:dyDescent="0.3">
      <c r="A91" t="s">
        <v>1276</v>
      </c>
      <c r="B91" t="s">
        <v>1226</v>
      </c>
      <c r="C91" t="s">
        <v>18</v>
      </c>
      <c r="D91" t="s">
        <v>1053</v>
      </c>
      <c r="E91">
        <v>2</v>
      </c>
      <c r="F91">
        <f>_xlfn.XLOOKUP(Table1[[#This Row],[ProductID]],Products!A:A,Products!D:D,,0)</f>
        <v>200</v>
      </c>
      <c r="I91">
        <v>899</v>
      </c>
      <c r="J91">
        <v>719</v>
      </c>
      <c r="K91" t="s">
        <v>1097</v>
      </c>
      <c r="L91">
        <v>1438</v>
      </c>
      <c r="M91" t="s">
        <v>1093</v>
      </c>
      <c r="N91" t="s">
        <v>1099</v>
      </c>
      <c r="O91">
        <f>Table1[[#This Row],[Unit_Price]]*Table1[[#This Row],[Quantity]]</f>
        <v>400</v>
      </c>
    </row>
    <row r="92" spans="1:15" x14ac:dyDescent="0.3">
      <c r="A92" t="s">
        <v>1277</v>
      </c>
      <c r="B92" t="s">
        <v>1278</v>
      </c>
      <c r="C92" t="s">
        <v>34</v>
      </c>
      <c r="D92" t="s">
        <v>1053</v>
      </c>
      <c r="E92">
        <v>2</v>
      </c>
      <c r="F92">
        <f>_xlfn.XLOOKUP(Table1[[#This Row],[ProductID]],Products!A:A,Products!D:D,,0)</f>
        <v>200</v>
      </c>
      <c r="I92">
        <v>899</v>
      </c>
      <c r="J92">
        <v>809</v>
      </c>
      <c r="K92" t="s">
        <v>1107</v>
      </c>
      <c r="L92">
        <v>1618</v>
      </c>
      <c r="M92" t="s">
        <v>1093</v>
      </c>
      <c r="N92" t="s">
        <v>1094</v>
      </c>
      <c r="O92">
        <f>Table1[[#This Row],[Unit_Price]]*Table1[[#This Row],[Quantity]]</f>
        <v>400</v>
      </c>
    </row>
    <row r="93" spans="1:15" x14ac:dyDescent="0.3">
      <c r="A93" t="s">
        <v>1279</v>
      </c>
      <c r="B93" t="s">
        <v>1182</v>
      </c>
      <c r="C93" t="s">
        <v>375</v>
      </c>
      <c r="D93" t="s">
        <v>1051</v>
      </c>
      <c r="E93">
        <v>2</v>
      </c>
      <c r="F93">
        <f>_xlfn.XLOOKUP(Table1[[#This Row],[ProductID]],Products!A:A,Products!D:D,,0)</f>
        <v>150</v>
      </c>
      <c r="I93">
        <v>499</v>
      </c>
      <c r="J93">
        <v>399</v>
      </c>
      <c r="K93" t="s">
        <v>1097</v>
      </c>
      <c r="L93">
        <v>798</v>
      </c>
      <c r="M93" t="s">
        <v>1093</v>
      </c>
      <c r="N93" t="s">
        <v>1099</v>
      </c>
      <c r="O93">
        <f>Table1[[#This Row],[Unit_Price]]*Table1[[#This Row],[Quantity]]</f>
        <v>300</v>
      </c>
    </row>
    <row r="94" spans="1:15" x14ac:dyDescent="0.3">
      <c r="A94" t="s">
        <v>1280</v>
      </c>
      <c r="B94" t="s">
        <v>1281</v>
      </c>
      <c r="C94" t="s">
        <v>389</v>
      </c>
      <c r="D94" t="s">
        <v>1064</v>
      </c>
      <c r="E94">
        <v>1</v>
      </c>
      <c r="F94">
        <f>_xlfn.XLOOKUP(Table1[[#This Row],[ProductID]],Products!A:A,Products!D:D,,0)</f>
        <v>160</v>
      </c>
      <c r="I94">
        <v>699</v>
      </c>
      <c r="J94">
        <v>559</v>
      </c>
      <c r="K94" t="s">
        <v>1097</v>
      </c>
      <c r="L94">
        <v>559</v>
      </c>
      <c r="M94" t="s">
        <v>1098</v>
      </c>
      <c r="N94" t="s">
        <v>1099</v>
      </c>
      <c r="O94">
        <f>Table1[[#This Row],[Unit_Price]]*Table1[[#This Row],[Quantity]]</f>
        <v>160</v>
      </c>
    </row>
    <row r="95" spans="1:15" x14ac:dyDescent="0.3">
      <c r="A95" t="s">
        <v>1282</v>
      </c>
      <c r="B95" t="s">
        <v>1283</v>
      </c>
      <c r="C95" t="s">
        <v>417</v>
      </c>
      <c r="D95" t="s">
        <v>1048</v>
      </c>
      <c r="E95">
        <v>1</v>
      </c>
      <c r="F95">
        <f>_xlfn.XLOOKUP(Table1[[#This Row],[ProductID]],Products!A:A,Products!D:D,,0)</f>
        <v>120</v>
      </c>
      <c r="I95">
        <v>599</v>
      </c>
      <c r="J95">
        <v>599</v>
      </c>
      <c r="K95" t="s">
        <v>1102</v>
      </c>
      <c r="L95">
        <v>599</v>
      </c>
      <c r="M95" t="s">
        <v>1118</v>
      </c>
      <c r="N95" t="s">
        <v>1099</v>
      </c>
      <c r="O95">
        <f>Table1[[#This Row],[Unit_Price]]*Table1[[#This Row],[Quantity]]</f>
        <v>120</v>
      </c>
    </row>
    <row r="96" spans="1:15" x14ac:dyDescent="0.3">
      <c r="A96" t="s">
        <v>1284</v>
      </c>
      <c r="B96" t="s">
        <v>1209</v>
      </c>
      <c r="C96" t="s">
        <v>675</v>
      </c>
      <c r="D96" t="s">
        <v>1066</v>
      </c>
      <c r="E96">
        <v>2</v>
      </c>
      <c r="F96">
        <f>_xlfn.XLOOKUP(Table1[[#This Row],[ProductID]],Products!A:A,Products!D:D,,0)</f>
        <v>140</v>
      </c>
      <c r="I96">
        <v>499</v>
      </c>
      <c r="J96">
        <v>449</v>
      </c>
      <c r="K96" t="s">
        <v>1107</v>
      </c>
      <c r="L96">
        <v>898</v>
      </c>
      <c r="M96" t="s">
        <v>1098</v>
      </c>
      <c r="N96" t="s">
        <v>1099</v>
      </c>
      <c r="O96">
        <f>Table1[[#This Row],[Unit_Price]]*Table1[[#This Row],[Quantity]]</f>
        <v>280</v>
      </c>
    </row>
    <row r="97" spans="1:15" x14ac:dyDescent="0.3">
      <c r="A97" t="s">
        <v>1285</v>
      </c>
      <c r="B97" t="s">
        <v>1286</v>
      </c>
      <c r="C97" t="s">
        <v>889</v>
      </c>
      <c r="D97" t="s">
        <v>1075</v>
      </c>
      <c r="E97">
        <v>1</v>
      </c>
      <c r="F97">
        <f>_xlfn.XLOOKUP(Table1[[#This Row],[ProductID]],Products!A:A,Products!D:D,,0)</f>
        <v>80</v>
      </c>
      <c r="I97">
        <v>499</v>
      </c>
      <c r="J97">
        <v>449</v>
      </c>
      <c r="K97" t="s">
        <v>1107</v>
      </c>
      <c r="L97">
        <v>449</v>
      </c>
      <c r="M97" t="s">
        <v>1098</v>
      </c>
      <c r="N97" t="s">
        <v>1099</v>
      </c>
      <c r="O97">
        <f>Table1[[#This Row],[Unit_Price]]*Table1[[#This Row],[Quantity]]</f>
        <v>80</v>
      </c>
    </row>
    <row r="98" spans="1:15" x14ac:dyDescent="0.3">
      <c r="A98" t="s">
        <v>1287</v>
      </c>
      <c r="B98" t="s">
        <v>1288</v>
      </c>
      <c r="C98" t="s">
        <v>1009</v>
      </c>
      <c r="D98" t="s">
        <v>1059</v>
      </c>
      <c r="E98">
        <v>4</v>
      </c>
      <c r="F98">
        <f>_xlfn.XLOOKUP(Table1[[#This Row],[ProductID]],Products!A:A,Products!D:D,,0)</f>
        <v>110</v>
      </c>
      <c r="I98">
        <v>399</v>
      </c>
      <c r="J98">
        <v>319</v>
      </c>
      <c r="K98" t="s">
        <v>1097</v>
      </c>
      <c r="L98">
        <v>1276</v>
      </c>
      <c r="M98" t="s">
        <v>1098</v>
      </c>
      <c r="N98" t="s">
        <v>1099</v>
      </c>
      <c r="O98">
        <f>Table1[[#This Row],[Unit_Price]]*Table1[[#This Row],[Quantity]]</f>
        <v>440</v>
      </c>
    </row>
    <row r="99" spans="1:15" x14ac:dyDescent="0.3">
      <c r="A99" t="s">
        <v>1289</v>
      </c>
      <c r="B99" t="s">
        <v>1290</v>
      </c>
      <c r="C99" t="s">
        <v>977</v>
      </c>
      <c r="D99" t="s">
        <v>1071</v>
      </c>
      <c r="E99">
        <v>1</v>
      </c>
      <c r="F99">
        <f>_xlfn.XLOOKUP(Table1[[#This Row],[ProductID]],Products!A:A,Products!D:D,,0)</f>
        <v>125</v>
      </c>
      <c r="I99">
        <v>399</v>
      </c>
      <c r="J99">
        <v>399</v>
      </c>
      <c r="K99" t="s">
        <v>1102</v>
      </c>
      <c r="L99">
        <v>399</v>
      </c>
      <c r="M99" t="s">
        <v>1093</v>
      </c>
      <c r="N99" t="s">
        <v>1094</v>
      </c>
      <c r="O99">
        <f>Table1[[#This Row],[Unit_Price]]*Table1[[#This Row],[Quantity]]</f>
        <v>125</v>
      </c>
    </row>
    <row r="100" spans="1:15" x14ac:dyDescent="0.3">
      <c r="A100" t="s">
        <v>1291</v>
      </c>
      <c r="B100" t="s">
        <v>1292</v>
      </c>
      <c r="C100" t="s">
        <v>1007</v>
      </c>
      <c r="D100" t="s">
        <v>1062</v>
      </c>
      <c r="E100">
        <v>3</v>
      </c>
      <c r="F100">
        <f>_xlfn.XLOOKUP(Table1[[#This Row],[ProductID]],Products!A:A,Products!D:D,,0)</f>
        <v>95</v>
      </c>
      <c r="I100">
        <v>349</v>
      </c>
      <c r="J100">
        <v>314</v>
      </c>
      <c r="K100" t="s">
        <v>1107</v>
      </c>
      <c r="L100">
        <v>942</v>
      </c>
      <c r="M100" t="s">
        <v>1098</v>
      </c>
      <c r="N100" t="s">
        <v>1099</v>
      </c>
      <c r="O100">
        <f>Table1[[#This Row],[Unit_Price]]*Table1[[#This Row],[Quantity]]</f>
        <v>285</v>
      </c>
    </row>
    <row r="101" spans="1:15" x14ac:dyDescent="0.3">
      <c r="A101" t="s">
        <v>1293</v>
      </c>
      <c r="B101" t="s">
        <v>1294</v>
      </c>
      <c r="C101" t="s">
        <v>781</v>
      </c>
      <c r="D101" t="s">
        <v>1071</v>
      </c>
      <c r="E101">
        <v>1</v>
      </c>
      <c r="F101">
        <f>_xlfn.XLOOKUP(Table1[[#This Row],[ProductID]],Products!A:A,Products!D:D,,0)</f>
        <v>125</v>
      </c>
      <c r="I101">
        <v>399</v>
      </c>
      <c r="J101">
        <v>339</v>
      </c>
      <c r="K101" t="s">
        <v>1092</v>
      </c>
      <c r="L101">
        <v>339</v>
      </c>
      <c r="M101" t="s">
        <v>1098</v>
      </c>
      <c r="N101" t="s">
        <v>1099</v>
      </c>
      <c r="O101">
        <f>Table1[[#This Row],[Unit_Price]]*Table1[[#This Row],[Quantity]]</f>
        <v>125</v>
      </c>
    </row>
    <row r="102" spans="1:15" x14ac:dyDescent="0.3">
      <c r="A102" t="s">
        <v>1295</v>
      </c>
      <c r="B102" t="s">
        <v>1296</v>
      </c>
      <c r="C102" t="s">
        <v>599</v>
      </c>
      <c r="D102" t="s">
        <v>1064</v>
      </c>
      <c r="E102">
        <v>1</v>
      </c>
      <c r="F102">
        <f>_xlfn.XLOOKUP(Table1[[#This Row],[ProductID]],Products!A:A,Products!D:D,,0)</f>
        <v>160</v>
      </c>
      <c r="I102">
        <v>699</v>
      </c>
      <c r="J102">
        <v>594</v>
      </c>
      <c r="K102" t="s">
        <v>1092</v>
      </c>
      <c r="L102">
        <v>594</v>
      </c>
      <c r="M102" t="s">
        <v>1093</v>
      </c>
      <c r="N102" t="s">
        <v>1099</v>
      </c>
      <c r="O102">
        <f>Table1[[#This Row],[Unit_Price]]*Table1[[#This Row],[Quantity]]</f>
        <v>160</v>
      </c>
    </row>
    <row r="103" spans="1:15" x14ac:dyDescent="0.3">
      <c r="A103" t="s">
        <v>1297</v>
      </c>
      <c r="B103" t="s">
        <v>1298</v>
      </c>
      <c r="C103" t="s">
        <v>261</v>
      </c>
      <c r="D103" t="s">
        <v>1057</v>
      </c>
      <c r="E103">
        <v>1</v>
      </c>
      <c r="F103">
        <f>_xlfn.XLOOKUP(Table1[[#This Row],[ProductID]],Products!A:A,Products!D:D,,0)</f>
        <v>130</v>
      </c>
      <c r="I103">
        <v>549</v>
      </c>
      <c r="J103">
        <v>439</v>
      </c>
      <c r="K103" t="s">
        <v>1097</v>
      </c>
      <c r="L103">
        <v>439</v>
      </c>
      <c r="M103" t="s">
        <v>1098</v>
      </c>
      <c r="N103" t="s">
        <v>1099</v>
      </c>
      <c r="O103">
        <f>Table1[[#This Row],[Unit_Price]]*Table1[[#This Row],[Quantity]]</f>
        <v>130</v>
      </c>
    </row>
    <row r="104" spans="1:15" x14ac:dyDescent="0.3">
      <c r="A104" t="s">
        <v>1299</v>
      </c>
      <c r="B104" t="s">
        <v>1300</v>
      </c>
      <c r="C104" t="s">
        <v>505</v>
      </c>
      <c r="D104" t="s">
        <v>1080</v>
      </c>
      <c r="E104">
        <v>1</v>
      </c>
      <c r="F104">
        <f>_xlfn.XLOOKUP(Table1[[#This Row],[ProductID]],Products!A:A,Products!D:D,,0)</f>
        <v>45</v>
      </c>
      <c r="I104">
        <v>249</v>
      </c>
      <c r="J104">
        <v>212</v>
      </c>
      <c r="K104" t="s">
        <v>1092</v>
      </c>
      <c r="L104">
        <v>212</v>
      </c>
      <c r="M104" t="s">
        <v>1093</v>
      </c>
      <c r="N104" t="s">
        <v>1099</v>
      </c>
      <c r="O104">
        <f>Table1[[#This Row],[Unit_Price]]*Table1[[#This Row],[Quantity]]</f>
        <v>45</v>
      </c>
    </row>
    <row r="105" spans="1:15" x14ac:dyDescent="0.3">
      <c r="A105" t="s">
        <v>1301</v>
      </c>
      <c r="B105" t="s">
        <v>1302</v>
      </c>
      <c r="C105" t="s">
        <v>645</v>
      </c>
      <c r="D105" t="s">
        <v>1048</v>
      </c>
      <c r="E105">
        <v>1</v>
      </c>
      <c r="F105">
        <f>_xlfn.XLOOKUP(Table1[[#This Row],[ProductID]],Products!A:A,Products!D:D,,0)</f>
        <v>120</v>
      </c>
      <c r="I105">
        <v>599</v>
      </c>
      <c r="J105">
        <v>539</v>
      </c>
      <c r="K105" t="s">
        <v>1107</v>
      </c>
      <c r="L105">
        <v>539</v>
      </c>
      <c r="M105" t="s">
        <v>1098</v>
      </c>
      <c r="N105" t="s">
        <v>1099</v>
      </c>
      <c r="O105">
        <f>Table1[[#This Row],[Unit_Price]]*Table1[[#This Row],[Quantity]]</f>
        <v>120</v>
      </c>
    </row>
    <row r="106" spans="1:15" x14ac:dyDescent="0.3">
      <c r="A106" t="s">
        <v>1303</v>
      </c>
      <c r="B106" t="s">
        <v>1304</v>
      </c>
      <c r="C106" t="s">
        <v>271</v>
      </c>
      <c r="D106" t="s">
        <v>1073</v>
      </c>
      <c r="E106">
        <v>2</v>
      </c>
      <c r="F106">
        <f>_xlfn.XLOOKUP(Table1[[#This Row],[ProductID]],Products!A:A,Products!D:D,,0)</f>
        <v>100</v>
      </c>
      <c r="I106">
        <v>349</v>
      </c>
      <c r="J106">
        <v>314</v>
      </c>
      <c r="K106" t="s">
        <v>1107</v>
      </c>
      <c r="L106">
        <v>628</v>
      </c>
      <c r="M106" t="s">
        <v>1098</v>
      </c>
      <c r="N106" t="s">
        <v>1099</v>
      </c>
      <c r="O106">
        <f>Table1[[#This Row],[Unit_Price]]*Table1[[#This Row],[Quantity]]</f>
        <v>200</v>
      </c>
    </row>
    <row r="107" spans="1:15" x14ac:dyDescent="0.3">
      <c r="A107" t="s">
        <v>1305</v>
      </c>
      <c r="B107" t="s">
        <v>1306</v>
      </c>
      <c r="C107" t="s">
        <v>855</v>
      </c>
      <c r="D107" t="s">
        <v>1071</v>
      </c>
      <c r="E107">
        <v>1</v>
      </c>
      <c r="F107">
        <f>_xlfn.XLOOKUP(Table1[[#This Row],[ProductID]],Products!A:A,Products!D:D,,0)</f>
        <v>125</v>
      </c>
      <c r="I107">
        <v>399</v>
      </c>
      <c r="J107">
        <v>359</v>
      </c>
      <c r="K107" t="s">
        <v>1107</v>
      </c>
      <c r="L107">
        <v>359</v>
      </c>
      <c r="M107" t="s">
        <v>1093</v>
      </c>
      <c r="N107" t="s">
        <v>1099</v>
      </c>
      <c r="O107">
        <f>Table1[[#This Row],[Unit_Price]]*Table1[[#This Row],[Quantity]]</f>
        <v>125</v>
      </c>
    </row>
    <row r="108" spans="1:15" x14ac:dyDescent="0.3">
      <c r="A108" t="s">
        <v>1307</v>
      </c>
      <c r="B108" t="s">
        <v>1308</v>
      </c>
      <c r="C108" t="s">
        <v>675</v>
      </c>
      <c r="D108" t="s">
        <v>1048</v>
      </c>
      <c r="E108">
        <v>3</v>
      </c>
      <c r="F108">
        <f>_xlfn.XLOOKUP(Table1[[#This Row],[ProductID]],Products!A:A,Products!D:D,,0)</f>
        <v>120</v>
      </c>
      <c r="I108">
        <v>599</v>
      </c>
      <c r="J108">
        <v>479</v>
      </c>
      <c r="K108" t="s">
        <v>1097</v>
      </c>
      <c r="L108">
        <v>1437</v>
      </c>
      <c r="M108" t="s">
        <v>1093</v>
      </c>
      <c r="N108" t="s">
        <v>1099</v>
      </c>
      <c r="O108">
        <f>Table1[[#This Row],[Unit_Price]]*Table1[[#This Row],[Quantity]]</f>
        <v>360</v>
      </c>
    </row>
    <row r="109" spans="1:15" x14ac:dyDescent="0.3">
      <c r="A109" t="s">
        <v>1309</v>
      </c>
      <c r="B109" t="s">
        <v>1310</v>
      </c>
      <c r="C109" t="s">
        <v>114</v>
      </c>
      <c r="D109" t="s">
        <v>1075</v>
      </c>
      <c r="E109">
        <v>3</v>
      </c>
      <c r="F109">
        <f>_xlfn.XLOOKUP(Table1[[#This Row],[ProductID]],Products!A:A,Products!D:D,,0)</f>
        <v>80</v>
      </c>
      <c r="I109">
        <v>499</v>
      </c>
      <c r="J109">
        <v>399</v>
      </c>
      <c r="K109" t="s">
        <v>1097</v>
      </c>
      <c r="L109">
        <v>1197</v>
      </c>
      <c r="M109" t="s">
        <v>1093</v>
      </c>
      <c r="N109" t="s">
        <v>1094</v>
      </c>
      <c r="O109">
        <f>Table1[[#This Row],[Unit_Price]]*Table1[[#This Row],[Quantity]]</f>
        <v>240</v>
      </c>
    </row>
    <row r="110" spans="1:15" x14ac:dyDescent="0.3">
      <c r="A110" t="s">
        <v>1311</v>
      </c>
      <c r="B110" t="s">
        <v>1312</v>
      </c>
      <c r="C110" t="s">
        <v>891</v>
      </c>
      <c r="D110" t="s">
        <v>1064</v>
      </c>
      <c r="E110">
        <v>1</v>
      </c>
      <c r="F110">
        <f>_xlfn.XLOOKUP(Table1[[#This Row],[ProductID]],Products!A:A,Products!D:D,,0)</f>
        <v>160</v>
      </c>
      <c r="I110">
        <v>699</v>
      </c>
      <c r="J110">
        <v>629</v>
      </c>
      <c r="K110" t="s">
        <v>1107</v>
      </c>
      <c r="L110">
        <v>629</v>
      </c>
      <c r="M110" t="s">
        <v>1093</v>
      </c>
      <c r="N110" t="s">
        <v>1094</v>
      </c>
      <c r="O110">
        <f>Table1[[#This Row],[Unit_Price]]*Table1[[#This Row],[Quantity]]</f>
        <v>160</v>
      </c>
    </row>
    <row r="111" spans="1:15" x14ac:dyDescent="0.3">
      <c r="A111" t="s">
        <v>1313</v>
      </c>
      <c r="B111" t="s">
        <v>1308</v>
      </c>
      <c r="C111" t="s">
        <v>727</v>
      </c>
      <c r="D111" t="s">
        <v>1055</v>
      </c>
      <c r="E111">
        <v>1</v>
      </c>
      <c r="F111">
        <f>_xlfn.XLOOKUP(Table1[[#This Row],[ProductID]],Products!A:A,Products!D:D,,0)</f>
        <v>75</v>
      </c>
      <c r="I111">
        <v>299</v>
      </c>
      <c r="J111">
        <v>269</v>
      </c>
      <c r="K111" t="s">
        <v>1107</v>
      </c>
      <c r="L111">
        <v>269</v>
      </c>
      <c r="M111" t="s">
        <v>1126</v>
      </c>
      <c r="N111" t="s">
        <v>1099</v>
      </c>
      <c r="O111">
        <f>Table1[[#This Row],[Unit_Price]]*Table1[[#This Row],[Quantity]]</f>
        <v>75</v>
      </c>
    </row>
    <row r="112" spans="1:15" x14ac:dyDescent="0.3">
      <c r="A112" t="s">
        <v>1314</v>
      </c>
      <c r="B112" t="s">
        <v>1315</v>
      </c>
      <c r="C112" t="s">
        <v>925</v>
      </c>
      <c r="D112" t="s">
        <v>1078</v>
      </c>
      <c r="E112">
        <v>2</v>
      </c>
      <c r="F112">
        <f>_xlfn.XLOOKUP(Table1[[#This Row],[ProductID]],Products!A:A,Products!D:D,,0)</f>
        <v>80</v>
      </c>
      <c r="I112">
        <v>499</v>
      </c>
      <c r="J112">
        <v>499</v>
      </c>
      <c r="K112" t="s">
        <v>1102</v>
      </c>
      <c r="L112">
        <v>998</v>
      </c>
      <c r="M112" t="s">
        <v>1098</v>
      </c>
      <c r="N112" t="s">
        <v>1099</v>
      </c>
      <c r="O112">
        <f>Table1[[#This Row],[Unit_Price]]*Table1[[#This Row],[Quantity]]</f>
        <v>160</v>
      </c>
    </row>
    <row r="113" spans="1:15" x14ac:dyDescent="0.3">
      <c r="A113" t="s">
        <v>1316</v>
      </c>
      <c r="B113" t="s">
        <v>1317</v>
      </c>
      <c r="C113" t="s">
        <v>505</v>
      </c>
      <c r="D113" t="s">
        <v>1080</v>
      </c>
      <c r="E113">
        <v>2</v>
      </c>
      <c r="F113">
        <f>_xlfn.XLOOKUP(Table1[[#This Row],[ProductID]],Products!A:A,Products!D:D,,0)</f>
        <v>45</v>
      </c>
      <c r="I113">
        <v>249</v>
      </c>
      <c r="J113">
        <v>249</v>
      </c>
      <c r="K113" t="s">
        <v>1102</v>
      </c>
      <c r="L113">
        <v>498</v>
      </c>
      <c r="M113" t="s">
        <v>1098</v>
      </c>
      <c r="N113" t="s">
        <v>1099</v>
      </c>
      <c r="O113">
        <f>Table1[[#This Row],[Unit_Price]]*Table1[[#This Row],[Quantity]]</f>
        <v>90</v>
      </c>
    </row>
    <row r="114" spans="1:15" x14ac:dyDescent="0.3">
      <c r="A114" t="s">
        <v>1318</v>
      </c>
      <c r="B114" t="s">
        <v>1319</v>
      </c>
      <c r="C114" t="s">
        <v>739</v>
      </c>
      <c r="D114" t="s">
        <v>1073</v>
      </c>
      <c r="E114">
        <v>2</v>
      </c>
      <c r="F114">
        <f>_xlfn.XLOOKUP(Table1[[#This Row],[ProductID]],Products!A:A,Products!D:D,,0)</f>
        <v>100</v>
      </c>
      <c r="I114">
        <v>349</v>
      </c>
      <c r="J114">
        <v>314</v>
      </c>
      <c r="K114" t="s">
        <v>1107</v>
      </c>
      <c r="L114">
        <v>628</v>
      </c>
      <c r="M114" t="s">
        <v>1093</v>
      </c>
      <c r="N114" t="s">
        <v>1123</v>
      </c>
      <c r="O114">
        <f>Table1[[#This Row],[Unit_Price]]*Table1[[#This Row],[Quantity]]</f>
        <v>200</v>
      </c>
    </row>
    <row r="115" spans="1:15" x14ac:dyDescent="0.3">
      <c r="A115" t="s">
        <v>1320</v>
      </c>
      <c r="B115" t="s">
        <v>1321</v>
      </c>
      <c r="C115" t="s">
        <v>343</v>
      </c>
      <c r="D115" t="s">
        <v>1055</v>
      </c>
      <c r="E115">
        <v>2</v>
      </c>
      <c r="F115">
        <f>_xlfn.XLOOKUP(Table1[[#This Row],[ProductID]],Products!A:A,Products!D:D,,0)</f>
        <v>75</v>
      </c>
      <c r="I115">
        <v>299</v>
      </c>
      <c r="J115">
        <v>239</v>
      </c>
      <c r="K115" t="s">
        <v>1097</v>
      </c>
      <c r="L115">
        <v>478</v>
      </c>
      <c r="M115" t="s">
        <v>1098</v>
      </c>
      <c r="N115" t="s">
        <v>1099</v>
      </c>
      <c r="O115">
        <f>Table1[[#This Row],[Unit_Price]]*Table1[[#This Row],[Quantity]]</f>
        <v>150</v>
      </c>
    </row>
    <row r="116" spans="1:15" x14ac:dyDescent="0.3">
      <c r="A116" t="s">
        <v>1322</v>
      </c>
      <c r="B116" t="s">
        <v>1323</v>
      </c>
      <c r="C116" t="s">
        <v>345</v>
      </c>
      <c r="D116" t="s">
        <v>1062</v>
      </c>
      <c r="E116">
        <v>1</v>
      </c>
      <c r="F116">
        <f>_xlfn.XLOOKUP(Table1[[#This Row],[ProductID]],Products!A:A,Products!D:D,,0)</f>
        <v>95</v>
      </c>
      <c r="I116">
        <v>349</v>
      </c>
      <c r="J116">
        <v>279</v>
      </c>
      <c r="K116" t="s">
        <v>1097</v>
      </c>
      <c r="L116">
        <v>279</v>
      </c>
      <c r="M116" t="s">
        <v>1098</v>
      </c>
      <c r="N116" t="s">
        <v>1099</v>
      </c>
      <c r="O116">
        <f>Table1[[#This Row],[Unit_Price]]*Table1[[#This Row],[Quantity]]</f>
        <v>95</v>
      </c>
    </row>
    <row r="117" spans="1:15" x14ac:dyDescent="0.3">
      <c r="A117" t="s">
        <v>1324</v>
      </c>
      <c r="B117" t="s">
        <v>1325</v>
      </c>
      <c r="C117" t="s">
        <v>871</v>
      </c>
      <c r="D117" t="s">
        <v>1053</v>
      </c>
      <c r="E117">
        <v>1</v>
      </c>
      <c r="F117">
        <f>_xlfn.XLOOKUP(Table1[[#This Row],[ProductID]],Products!A:A,Products!D:D,,0)</f>
        <v>200</v>
      </c>
      <c r="I117">
        <v>899</v>
      </c>
      <c r="J117">
        <v>719</v>
      </c>
      <c r="K117" t="s">
        <v>1097</v>
      </c>
      <c r="L117">
        <v>719</v>
      </c>
      <c r="M117" t="s">
        <v>1098</v>
      </c>
      <c r="N117" t="s">
        <v>1099</v>
      </c>
      <c r="O117">
        <f>Table1[[#This Row],[Unit_Price]]*Table1[[#This Row],[Quantity]]</f>
        <v>200</v>
      </c>
    </row>
    <row r="118" spans="1:15" x14ac:dyDescent="0.3">
      <c r="A118" t="s">
        <v>1326</v>
      </c>
      <c r="B118" t="s">
        <v>1327</v>
      </c>
      <c r="C118" t="s">
        <v>124</v>
      </c>
      <c r="D118" t="s">
        <v>1068</v>
      </c>
      <c r="E118">
        <v>1</v>
      </c>
      <c r="F118">
        <f>_xlfn.XLOOKUP(Table1[[#This Row],[ProductID]],Products!A:A,Products!D:D,,0)</f>
        <v>180</v>
      </c>
      <c r="I118">
        <v>449</v>
      </c>
      <c r="J118">
        <v>404</v>
      </c>
      <c r="K118" t="s">
        <v>1107</v>
      </c>
      <c r="L118">
        <v>404</v>
      </c>
      <c r="M118" t="s">
        <v>1098</v>
      </c>
      <c r="N118" t="s">
        <v>1099</v>
      </c>
      <c r="O118">
        <f>Table1[[#This Row],[Unit_Price]]*Table1[[#This Row],[Quantity]]</f>
        <v>180</v>
      </c>
    </row>
    <row r="119" spans="1:15" x14ac:dyDescent="0.3">
      <c r="A119" t="s">
        <v>1328</v>
      </c>
      <c r="B119" t="s">
        <v>1329</v>
      </c>
      <c r="C119" t="s">
        <v>731</v>
      </c>
      <c r="D119" t="s">
        <v>1078</v>
      </c>
      <c r="E119">
        <v>2</v>
      </c>
      <c r="F119">
        <f>_xlfn.XLOOKUP(Table1[[#This Row],[ProductID]],Products!A:A,Products!D:D,,0)</f>
        <v>80</v>
      </c>
      <c r="I119">
        <v>499</v>
      </c>
      <c r="J119">
        <v>399</v>
      </c>
      <c r="K119" t="s">
        <v>1097</v>
      </c>
      <c r="L119">
        <v>798</v>
      </c>
      <c r="M119" t="s">
        <v>1126</v>
      </c>
      <c r="N119" t="s">
        <v>1099</v>
      </c>
      <c r="O119">
        <f>Table1[[#This Row],[Unit_Price]]*Table1[[#This Row],[Quantity]]</f>
        <v>160</v>
      </c>
    </row>
    <row r="120" spans="1:15" x14ac:dyDescent="0.3">
      <c r="A120" t="s">
        <v>1330</v>
      </c>
      <c r="B120" t="s">
        <v>1331</v>
      </c>
      <c r="C120" t="s">
        <v>887</v>
      </c>
      <c r="D120" t="s">
        <v>1075</v>
      </c>
      <c r="E120">
        <v>1</v>
      </c>
      <c r="F120">
        <f>_xlfn.XLOOKUP(Table1[[#This Row],[ProductID]],Products!A:A,Products!D:D,,0)</f>
        <v>80</v>
      </c>
      <c r="I120">
        <v>499</v>
      </c>
      <c r="J120">
        <v>499</v>
      </c>
      <c r="K120" t="s">
        <v>1102</v>
      </c>
      <c r="L120">
        <v>499</v>
      </c>
      <c r="M120" t="s">
        <v>1098</v>
      </c>
      <c r="N120" t="s">
        <v>1099</v>
      </c>
      <c r="O120">
        <f>Table1[[#This Row],[Unit_Price]]*Table1[[#This Row],[Quantity]]</f>
        <v>80</v>
      </c>
    </row>
    <row r="121" spans="1:15" x14ac:dyDescent="0.3">
      <c r="A121" t="s">
        <v>1332</v>
      </c>
      <c r="B121" t="s">
        <v>1333</v>
      </c>
      <c r="C121" t="s">
        <v>753</v>
      </c>
      <c r="D121" t="s">
        <v>1071</v>
      </c>
      <c r="E121">
        <v>1</v>
      </c>
      <c r="F121">
        <f>_xlfn.XLOOKUP(Table1[[#This Row],[ProductID]],Products!A:A,Products!D:D,,0)</f>
        <v>125</v>
      </c>
      <c r="I121">
        <v>399</v>
      </c>
      <c r="J121">
        <v>319</v>
      </c>
      <c r="K121" t="s">
        <v>1097</v>
      </c>
      <c r="L121">
        <v>319</v>
      </c>
      <c r="M121" t="s">
        <v>1118</v>
      </c>
      <c r="N121" t="s">
        <v>1099</v>
      </c>
      <c r="O121">
        <f>Table1[[#This Row],[Unit_Price]]*Table1[[#This Row],[Quantity]]</f>
        <v>125</v>
      </c>
    </row>
    <row r="122" spans="1:15" x14ac:dyDescent="0.3">
      <c r="A122" t="s">
        <v>1334</v>
      </c>
      <c r="B122" t="s">
        <v>1335</v>
      </c>
      <c r="C122" t="s">
        <v>925</v>
      </c>
      <c r="D122" t="s">
        <v>1062</v>
      </c>
      <c r="E122">
        <v>1</v>
      </c>
      <c r="F122">
        <f>_xlfn.XLOOKUP(Table1[[#This Row],[ProductID]],Products!A:A,Products!D:D,,0)</f>
        <v>95</v>
      </c>
      <c r="I122">
        <v>349</v>
      </c>
      <c r="J122">
        <v>349</v>
      </c>
      <c r="K122" t="s">
        <v>1102</v>
      </c>
      <c r="L122">
        <v>349</v>
      </c>
      <c r="M122" t="s">
        <v>1093</v>
      </c>
      <c r="N122" t="s">
        <v>1123</v>
      </c>
      <c r="O122">
        <f>Table1[[#This Row],[Unit_Price]]*Table1[[#This Row],[Quantity]]</f>
        <v>95</v>
      </c>
    </row>
    <row r="123" spans="1:15" x14ac:dyDescent="0.3">
      <c r="A123" t="s">
        <v>1336</v>
      </c>
      <c r="B123" t="s">
        <v>1337</v>
      </c>
      <c r="C123" t="s">
        <v>52</v>
      </c>
      <c r="D123" t="s">
        <v>1066</v>
      </c>
      <c r="E123">
        <v>2</v>
      </c>
      <c r="F123">
        <f>_xlfn.XLOOKUP(Table1[[#This Row],[ProductID]],Products!A:A,Products!D:D,,0)</f>
        <v>140</v>
      </c>
      <c r="I123">
        <v>499</v>
      </c>
      <c r="J123">
        <v>499</v>
      </c>
      <c r="K123" t="s">
        <v>1102</v>
      </c>
      <c r="L123">
        <v>998</v>
      </c>
      <c r="M123" t="s">
        <v>1118</v>
      </c>
      <c r="N123" t="s">
        <v>1099</v>
      </c>
      <c r="O123">
        <f>Table1[[#This Row],[Unit_Price]]*Table1[[#This Row],[Quantity]]</f>
        <v>280</v>
      </c>
    </row>
    <row r="124" spans="1:15" x14ac:dyDescent="0.3">
      <c r="A124" t="s">
        <v>1338</v>
      </c>
      <c r="B124" t="s">
        <v>1339</v>
      </c>
      <c r="C124" t="s">
        <v>901</v>
      </c>
      <c r="D124" t="s">
        <v>1055</v>
      </c>
      <c r="E124">
        <v>3</v>
      </c>
      <c r="F124">
        <f>_xlfn.XLOOKUP(Table1[[#This Row],[ProductID]],Products!A:A,Products!D:D,,0)</f>
        <v>75</v>
      </c>
      <c r="I124">
        <v>299</v>
      </c>
      <c r="J124">
        <v>299</v>
      </c>
      <c r="K124" t="s">
        <v>1102</v>
      </c>
      <c r="L124">
        <v>897</v>
      </c>
      <c r="M124" t="s">
        <v>1093</v>
      </c>
      <c r="N124" t="s">
        <v>1099</v>
      </c>
      <c r="O124">
        <f>Table1[[#This Row],[Unit_Price]]*Table1[[#This Row],[Quantity]]</f>
        <v>225</v>
      </c>
    </row>
    <row r="125" spans="1:15" x14ac:dyDescent="0.3">
      <c r="A125" t="s">
        <v>1340</v>
      </c>
      <c r="B125" t="s">
        <v>1341</v>
      </c>
      <c r="C125" t="s">
        <v>1003</v>
      </c>
      <c r="D125" t="s">
        <v>1055</v>
      </c>
      <c r="E125">
        <v>2</v>
      </c>
      <c r="F125">
        <f>_xlfn.XLOOKUP(Table1[[#This Row],[ProductID]],Products!A:A,Products!D:D,,0)</f>
        <v>75</v>
      </c>
      <c r="I125">
        <v>299</v>
      </c>
      <c r="J125">
        <v>239</v>
      </c>
      <c r="K125" t="s">
        <v>1097</v>
      </c>
      <c r="L125">
        <v>478</v>
      </c>
      <c r="M125" t="s">
        <v>1093</v>
      </c>
      <c r="N125" t="s">
        <v>1099</v>
      </c>
      <c r="O125">
        <f>Table1[[#This Row],[Unit_Price]]*Table1[[#This Row],[Quantity]]</f>
        <v>150</v>
      </c>
    </row>
    <row r="126" spans="1:15" x14ac:dyDescent="0.3">
      <c r="A126" t="s">
        <v>1342</v>
      </c>
      <c r="B126" t="s">
        <v>1343</v>
      </c>
      <c r="C126" t="s">
        <v>933</v>
      </c>
      <c r="D126" t="s">
        <v>1080</v>
      </c>
      <c r="E126">
        <v>1</v>
      </c>
      <c r="F126">
        <f>_xlfn.XLOOKUP(Table1[[#This Row],[ProductID]],Products!A:A,Products!D:D,,0)</f>
        <v>45</v>
      </c>
      <c r="I126">
        <v>249</v>
      </c>
      <c r="J126">
        <v>224</v>
      </c>
      <c r="K126" t="s">
        <v>1107</v>
      </c>
      <c r="L126">
        <v>224</v>
      </c>
      <c r="M126" t="s">
        <v>1098</v>
      </c>
      <c r="N126" t="s">
        <v>1099</v>
      </c>
      <c r="O126">
        <f>Table1[[#This Row],[Unit_Price]]*Table1[[#This Row],[Quantity]]</f>
        <v>45</v>
      </c>
    </row>
    <row r="127" spans="1:15" x14ac:dyDescent="0.3">
      <c r="A127" t="s">
        <v>1344</v>
      </c>
      <c r="B127" t="s">
        <v>1345</v>
      </c>
      <c r="C127" t="s">
        <v>329</v>
      </c>
      <c r="D127" t="s">
        <v>1048</v>
      </c>
      <c r="E127">
        <v>2</v>
      </c>
      <c r="F127">
        <f>_xlfn.XLOOKUP(Table1[[#This Row],[ProductID]],Products!A:A,Products!D:D,,0)</f>
        <v>120</v>
      </c>
      <c r="I127">
        <v>599</v>
      </c>
      <c r="J127">
        <v>479</v>
      </c>
      <c r="K127" t="s">
        <v>1097</v>
      </c>
      <c r="L127">
        <v>958</v>
      </c>
      <c r="M127" t="s">
        <v>1098</v>
      </c>
      <c r="N127" t="s">
        <v>1099</v>
      </c>
      <c r="O127">
        <f>Table1[[#This Row],[Unit_Price]]*Table1[[#This Row],[Quantity]]</f>
        <v>240</v>
      </c>
    </row>
    <row r="128" spans="1:15" x14ac:dyDescent="0.3">
      <c r="A128" t="s">
        <v>1346</v>
      </c>
      <c r="B128" t="s">
        <v>1347</v>
      </c>
      <c r="C128" t="s">
        <v>327</v>
      </c>
      <c r="D128" t="s">
        <v>1062</v>
      </c>
      <c r="E128">
        <v>1</v>
      </c>
      <c r="F128">
        <f>_xlfn.XLOOKUP(Table1[[#This Row],[ProductID]],Products!A:A,Products!D:D,,0)</f>
        <v>95</v>
      </c>
      <c r="I128">
        <v>349</v>
      </c>
      <c r="J128">
        <v>297</v>
      </c>
      <c r="K128" t="s">
        <v>1092</v>
      </c>
      <c r="L128">
        <v>297</v>
      </c>
      <c r="M128" t="s">
        <v>1093</v>
      </c>
      <c r="N128" t="s">
        <v>1099</v>
      </c>
      <c r="O128">
        <f>Table1[[#This Row],[Unit_Price]]*Table1[[#This Row],[Quantity]]</f>
        <v>95</v>
      </c>
    </row>
    <row r="129" spans="1:15" x14ac:dyDescent="0.3">
      <c r="A129" t="s">
        <v>1348</v>
      </c>
      <c r="B129" t="s">
        <v>1349</v>
      </c>
      <c r="C129" t="s">
        <v>49</v>
      </c>
      <c r="D129" t="s">
        <v>1062</v>
      </c>
      <c r="E129">
        <v>1</v>
      </c>
      <c r="F129">
        <f>_xlfn.XLOOKUP(Table1[[#This Row],[ProductID]],Products!A:A,Products!D:D,,0)</f>
        <v>95</v>
      </c>
      <c r="I129">
        <v>349</v>
      </c>
      <c r="J129">
        <v>314</v>
      </c>
      <c r="K129" t="s">
        <v>1107</v>
      </c>
      <c r="L129">
        <v>314</v>
      </c>
      <c r="M129" t="s">
        <v>1118</v>
      </c>
      <c r="N129" t="s">
        <v>1099</v>
      </c>
      <c r="O129">
        <f>Table1[[#This Row],[Unit_Price]]*Table1[[#This Row],[Quantity]]</f>
        <v>95</v>
      </c>
    </row>
    <row r="130" spans="1:15" x14ac:dyDescent="0.3">
      <c r="A130" t="s">
        <v>1350</v>
      </c>
      <c r="B130" t="s">
        <v>1351</v>
      </c>
      <c r="C130" t="s">
        <v>130</v>
      </c>
      <c r="D130" t="s">
        <v>1080</v>
      </c>
      <c r="E130">
        <v>1</v>
      </c>
      <c r="F130">
        <f>_xlfn.XLOOKUP(Table1[[#This Row],[ProductID]],Products!A:A,Products!D:D,,0)</f>
        <v>45</v>
      </c>
      <c r="I130">
        <v>249</v>
      </c>
      <c r="J130">
        <v>249</v>
      </c>
      <c r="K130" t="s">
        <v>1102</v>
      </c>
      <c r="L130">
        <v>249</v>
      </c>
      <c r="M130" t="s">
        <v>1126</v>
      </c>
      <c r="N130" t="s">
        <v>1099</v>
      </c>
      <c r="O130">
        <f>Table1[[#This Row],[Unit_Price]]*Table1[[#This Row],[Quantity]]</f>
        <v>45</v>
      </c>
    </row>
    <row r="131" spans="1:15" x14ac:dyDescent="0.3">
      <c r="A131" t="s">
        <v>1352</v>
      </c>
      <c r="B131" t="s">
        <v>1353</v>
      </c>
      <c r="C131" t="s">
        <v>569</v>
      </c>
      <c r="D131" t="s">
        <v>1075</v>
      </c>
      <c r="E131">
        <v>1</v>
      </c>
      <c r="F131">
        <f>_xlfn.XLOOKUP(Table1[[#This Row],[ProductID]],Products!A:A,Products!D:D,,0)</f>
        <v>80</v>
      </c>
      <c r="I131">
        <v>499</v>
      </c>
      <c r="J131">
        <v>399</v>
      </c>
      <c r="K131" t="s">
        <v>1097</v>
      </c>
      <c r="L131">
        <v>399</v>
      </c>
      <c r="M131" t="s">
        <v>1093</v>
      </c>
      <c r="N131" t="s">
        <v>1099</v>
      </c>
      <c r="O131">
        <f>Table1[[#This Row],[Unit_Price]]*Table1[[#This Row],[Quantity]]</f>
        <v>80</v>
      </c>
    </row>
    <row r="132" spans="1:15" x14ac:dyDescent="0.3">
      <c r="A132" t="s">
        <v>1354</v>
      </c>
      <c r="B132" t="s">
        <v>1355</v>
      </c>
      <c r="C132" t="s">
        <v>897</v>
      </c>
      <c r="D132" t="s">
        <v>1068</v>
      </c>
      <c r="E132">
        <v>1</v>
      </c>
      <c r="F132">
        <f>_xlfn.XLOOKUP(Table1[[#This Row],[ProductID]],Products!A:A,Products!D:D,,0)</f>
        <v>180</v>
      </c>
      <c r="I132">
        <v>449</v>
      </c>
      <c r="J132">
        <v>404</v>
      </c>
      <c r="K132" t="s">
        <v>1107</v>
      </c>
      <c r="L132">
        <v>404</v>
      </c>
      <c r="M132" t="s">
        <v>1098</v>
      </c>
      <c r="N132" t="s">
        <v>1099</v>
      </c>
      <c r="O132">
        <f>Table1[[#This Row],[Unit_Price]]*Table1[[#This Row],[Quantity]]</f>
        <v>180</v>
      </c>
    </row>
    <row r="133" spans="1:15" x14ac:dyDescent="0.3">
      <c r="A133" t="s">
        <v>1356</v>
      </c>
      <c r="B133" t="s">
        <v>1357</v>
      </c>
      <c r="C133" t="s">
        <v>879</v>
      </c>
      <c r="D133" t="s">
        <v>1062</v>
      </c>
      <c r="E133">
        <v>1</v>
      </c>
      <c r="F133">
        <f>_xlfn.XLOOKUP(Table1[[#This Row],[ProductID]],Products!A:A,Products!D:D,,0)</f>
        <v>95</v>
      </c>
      <c r="I133">
        <v>349</v>
      </c>
      <c r="J133">
        <v>297</v>
      </c>
      <c r="K133" t="s">
        <v>1092</v>
      </c>
      <c r="L133">
        <v>297</v>
      </c>
      <c r="M133" t="s">
        <v>1098</v>
      </c>
      <c r="N133" t="s">
        <v>1099</v>
      </c>
      <c r="O133">
        <f>Table1[[#This Row],[Unit_Price]]*Table1[[#This Row],[Quantity]]</f>
        <v>95</v>
      </c>
    </row>
    <row r="134" spans="1:15" x14ac:dyDescent="0.3">
      <c r="A134" t="s">
        <v>1358</v>
      </c>
      <c r="B134" t="s">
        <v>1359</v>
      </c>
      <c r="C134" t="s">
        <v>279</v>
      </c>
      <c r="D134" t="s">
        <v>1073</v>
      </c>
      <c r="E134">
        <v>1</v>
      </c>
      <c r="F134">
        <f>_xlfn.XLOOKUP(Table1[[#This Row],[ProductID]],Products!A:A,Products!D:D,,0)</f>
        <v>100</v>
      </c>
      <c r="I134">
        <v>349</v>
      </c>
      <c r="J134">
        <v>297</v>
      </c>
      <c r="K134" t="s">
        <v>1092</v>
      </c>
      <c r="L134">
        <v>297</v>
      </c>
      <c r="M134" t="s">
        <v>1118</v>
      </c>
      <c r="N134" t="s">
        <v>1099</v>
      </c>
      <c r="O134">
        <f>Table1[[#This Row],[Unit_Price]]*Table1[[#This Row],[Quantity]]</f>
        <v>100</v>
      </c>
    </row>
    <row r="135" spans="1:15" x14ac:dyDescent="0.3">
      <c r="A135" t="s">
        <v>1360</v>
      </c>
      <c r="B135" t="s">
        <v>1361</v>
      </c>
      <c r="C135" t="s">
        <v>647</v>
      </c>
      <c r="D135" t="s">
        <v>1080</v>
      </c>
      <c r="E135">
        <v>2</v>
      </c>
      <c r="F135">
        <f>_xlfn.XLOOKUP(Table1[[#This Row],[ProductID]],Products!A:A,Products!D:D,,0)</f>
        <v>45</v>
      </c>
      <c r="I135">
        <v>249</v>
      </c>
      <c r="J135">
        <v>212</v>
      </c>
      <c r="K135" t="s">
        <v>1092</v>
      </c>
      <c r="L135">
        <v>424</v>
      </c>
      <c r="M135" t="s">
        <v>1098</v>
      </c>
      <c r="N135" t="s">
        <v>1099</v>
      </c>
      <c r="O135">
        <f>Table1[[#This Row],[Unit_Price]]*Table1[[#This Row],[Quantity]]</f>
        <v>90</v>
      </c>
    </row>
    <row r="136" spans="1:15" x14ac:dyDescent="0.3">
      <c r="A136" t="s">
        <v>1362</v>
      </c>
      <c r="B136" t="s">
        <v>1132</v>
      </c>
      <c r="C136" t="s">
        <v>819</v>
      </c>
      <c r="D136" t="s">
        <v>1071</v>
      </c>
      <c r="E136">
        <v>3</v>
      </c>
      <c r="F136">
        <f>_xlfn.XLOOKUP(Table1[[#This Row],[ProductID]],Products!A:A,Products!D:D,,0)</f>
        <v>125</v>
      </c>
      <c r="I136">
        <v>399</v>
      </c>
      <c r="J136">
        <v>339</v>
      </c>
      <c r="K136" t="s">
        <v>1092</v>
      </c>
      <c r="L136">
        <v>1017</v>
      </c>
      <c r="M136" t="s">
        <v>1098</v>
      </c>
      <c r="N136" t="s">
        <v>1099</v>
      </c>
      <c r="O136">
        <f>Table1[[#This Row],[Unit_Price]]*Table1[[#This Row],[Quantity]]</f>
        <v>375</v>
      </c>
    </row>
    <row r="137" spans="1:15" x14ac:dyDescent="0.3">
      <c r="A137" t="s">
        <v>1363</v>
      </c>
      <c r="B137" t="s">
        <v>1364</v>
      </c>
      <c r="C137" t="s">
        <v>935</v>
      </c>
      <c r="D137" t="s">
        <v>1048</v>
      </c>
      <c r="E137">
        <v>2</v>
      </c>
      <c r="F137">
        <f>_xlfn.XLOOKUP(Table1[[#This Row],[ProductID]],Products!A:A,Products!D:D,,0)</f>
        <v>120</v>
      </c>
      <c r="I137">
        <v>599</v>
      </c>
      <c r="J137">
        <v>539</v>
      </c>
      <c r="K137" t="s">
        <v>1107</v>
      </c>
      <c r="L137">
        <v>1078</v>
      </c>
      <c r="M137" t="s">
        <v>1098</v>
      </c>
      <c r="N137" t="s">
        <v>1099</v>
      </c>
      <c r="O137">
        <f>Table1[[#This Row],[Unit_Price]]*Table1[[#This Row],[Quantity]]</f>
        <v>240</v>
      </c>
    </row>
    <row r="138" spans="1:15" x14ac:dyDescent="0.3">
      <c r="A138" t="s">
        <v>1365</v>
      </c>
      <c r="B138" t="s">
        <v>1366</v>
      </c>
      <c r="C138" t="s">
        <v>69</v>
      </c>
      <c r="D138" t="s">
        <v>1057</v>
      </c>
      <c r="E138">
        <v>3</v>
      </c>
      <c r="F138">
        <f>_xlfn.XLOOKUP(Table1[[#This Row],[ProductID]],Products!A:A,Products!D:D,,0)</f>
        <v>130</v>
      </c>
      <c r="I138">
        <v>549</v>
      </c>
      <c r="J138">
        <v>439</v>
      </c>
      <c r="K138" t="s">
        <v>1097</v>
      </c>
      <c r="L138">
        <v>1317</v>
      </c>
      <c r="M138" t="s">
        <v>1098</v>
      </c>
      <c r="N138" t="s">
        <v>1099</v>
      </c>
      <c r="O138">
        <f>Table1[[#This Row],[Unit_Price]]*Table1[[#This Row],[Quantity]]</f>
        <v>390</v>
      </c>
    </row>
    <row r="139" spans="1:15" x14ac:dyDescent="0.3">
      <c r="A139" t="s">
        <v>1367</v>
      </c>
      <c r="B139" t="s">
        <v>1368</v>
      </c>
      <c r="C139" t="s">
        <v>527</v>
      </c>
      <c r="D139" t="s">
        <v>1064</v>
      </c>
      <c r="E139">
        <v>1</v>
      </c>
      <c r="F139">
        <f>_xlfn.XLOOKUP(Table1[[#This Row],[ProductID]],Products!A:A,Products!D:D,,0)</f>
        <v>160</v>
      </c>
      <c r="I139">
        <v>699</v>
      </c>
      <c r="J139">
        <v>559</v>
      </c>
      <c r="K139" t="s">
        <v>1097</v>
      </c>
      <c r="L139">
        <v>559</v>
      </c>
      <c r="M139" t="s">
        <v>1093</v>
      </c>
      <c r="N139" t="s">
        <v>1094</v>
      </c>
      <c r="O139">
        <f>Table1[[#This Row],[Unit_Price]]*Table1[[#This Row],[Quantity]]</f>
        <v>160</v>
      </c>
    </row>
    <row r="140" spans="1:15" x14ac:dyDescent="0.3">
      <c r="A140" t="s">
        <v>1369</v>
      </c>
      <c r="B140" t="s">
        <v>1370</v>
      </c>
      <c r="C140" t="s">
        <v>79</v>
      </c>
      <c r="D140" t="s">
        <v>1068</v>
      </c>
      <c r="E140">
        <v>1</v>
      </c>
      <c r="F140">
        <f>_xlfn.XLOOKUP(Table1[[#This Row],[ProductID]],Products!A:A,Products!D:D,,0)</f>
        <v>180</v>
      </c>
      <c r="I140">
        <v>449</v>
      </c>
      <c r="J140">
        <v>404</v>
      </c>
      <c r="K140" t="s">
        <v>1107</v>
      </c>
      <c r="L140">
        <v>404</v>
      </c>
      <c r="M140" t="s">
        <v>1126</v>
      </c>
      <c r="N140" t="s">
        <v>1099</v>
      </c>
      <c r="O140">
        <f>Table1[[#This Row],[Unit_Price]]*Table1[[#This Row],[Quantity]]</f>
        <v>180</v>
      </c>
    </row>
    <row r="141" spans="1:15" x14ac:dyDescent="0.3">
      <c r="A141" t="s">
        <v>1371</v>
      </c>
      <c r="B141" t="s">
        <v>1372</v>
      </c>
      <c r="C141" t="s">
        <v>489</v>
      </c>
      <c r="D141" t="s">
        <v>1071</v>
      </c>
      <c r="E141">
        <v>2</v>
      </c>
      <c r="F141">
        <f>_xlfn.XLOOKUP(Table1[[#This Row],[ProductID]],Products!A:A,Products!D:D,,0)</f>
        <v>125</v>
      </c>
      <c r="I141">
        <v>399</v>
      </c>
      <c r="J141">
        <v>339</v>
      </c>
      <c r="K141" t="s">
        <v>1092</v>
      </c>
      <c r="L141">
        <v>678</v>
      </c>
      <c r="M141" t="s">
        <v>1093</v>
      </c>
      <c r="N141" t="s">
        <v>1099</v>
      </c>
      <c r="O141">
        <f>Table1[[#This Row],[Unit_Price]]*Table1[[#This Row],[Quantity]]</f>
        <v>250</v>
      </c>
    </row>
    <row r="142" spans="1:15" x14ac:dyDescent="0.3">
      <c r="A142" t="s">
        <v>1373</v>
      </c>
      <c r="B142" t="s">
        <v>1319</v>
      </c>
      <c r="C142" t="s">
        <v>635</v>
      </c>
      <c r="D142" t="s">
        <v>1059</v>
      </c>
      <c r="E142">
        <v>1</v>
      </c>
      <c r="F142">
        <f>_xlfn.XLOOKUP(Table1[[#This Row],[ProductID]],Products!A:A,Products!D:D,,0)</f>
        <v>110</v>
      </c>
      <c r="I142">
        <v>399</v>
      </c>
      <c r="J142">
        <v>399</v>
      </c>
      <c r="K142" t="s">
        <v>1102</v>
      </c>
      <c r="L142">
        <v>399</v>
      </c>
      <c r="M142" t="s">
        <v>1098</v>
      </c>
      <c r="N142" t="s">
        <v>1099</v>
      </c>
      <c r="O142">
        <f>Table1[[#This Row],[Unit_Price]]*Table1[[#This Row],[Quantity]]</f>
        <v>110</v>
      </c>
    </row>
    <row r="143" spans="1:15" x14ac:dyDescent="0.3">
      <c r="A143" t="s">
        <v>1374</v>
      </c>
      <c r="B143" t="s">
        <v>1375</v>
      </c>
      <c r="C143" t="s">
        <v>455</v>
      </c>
      <c r="D143" t="s">
        <v>1062</v>
      </c>
      <c r="E143">
        <v>1</v>
      </c>
      <c r="F143">
        <f>_xlfn.XLOOKUP(Table1[[#This Row],[ProductID]],Products!A:A,Products!D:D,,0)</f>
        <v>95</v>
      </c>
      <c r="I143">
        <v>349</v>
      </c>
      <c r="J143">
        <v>279</v>
      </c>
      <c r="K143" t="s">
        <v>1097</v>
      </c>
      <c r="L143">
        <v>279</v>
      </c>
      <c r="M143" t="s">
        <v>1098</v>
      </c>
      <c r="N143" t="s">
        <v>1123</v>
      </c>
      <c r="O143">
        <f>Table1[[#This Row],[Unit_Price]]*Table1[[#This Row],[Quantity]]</f>
        <v>95</v>
      </c>
    </row>
    <row r="144" spans="1:15" x14ac:dyDescent="0.3">
      <c r="A144" t="s">
        <v>1376</v>
      </c>
      <c r="B144" t="s">
        <v>1377</v>
      </c>
      <c r="C144" t="s">
        <v>269</v>
      </c>
      <c r="D144" t="s">
        <v>1064</v>
      </c>
      <c r="E144">
        <v>1</v>
      </c>
      <c r="F144">
        <f>_xlfn.XLOOKUP(Table1[[#This Row],[ProductID]],Products!A:A,Products!D:D,,0)</f>
        <v>160</v>
      </c>
      <c r="I144">
        <v>699</v>
      </c>
      <c r="J144">
        <v>629</v>
      </c>
      <c r="K144" t="s">
        <v>1107</v>
      </c>
      <c r="L144">
        <v>629</v>
      </c>
      <c r="M144" t="s">
        <v>1093</v>
      </c>
      <c r="N144" t="s">
        <v>1099</v>
      </c>
      <c r="O144">
        <f>Table1[[#This Row],[Unit_Price]]*Table1[[#This Row],[Quantity]]</f>
        <v>160</v>
      </c>
    </row>
    <row r="145" spans="1:15" x14ac:dyDescent="0.3">
      <c r="A145" t="s">
        <v>1378</v>
      </c>
      <c r="B145" t="s">
        <v>1379</v>
      </c>
      <c r="C145" t="s">
        <v>851</v>
      </c>
      <c r="D145" t="s">
        <v>1059</v>
      </c>
      <c r="E145">
        <v>2</v>
      </c>
      <c r="F145">
        <f>_xlfn.XLOOKUP(Table1[[#This Row],[ProductID]],Products!A:A,Products!D:D,,0)</f>
        <v>110</v>
      </c>
      <c r="I145">
        <v>399</v>
      </c>
      <c r="J145">
        <v>319</v>
      </c>
      <c r="K145" t="s">
        <v>1097</v>
      </c>
      <c r="L145">
        <v>638</v>
      </c>
      <c r="M145" t="s">
        <v>1098</v>
      </c>
      <c r="N145" t="s">
        <v>1099</v>
      </c>
      <c r="O145">
        <f>Table1[[#This Row],[Unit_Price]]*Table1[[#This Row],[Quantity]]</f>
        <v>220</v>
      </c>
    </row>
    <row r="146" spans="1:15" x14ac:dyDescent="0.3">
      <c r="A146" t="s">
        <v>1380</v>
      </c>
      <c r="B146" t="s">
        <v>1381</v>
      </c>
      <c r="C146" t="s">
        <v>939</v>
      </c>
      <c r="D146" t="s">
        <v>1078</v>
      </c>
      <c r="E146">
        <v>1</v>
      </c>
      <c r="F146">
        <f>_xlfn.XLOOKUP(Table1[[#This Row],[ProductID]],Products!A:A,Products!D:D,,0)</f>
        <v>80</v>
      </c>
      <c r="I146">
        <v>499</v>
      </c>
      <c r="J146">
        <v>499</v>
      </c>
      <c r="K146" t="s">
        <v>1102</v>
      </c>
      <c r="L146">
        <v>499</v>
      </c>
      <c r="M146" t="s">
        <v>1098</v>
      </c>
      <c r="N146" t="s">
        <v>1099</v>
      </c>
      <c r="O146">
        <f>Table1[[#This Row],[Unit_Price]]*Table1[[#This Row],[Quantity]]</f>
        <v>80</v>
      </c>
    </row>
    <row r="147" spans="1:15" x14ac:dyDescent="0.3">
      <c r="A147" t="s">
        <v>1382</v>
      </c>
      <c r="B147" t="s">
        <v>1383</v>
      </c>
      <c r="C147" t="s">
        <v>771</v>
      </c>
      <c r="D147" t="s">
        <v>1062</v>
      </c>
      <c r="E147">
        <v>1</v>
      </c>
      <c r="F147">
        <f>_xlfn.XLOOKUP(Table1[[#This Row],[ProductID]],Products!A:A,Products!D:D,,0)</f>
        <v>95</v>
      </c>
      <c r="I147">
        <v>349</v>
      </c>
      <c r="J147">
        <v>314</v>
      </c>
      <c r="K147" t="s">
        <v>1107</v>
      </c>
      <c r="L147">
        <v>314</v>
      </c>
      <c r="M147" t="s">
        <v>1093</v>
      </c>
      <c r="N147" t="s">
        <v>1099</v>
      </c>
      <c r="O147">
        <f>Table1[[#This Row],[Unit_Price]]*Table1[[#This Row],[Quantity]]</f>
        <v>95</v>
      </c>
    </row>
    <row r="148" spans="1:15" x14ac:dyDescent="0.3">
      <c r="A148" t="s">
        <v>1384</v>
      </c>
      <c r="B148" t="s">
        <v>1242</v>
      </c>
      <c r="C148" t="s">
        <v>455</v>
      </c>
      <c r="D148" t="s">
        <v>1066</v>
      </c>
      <c r="E148">
        <v>2</v>
      </c>
      <c r="F148">
        <f>_xlfn.XLOOKUP(Table1[[#This Row],[ProductID]],Products!A:A,Products!D:D,,0)</f>
        <v>140</v>
      </c>
      <c r="I148">
        <v>499</v>
      </c>
      <c r="J148">
        <v>499</v>
      </c>
      <c r="K148" t="s">
        <v>1102</v>
      </c>
      <c r="L148">
        <v>998</v>
      </c>
      <c r="M148" t="s">
        <v>1126</v>
      </c>
      <c r="N148" t="s">
        <v>1099</v>
      </c>
      <c r="O148">
        <f>Table1[[#This Row],[Unit_Price]]*Table1[[#This Row],[Quantity]]</f>
        <v>280</v>
      </c>
    </row>
    <row r="149" spans="1:15" x14ac:dyDescent="0.3">
      <c r="A149" t="s">
        <v>1385</v>
      </c>
      <c r="B149" t="s">
        <v>1386</v>
      </c>
      <c r="C149" t="s">
        <v>1011</v>
      </c>
      <c r="D149" t="s">
        <v>1068</v>
      </c>
      <c r="E149">
        <v>1</v>
      </c>
      <c r="F149">
        <f>_xlfn.XLOOKUP(Table1[[#This Row],[ProductID]],Products!A:A,Products!D:D,,0)</f>
        <v>180</v>
      </c>
      <c r="I149">
        <v>449</v>
      </c>
      <c r="J149">
        <v>404</v>
      </c>
      <c r="K149" t="s">
        <v>1107</v>
      </c>
      <c r="L149">
        <v>404</v>
      </c>
      <c r="M149" t="s">
        <v>1126</v>
      </c>
      <c r="N149" t="s">
        <v>1099</v>
      </c>
      <c r="O149">
        <f>Table1[[#This Row],[Unit_Price]]*Table1[[#This Row],[Quantity]]</f>
        <v>180</v>
      </c>
    </row>
    <row r="150" spans="1:15" x14ac:dyDescent="0.3">
      <c r="A150" t="s">
        <v>1387</v>
      </c>
      <c r="B150" t="s">
        <v>1386</v>
      </c>
      <c r="C150" t="s">
        <v>783</v>
      </c>
      <c r="D150" t="s">
        <v>1048</v>
      </c>
      <c r="E150">
        <v>1</v>
      </c>
      <c r="F150">
        <f>_xlfn.XLOOKUP(Table1[[#This Row],[ProductID]],Products!A:A,Products!D:D,,0)</f>
        <v>120</v>
      </c>
      <c r="I150">
        <v>599</v>
      </c>
      <c r="J150">
        <v>509</v>
      </c>
      <c r="K150" t="s">
        <v>1092</v>
      </c>
      <c r="L150">
        <v>509</v>
      </c>
      <c r="M150" t="s">
        <v>1093</v>
      </c>
      <c r="N150" t="s">
        <v>1099</v>
      </c>
      <c r="O150">
        <f>Table1[[#This Row],[Unit_Price]]*Table1[[#This Row],[Quantity]]</f>
        <v>120</v>
      </c>
    </row>
    <row r="151" spans="1:15" x14ac:dyDescent="0.3">
      <c r="A151" t="s">
        <v>1388</v>
      </c>
      <c r="B151" t="s">
        <v>1389</v>
      </c>
      <c r="C151" t="s">
        <v>106</v>
      </c>
      <c r="D151" t="s">
        <v>1075</v>
      </c>
      <c r="E151">
        <v>2</v>
      </c>
      <c r="F151">
        <f>_xlfn.XLOOKUP(Table1[[#This Row],[ProductID]],Products!A:A,Products!D:D,,0)</f>
        <v>80</v>
      </c>
      <c r="I151">
        <v>499</v>
      </c>
      <c r="J151">
        <v>399</v>
      </c>
      <c r="K151" t="s">
        <v>1097</v>
      </c>
      <c r="L151">
        <v>798</v>
      </c>
      <c r="M151" t="s">
        <v>1098</v>
      </c>
      <c r="N151" t="s">
        <v>1099</v>
      </c>
      <c r="O151">
        <f>Table1[[#This Row],[Unit_Price]]*Table1[[#This Row],[Quantity]]</f>
        <v>160</v>
      </c>
    </row>
    <row r="152" spans="1:15" x14ac:dyDescent="0.3">
      <c r="A152" t="s">
        <v>1390</v>
      </c>
      <c r="B152" t="s">
        <v>1240</v>
      </c>
      <c r="C152" t="s">
        <v>983</v>
      </c>
      <c r="D152" t="s">
        <v>1051</v>
      </c>
      <c r="E152">
        <v>1</v>
      </c>
      <c r="F152">
        <f>_xlfn.XLOOKUP(Table1[[#This Row],[ProductID]],Products!A:A,Products!D:D,,0)</f>
        <v>150</v>
      </c>
      <c r="I152">
        <v>499</v>
      </c>
      <c r="J152">
        <v>449</v>
      </c>
      <c r="K152" t="s">
        <v>1107</v>
      </c>
      <c r="L152">
        <v>449</v>
      </c>
      <c r="M152" t="s">
        <v>1098</v>
      </c>
      <c r="N152" t="s">
        <v>1099</v>
      </c>
      <c r="O152">
        <f>Table1[[#This Row],[Unit_Price]]*Table1[[#This Row],[Quantity]]</f>
        <v>150</v>
      </c>
    </row>
    <row r="153" spans="1:15" x14ac:dyDescent="0.3">
      <c r="A153" t="s">
        <v>1391</v>
      </c>
      <c r="B153" t="s">
        <v>1392</v>
      </c>
      <c r="C153" t="s">
        <v>205</v>
      </c>
      <c r="D153" t="s">
        <v>1068</v>
      </c>
      <c r="E153">
        <v>1</v>
      </c>
      <c r="F153">
        <f>_xlfn.XLOOKUP(Table1[[#This Row],[ProductID]],Products!A:A,Products!D:D,,0)</f>
        <v>180</v>
      </c>
      <c r="I153">
        <v>449</v>
      </c>
      <c r="J153">
        <v>449</v>
      </c>
      <c r="K153" t="s">
        <v>1102</v>
      </c>
      <c r="L153">
        <v>449</v>
      </c>
      <c r="M153" t="s">
        <v>1098</v>
      </c>
      <c r="N153" t="s">
        <v>1123</v>
      </c>
      <c r="O153">
        <f>Table1[[#This Row],[Unit_Price]]*Table1[[#This Row],[Quantity]]</f>
        <v>180</v>
      </c>
    </row>
    <row r="154" spans="1:15" x14ac:dyDescent="0.3">
      <c r="A154" t="s">
        <v>1393</v>
      </c>
      <c r="B154" t="s">
        <v>1394</v>
      </c>
      <c r="C154" t="s">
        <v>843</v>
      </c>
      <c r="D154" t="s">
        <v>1048</v>
      </c>
      <c r="E154">
        <v>4</v>
      </c>
      <c r="F154">
        <f>_xlfn.XLOOKUP(Table1[[#This Row],[ProductID]],Products!A:A,Products!D:D,,0)</f>
        <v>120</v>
      </c>
      <c r="I154">
        <v>599</v>
      </c>
      <c r="J154">
        <v>539</v>
      </c>
      <c r="K154" t="s">
        <v>1107</v>
      </c>
      <c r="L154">
        <v>2156</v>
      </c>
      <c r="M154" t="s">
        <v>1098</v>
      </c>
      <c r="N154" t="s">
        <v>1099</v>
      </c>
      <c r="O154">
        <f>Table1[[#This Row],[Unit_Price]]*Table1[[#This Row],[Quantity]]</f>
        <v>480</v>
      </c>
    </row>
    <row r="155" spans="1:15" x14ac:dyDescent="0.3">
      <c r="A155" t="s">
        <v>1395</v>
      </c>
      <c r="B155" t="s">
        <v>1396</v>
      </c>
      <c r="C155" t="s">
        <v>7</v>
      </c>
      <c r="D155" t="s">
        <v>1075</v>
      </c>
      <c r="E155">
        <v>2</v>
      </c>
      <c r="F155">
        <f>_xlfn.XLOOKUP(Table1[[#This Row],[ProductID]],Products!A:A,Products!D:D,,0)</f>
        <v>80</v>
      </c>
      <c r="I155">
        <v>499</v>
      </c>
      <c r="J155">
        <v>399</v>
      </c>
      <c r="K155" t="s">
        <v>1097</v>
      </c>
      <c r="L155">
        <v>798</v>
      </c>
      <c r="M155" t="s">
        <v>1098</v>
      </c>
      <c r="N155" t="s">
        <v>1099</v>
      </c>
      <c r="O155">
        <f>Table1[[#This Row],[Unit_Price]]*Table1[[#This Row],[Quantity]]</f>
        <v>160</v>
      </c>
    </row>
    <row r="156" spans="1:15" x14ac:dyDescent="0.3">
      <c r="A156" t="s">
        <v>1397</v>
      </c>
      <c r="B156" t="s">
        <v>1398</v>
      </c>
      <c r="C156" t="s">
        <v>207</v>
      </c>
      <c r="D156" t="s">
        <v>1078</v>
      </c>
      <c r="E156">
        <v>1</v>
      </c>
      <c r="F156">
        <f>_xlfn.XLOOKUP(Table1[[#This Row],[ProductID]],Products!A:A,Products!D:D,,0)</f>
        <v>80</v>
      </c>
      <c r="I156">
        <v>499</v>
      </c>
      <c r="J156">
        <v>424</v>
      </c>
      <c r="K156" t="s">
        <v>1092</v>
      </c>
      <c r="L156">
        <v>424</v>
      </c>
      <c r="M156" t="s">
        <v>1093</v>
      </c>
      <c r="N156" t="s">
        <v>1094</v>
      </c>
      <c r="O156">
        <f>Table1[[#This Row],[Unit_Price]]*Table1[[#This Row],[Quantity]]</f>
        <v>80</v>
      </c>
    </row>
    <row r="157" spans="1:15" x14ac:dyDescent="0.3">
      <c r="A157" t="s">
        <v>1399</v>
      </c>
      <c r="B157" t="s">
        <v>1400</v>
      </c>
      <c r="C157" t="s">
        <v>59</v>
      </c>
      <c r="D157" t="s">
        <v>1053</v>
      </c>
      <c r="E157">
        <v>3</v>
      </c>
      <c r="F157">
        <f>_xlfn.XLOOKUP(Table1[[#This Row],[ProductID]],Products!A:A,Products!D:D,,0)</f>
        <v>200</v>
      </c>
      <c r="I157">
        <v>899</v>
      </c>
      <c r="J157">
        <v>809</v>
      </c>
      <c r="K157" t="s">
        <v>1107</v>
      </c>
      <c r="L157">
        <v>2427</v>
      </c>
      <c r="M157" t="s">
        <v>1093</v>
      </c>
      <c r="N157" t="s">
        <v>1094</v>
      </c>
      <c r="O157">
        <f>Table1[[#This Row],[Unit_Price]]*Table1[[#This Row],[Quantity]]</f>
        <v>600</v>
      </c>
    </row>
    <row r="158" spans="1:15" x14ac:dyDescent="0.3">
      <c r="A158" t="s">
        <v>1401</v>
      </c>
      <c r="B158" t="s">
        <v>1402</v>
      </c>
      <c r="C158" t="s">
        <v>983</v>
      </c>
      <c r="D158" t="s">
        <v>1059</v>
      </c>
      <c r="E158">
        <v>2</v>
      </c>
      <c r="F158">
        <f>_xlfn.XLOOKUP(Table1[[#This Row],[ProductID]],Products!A:A,Products!D:D,,0)</f>
        <v>110</v>
      </c>
      <c r="I158">
        <v>399</v>
      </c>
      <c r="J158">
        <v>339</v>
      </c>
      <c r="K158" t="s">
        <v>1092</v>
      </c>
      <c r="L158">
        <v>678</v>
      </c>
      <c r="M158" t="s">
        <v>1126</v>
      </c>
      <c r="N158" t="s">
        <v>1099</v>
      </c>
      <c r="O158">
        <f>Table1[[#This Row],[Unit_Price]]*Table1[[#This Row],[Quantity]]</f>
        <v>220</v>
      </c>
    </row>
    <row r="159" spans="1:15" x14ac:dyDescent="0.3">
      <c r="A159" t="s">
        <v>1403</v>
      </c>
      <c r="B159" t="s">
        <v>1404</v>
      </c>
      <c r="C159" t="s">
        <v>897</v>
      </c>
      <c r="D159" t="s">
        <v>1066</v>
      </c>
      <c r="E159">
        <v>3</v>
      </c>
      <c r="F159">
        <f>_xlfn.XLOOKUP(Table1[[#This Row],[ProductID]],Products!A:A,Products!D:D,,0)</f>
        <v>140</v>
      </c>
      <c r="I159">
        <v>499</v>
      </c>
      <c r="J159">
        <v>499</v>
      </c>
      <c r="K159" t="s">
        <v>1102</v>
      </c>
      <c r="L159">
        <v>1497</v>
      </c>
      <c r="M159" t="s">
        <v>1098</v>
      </c>
      <c r="N159" t="s">
        <v>1099</v>
      </c>
      <c r="O159">
        <f>Table1[[#This Row],[Unit_Price]]*Table1[[#This Row],[Quantity]]</f>
        <v>420</v>
      </c>
    </row>
    <row r="160" spans="1:15" x14ac:dyDescent="0.3">
      <c r="A160" t="s">
        <v>1405</v>
      </c>
      <c r="B160" t="s">
        <v>1406</v>
      </c>
      <c r="C160" t="s">
        <v>689</v>
      </c>
      <c r="D160" t="s">
        <v>1064</v>
      </c>
      <c r="E160">
        <v>2</v>
      </c>
      <c r="F160">
        <f>_xlfn.XLOOKUP(Table1[[#This Row],[ProductID]],Products!A:A,Products!D:D,,0)</f>
        <v>160</v>
      </c>
      <c r="I160">
        <v>699</v>
      </c>
      <c r="J160">
        <v>629</v>
      </c>
      <c r="K160" t="s">
        <v>1107</v>
      </c>
      <c r="L160">
        <v>1258</v>
      </c>
      <c r="M160" t="s">
        <v>1093</v>
      </c>
      <c r="N160" t="s">
        <v>1094</v>
      </c>
      <c r="O160">
        <f>Table1[[#This Row],[Unit_Price]]*Table1[[#This Row],[Quantity]]</f>
        <v>320</v>
      </c>
    </row>
    <row r="161" spans="1:15" x14ac:dyDescent="0.3">
      <c r="A161" t="s">
        <v>1407</v>
      </c>
      <c r="B161" t="s">
        <v>1408</v>
      </c>
      <c r="C161" t="s">
        <v>233</v>
      </c>
      <c r="D161" t="s">
        <v>1059</v>
      </c>
      <c r="E161">
        <v>1</v>
      </c>
      <c r="F161">
        <f>_xlfn.XLOOKUP(Table1[[#This Row],[ProductID]],Products!A:A,Products!D:D,,0)</f>
        <v>110</v>
      </c>
      <c r="I161">
        <v>399</v>
      </c>
      <c r="J161">
        <v>339</v>
      </c>
      <c r="K161" t="s">
        <v>1092</v>
      </c>
      <c r="L161">
        <v>339</v>
      </c>
      <c r="M161" t="s">
        <v>1093</v>
      </c>
      <c r="N161" t="s">
        <v>1094</v>
      </c>
      <c r="O161">
        <f>Table1[[#This Row],[Unit_Price]]*Table1[[#This Row],[Quantity]]</f>
        <v>110</v>
      </c>
    </row>
    <row r="162" spans="1:15" x14ac:dyDescent="0.3">
      <c r="A162" t="s">
        <v>1409</v>
      </c>
      <c r="B162" t="s">
        <v>1410</v>
      </c>
      <c r="C162" t="s">
        <v>259</v>
      </c>
      <c r="D162" t="s">
        <v>1053</v>
      </c>
      <c r="E162">
        <v>2</v>
      </c>
      <c r="F162">
        <f>_xlfn.XLOOKUP(Table1[[#This Row],[ProductID]],Products!A:A,Products!D:D,,0)</f>
        <v>200</v>
      </c>
      <c r="I162">
        <v>899</v>
      </c>
      <c r="J162">
        <v>899</v>
      </c>
      <c r="K162" t="s">
        <v>1102</v>
      </c>
      <c r="L162">
        <v>1798</v>
      </c>
      <c r="M162" t="s">
        <v>1093</v>
      </c>
      <c r="N162" t="s">
        <v>1094</v>
      </c>
      <c r="O162">
        <f>Table1[[#This Row],[Unit_Price]]*Table1[[#This Row],[Quantity]]</f>
        <v>400</v>
      </c>
    </row>
    <row r="163" spans="1:15" x14ac:dyDescent="0.3">
      <c r="A163" t="s">
        <v>1411</v>
      </c>
      <c r="B163" t="s">
        <v>1412</v>
      </c>
      <c r="C163" t="s">
        <v>671</v>
      </c>
      <c r="D163" t="s">
        <v>1066</v>
      </c>
      <c r="E163">
        <v>1</v>
      </c>
      <c r="F163">
        <f>_xlfn.XLOOKUP(Table1[[#This Row],[ProductID]],Products!A:A,Products!D:D,,0)</f>
        <v>140</v>
      </c>
      <c r="I163">
        <v>499</v>
      </c>
      <c r="J163">
        <v>499</v>
      </c>
      <c r="K163" t="s">
        <v>1102</v>
      </c>
      <c r="L163">
        <v>499</v>
      </c>
      <c r="M163" t="s">
        <v>1098</v>
      </c>
      <c r="N163" t="s">
        <v>1099</v>
      </c>
      <c r="O163">
        <f>Table1[[#This Row],[Unit_Price]]*Table1[[#This Row],[Quantity]]</f>
        <v>140</v>
      </c>
    </row>
    <row r="164" spans="1:15" x14ac:dyDescent="0.3">
      <c r="A164" t="s">
        <v>1413</v>
      </c>
      <c r="B164" t="s">
        <v>1414</v>
      </c>
      <c r="C164" t="s">
        <v>265</v>
      </c>
      <c r="D164" t="s">
        <v>1057</v>
      </c>
      <c r="E164">
        <v>2</v>
      </c>
      <c r="F164">
        <f>_xlfn.XLOOKUP(Table1[[#This Row],[ProductID]],Products!A:A,Products!D:D,,0)</f>
        <v>130</v>
      </c>
      <c r="I164">
        <v>549</v>
      </c>
      <c r="J164">
        <v>494</v>
      </c>
      <c r="K164" t="s">
        <v>1107</v>
      </c>
      <c r="L164">
        <v>988</v>
      </c>
      <c r="M164" t="s">
        <v>1098</v>
      </c>
      <c r="N164" t="s">
        <v>1099</v>
      </c>
      <c r="O164">
        <f>Table1[[#This Row],[Unit_Price]]*Table1[[#This Row],[Quantity]]</f>
        <v>260</v>
      </c>
    </row>
    <row r="165" spans="1:15" x14ac:dyDescent="0.3">
      <c r="A165" t="s">
        <v>1415</v>
      </c>
      <c r="B165" t="s">
        <v>1416</v>
      </c>
      <c r="C165" t="s">
        <v>635</v>
      </c>
      <c r="D165" t="s">
        <v>1066</v>
      </c>
      <c r="E165">
        <v>1</v>
      </c>
      <c r="F165">
        <f>_xlfn.XLOOKUP(Table1[[#This Row],[ProductID]],Products!A:A,Products!D:D,,0)</f>
        <v>140</v>
      </c>
      <c r="I165">
        <v>499</v>
      </c>
      <c r="J165">
        <v>399</v>
      </c>
      <c r="K165" t="s">
        <v>1097</v>
      </c>
      <c r="L165">
        <v>399</v>
      </c>
      <c r="M165" t="s">
        <v>1098</v>
      </c>
      <c r="N165" t="s">
        <v>1099</v>
      </c>
      <c r="O165">
        <f>Table1[[#This Row],[Unit_Price]]*Table1[[#This Row],[Quantity]]</f>
        <v>140</v>
      </c>
    </row>
    <row r="166" spans="1:15" x14ac:dyDescent="0.3">
      <c r="A166" t="s">
        <v>1417</v>
      </c>
      <c r="B166" t="s">
        <v>1418</v>
      </c>
      <c r="C166" t="s">
        <v>95</v>
      </c>
      <c r="D166" t="s">
        <v>1080</v>
      </c>
      <c r="E166">
        <v>2</v>
      </c>
      <c r="F166">
        <f>_xlfn.XLOOKUP(Table1[[#This Row],[ProductID]],Products!A:A,Products!D:D,,0)</f>
        <v>45</v>
      </c>
      <c r="I166">
        <v>249</v>
      </c>
      <c r="J166">
        <v>212</v>
      </c>
      <c r="K166" t="s">
        <v>1092</v>
      </c>
      <c r="L166">
        <v>424</v>
      </c>
      <c r="M166" t="s">
        <v>1093</v>
      </c>
      <c r="N166" t="s">
        <v>1123</v>
      </c>
      <c r="O166">
        <f>Table1[[#This Row],[Unit_Price]]*Table1[[#This Row],[Quantity]]</f>
        <v>90</v>
      </c>
    </row>
    <row r="167" spans="1:15" x14ac:dyDescent="0.3">
      <c r="A167" t="s">
        <v>1419</v>
      </c>
      <c r="B167" t="s">
        <v>1420</v>
      </c>
      <c r="C167" t="s">
        <v>399</v>
      </c>
      <c r="D167" t="s">
        <v>1066</v>
      </c>
      <c r="E167">
        <v>2</v>
      </c>
      <c r="F167">
        <f>_xlfn.XLOOKUP(Table1[[#This Row],[ProductID]],Products!A:A,Products!D:D,,0)</f>
        <v>140</v>
      </c>
      <c r="I167">
        <v>499</v>
      </c>
      <c r="J167">
        <v>499</v>
      </c>
      <c r="K167" t="s">
        <v>1102</v>
      </c>
      <c r="L167">
        <v>998</v>
      </c>
      <c r="M167" t="s">
        <v>1093</v>
      </c>
      <c r="N167" t="s">
        <v>1099</v>
      </c>
      <c r="O167">
        <f>Table1[[#This Row],[Unit_Price]]*Table1[[#This Row],[Quantity]]</f>
        <v>280</v>
      </c>
    </row>
    <row r="168" spans="1:15" x14ac:dyDescent="0.3">
      <c r="A168" t="s">
        <v>1421</v>
      </c>
      <c r="B168" t="s">
        <v>1422</v>
      </c>
      <c r="C168" t="s">
        <v>42</v>
      </c>
      <c r="D168" t="s">
        <v>1055</v>
      </c>
      <c r="E168">
        <v>1</v>
      </c>
      <c r="F168">
        <f>_xlfn.XLOOKUP(Table1[[#This Row],[ProductID]],Products!A:A,Products!D:D,,0)</f>
        <v>75</v>
      </c>
      <c r="I168">
        <v>299</v>
      </c>
      <c r="J168">
        <v>269</v>
      </c>
      <c r="K168" t="s">
        <v>1107</v>
      </c>
      <c r="L168">
        <v>269</v>
      </c>
      <c r="M168" t="s">
        <v>1118</v>
      </c>
      <c r="N168" t="s">
        <v>1099</v>
      </c>
      <c r="O168">
        <f>Table1[[#This Row],[Unit_Price]]*Table1[[#This Row],[Quantity]]</f>
        <v>75</v>
      </c>
    </row>
    <row r="169" spans="1:15" x14ac:dyDescent="0.3">
      <c r="A169" t="s">
        <v>1423</v>
      </c>
      <c r="B169" t="s">
        <v>1379</v>
      </c>
      <c r="C169" t="s">
        <v>373</v>
      </c>
      <c r="D169" t="s">
        <v>1078</v>
      </c>
      <c r="E169">
        <v>3</v>
      </c>
      <c r="F169">
        <f>_xlfn.XLOOKUP(Table1[[#This Row],[ProductID]],Products!A:A,Products!D:D,,0)</f>
        <v>80</v>
      </c>
      <c r="I169">
        <v>499</v>
      </c>
      <c r="J169">
        <v>449</v>
      </c>
      <c r="K169" t="s">
        <v>1107</v>
      </c>
      <c r="L169">
        <v>1347</v>
      </c>
      <c r="M169" t="s">
        <v>1098</v>
      </c>
      <c r="N169" t="s">
        <v>1099</v>
      </c>
      <c r="O169">
        <f>Table1[[#This Row],[Unit_Price]]*Table1[[#This Row],[Quantity]]</f>
        <v>240</v>
      </c>
    </row>
    <row r="170" spans="1:15" x14ac:dyDescent="0.3">
      <c r="A170" t="s">
        <v>1424</v>
      </c>
      <c r="B170" t="s">
        <v>1312</v>
      </c>
      <c r="C170" t="s">
        <v>659</v>
      </c>
      <c r="D170" t="s">
        <v>1066</v>
      </c>
      <c r="E170">
        <v>1</v>
      </c>
      <c r="F170">
        <f>_xlfn.XLOOKUP(Table1[[#This Row],[ProductID]],Products!A:A,Products!D:D,,0)</f>
        <v>140</v>
      </c>
      <c r="I170">
        <v>499</v>
      </c>
      <c r="J170">
        <v>399</v>
      </c>
      <c r="K170" t="s">
        <v>1097</v>
      </c>
      <c r="L170">
        <v>399</v>
      </c>
      <c r="M170" t="s">
        <v>1126</v>
      </c>
      <c r="N170" t="s">
        <v>1099</v>
      </c>
      <c r="O170">
        <f>Table1[[#This Row],[Unit_Price]]*Table1[[#This Row],[Quantity]]</f>
        <v>140</v>
      </c>
    </row>
    <row r="171" spans="1:15" x14ac:dyDescent="0.3">
      <c r="A171" t="s">
        <v>1425</v>
      </c>
      <c r="B171" t="s">
        <v>1426</v>
      </c>
      <c r="C171" t="s">
        <v>1025</v>
      </c>
      <c r="D171" t="s">
        <v>1064</v>
      </c>
      <c r="E171">
        <v>4</v>
      </c>
      <c r="F171">
        <f>_xlfn.XLOOKUP(Table1[[#This Row],[ProductID]],Products!A:A,Products!D:D,,0)</f>
        <v>160</v>
      </c>
      <c r="I171">
        <v>699</v>
      </c>
      <c r="J171">
        <v>559</v>
      </c>
      <c r="K171" t="s">
        <v>1097</v>
      </c>
      <c r="L171">
        <v>2236</v>
      </c>
      <c r="M171" t="s">
        <v>1098</v>
      </c>
      <c r="N171" t="s">
        <v>1099</v>
      </c>
      <c r="O171">
        <f>Table1[[#This Row],[Unit_Price]]*Table1[[#This Row],[Quantity]]</f>
        <v>640</v>
      </c>
    </row>
    <row r="172" spans="1:15" x14ac:dyDescent="0.3">
      <c r="A172" t="s">
        <v>1427</v>
      </c>
      <c r="B172" t="s">
        <v>1428</v>
      </c>
      <c r="C172" t="s">
        <v>885</v>
      </c>
      <c r="D172" t="s">
        <v>1062</v>
      </c>
      <c r="E172">
        <v>1</v>
      </c>
      <c r="F172">
        <f>_xlfn.XLOOKUP(Table1[[#This Row],[ProductID]],Products!A:A,Products!D:D,,0)</f>
        <v>95</v>
      </c>
      <c r="I172">
        <v>349</v>
      </c>
      <c r="J172">
        <v>349</v>
      </c>
      <c r="K172" t="s">
        <v>1102</v>
      </c>
      <c r="L172">
        <v>349</v>
      </c>
      <c r="M172" t="s">
        <v>1093</v>
      </c>
      <c r="N172" t="s">
        <v>1099</v>
      </c>
      <c r="O172">
        <f>Table1[[#This Row],[Unit_Price]]*Table1[[#This Row],[Quantity]]</f>
        <v>95</v>
      </c>
    </row>
    <row r="173" spans="1:15" x14ac:dyDescent="0.3">
      <c r="A173" t="s">
        <v>1429</v>
      </c>
      <c r="B173" t="s">
        <v>1430</v>
      </c>
      <c r="C173" t="s">
        <v>14</v>
      </c>
      <c r="D173" t="s">
        <v>1073</v>
      </c>
      <c r="E173">
        <v>3</v>
      </c>
      <c r="F173">
        <f>_xlfn.XLOOKUP(Table1[[#This Row],[ProductID]],Products!A:A,Products!D:D,,0)</f>
        <v>100</v>
      </c>
      <c r="I173">
        <v>349</v>
      </c>
      <c r="J173">
        <v>279</v>
      </c>
      <c r="K173" t="s">
        <v>1097</v>
      </c>
      <c r="L173">
        <v>837</v>
      </c>
      <c r="M173" t="s">
        <v>1093</v>
      </c>
      <c r="N173" t="s">
        <v>1099</v>
      </c>
      <c r="O173">
        <f>Table1[[#This Row],[Unit_Price]]*Table1[[#This Row],[Quantity]]</f>
        <v>300</v>
      </c>
    </row>
    <row r="174" spans="1:15" x14ac:dyDescent="0.3">
      <c r="A174" t="s">
        <v>1431</v>
      </c>
      <c r="B174" t="s">
        <v>1432</v>
      </c>
      <c r="C174" t="s">
        <v>675</v>
      </c>
      <c r="D174" t="s">
        <v>1068</v>
      </c>
      <c r="E174">
        <v>1</v>
      </c>
      <c r="F174">
        <f>_xlfn.XLOOKUP(Table1[[#This Row],[ProductID]],Products!A:A,Products!D:D,,0)</f>
        <v>180</v>
      </c>
      <c r="I174">
        <v>449</v>
      </c>
      <c r="J174">
        <v>449</v>
      </c>
      <c r="K174" t="s">
        <v>1102</v>
      </c>
      <c r="L174">
        <v>449</v>
      </c>
      <c r="M174" t="s">
        <v>1098</v>
      </c>
      <c r="N174" t="s">
        <v>1099</v>
      </c>
      <c r="O174">
        <f>Table1[[#This Row],[Unit_Price]]*Table1[[#This Row],[Quantity]]</f>
        <v>180</v>
      </c>
    </row>
    <row r="175" spans="1:15" x14ac:dyDescent="0.3">
      <c r="A175" t="s">
        <v>1433</v>
      </c>
      <c r="B175" t="s">
        <v>1434</v>
      </c>
      <c r="C175" t="s">
        <v>355</v>
      </c>
      <c r="D175" t="s">
        <v>1073</v>
      </c>
      <c r="E175">
        <v>2</v>
      </c>
      <c r="F175">
        <f>_xlfn.XLOOKUP(Table1[[#This Row],[ProductID]],Products!A:A,Products!D:D,,0)</f>
        <v>100</v>
      </c>
      <c r="I175">
        <v>349</v>
      </c>
      <c r="J175">
        <v>279</v>
      </c>
      <c r="K175" t="s">
        <v>1097</v>
      </c>
      <c r="L175">
        <v>558</v>
      </c>
      <c r="M175" t="s">
        <v>1098</v>
      </c>
      <c r="N175" t="s">
        <v>1099</v>
      </c>
      <c r="O175">
        <f>Table1[[#This Row],[Unit_Price]]*Table1[[#This Row],[Quantity]]</f>
        <v>200</v>
      </c>
    </row>
    <row r="176" spans="1:15" x14ac:dyDescent="0.3">
      <c r="A176" t="s">
        <v>1435</v>
      </c>
      <c r="B176" t="s">
        <v>1436</v>
      </c>
      <c r="C176" t="s">
        <v>337</v>
      </c>
      <c r="D176" t="s">
        <v>1073</v>
      </c>
      <c r="E176">
        <v>1</v>
      </c>
      <c r="F176">
        <f>_xlfn.XLOOKUP(Table1[[#This Row],[ProductID]],Products!A:A,Products!D:D,,0)</f>
        <v>100</v>
      </c>
      <c r="I176">
        <v>349</v>
      </c>
      <c r="J176">
        <v>297</v>
      </c>
      <c r="K176" t="s">
        <v>1092</v>
      </c>
      <c r="L176">
        <v>297</v>
      </c>
      <c r="M176" t="s">
        <v>1098</v>
      </c>
      <c r="N176" t="s">
        <v>1099</v>
      </c>
      <c r="O176">
        <f>Table1[[#This Row],[Unit_Price]]*Table1[[#This Row],[Quantity]]</f>
        <v>100</v>
      </c>
    </row>
    <row r="177" spans="1:15" x14ac:dyDescent="0.3">
      <c r="A177" t="s">
        <v>1437</v>
      </c>
      <c r="B177" t="s">
        <v>1438</v>
      </c>
      <c r="C177" t="s">
        <v>607</v>
      </c>
      <c r="D177" t="s">
        <v>1062</v>
      </c>
      <c r="E177">
        <v>3</v>
      </c>
      <c r="F177">
        <f>_xlfn.XLOOKUP(Table1[[#This Row],[ProductID]],Products!A:A,Products!D:D,,0)</f>
        <v>95</v>
      </c>
      <c r="I177">
        <v>349</v>
      </c>
      <c r="J177">
        <v>349</v>
      </c>
      <c r="K177" t="s">
        <v>1102</v>
      </c>
      <c r="L177">
        <v>1047</v>
      </c>
      <c r="M177" t="s">
        <v>1126</v>
      </c>
      <c r="N177" t="s">
        <v>1099</v>
      </c>
      <c r="O177">
        <f>Table1[[#This Row],[Unit_Price]]*Table1[[#This Row],[Quantity]]</f>
        <v>285</v>
      </c>
    </row>
    <row r="178" spans="1:15" x14ac:dyDescent="0.3">
      <c r="A178" t="s">
        <v>1439</v>
      </c>
      <c r="B178" t="s">
        <v>1432</v>
      </c>
      <c r="C178" t="s">
        <v>245</v>
      </c>
      <c r="D178" t="s">
        <v>1059</v>
      </c>
      <c r="E178">
        <v>2</v>
      </c>
      <c r="F178">
        <f>_xlfn.XLOOKUP(Table1[[#This Row],[ProductID]],Products!A:A,Products!D:D,,0)</f>
        <v>110</v>
      </c>
      <c r="I178">
        <v>399</v>
      </c>
      <c r="J178">
        <v>319</v>
      </c>
      <c r="K178" t="s">
        <v>1097</v>
      </c>
      <c r="L178">
        <v>638</v>
      </c>
      <c r="M178" t="s">
        <v>1093</v>
      </c>
      <c r="N178" t="s">
        <v>1123</v>
      </c>
      <c r="O178">
        <f>Table1[[#This Row],[Unit_Price]]*Table1[[#This Row],[Quantity]]</f>
        <v>220</v>
      </c>
    </row>
    <row r="179" spans="1:15" x14ac:dyDescent="0.3">
      <c r="A179" t="s">
        <v>1440</v>
      </c>
      <c r="B179" t="s">
        <v>1441</v>
      </c>
      <c r="C179" t="s">
        <v>515</v>
      </c>
      <c r="D179" t="s">
        <v>1057</v>
      </c>
      <c r="E179">
        <v>1</v>
      </c>
      <c r="F179">
        <f>_xlfn.XLOOKUP(Table1[[#This Row],[ProductID]],Products!A:A,Products!D:D,,0)</f>
        <v>130</v>
      </c>
      <c r="I179">
        <v>549</v>
      </c>
      <c r="J179">
        <v>494</v>
      </c>
      <c r="K179" t="s">
        <v>1107</v>
      </c>
      <c r="L179">
        <v>494</v>
      </c>
      <c r="M179" t="s">
        <v>1093</v>
      </c>
      <c r="N179" t="s">
        <v>1094</v>
      </c>
      <c r="O179">
        <f>Table1[[#This Row],[Unit_Price]]*Table1[[#This Row],[Quantity]]</f>
        <v>130</v>
      </c>
    </row>
    <row r="180" spans="1:15" x14ac:dyDescent="0.3">
      <c r="A180" t="s">
        <v>1442</v>
      </c>
      <c r="B180" t="s">
        <v>1443</v>
      </c>
      <c r="C180" t="s">
        <v>253</v>
      </c>
      <c r="D180" t="s">
        <v>1064</v>
      </c>
      <c r="E180">
        <v>1</v>
      </c>
      <c r="F180">
        <f>_xlfn.XLOOKUP(Table1[[#This Row],[ProductID]],Products!A:A,Products!D:D,,0)</f>
        <v>160</v>
      </c>
      <c r="I180">
        <v>699</v>
      </c>
      <c r="J180">
        <v>629</v>
      </c>
      <c r="K180" t="s">
        <v>1107</v>
      </c>
      <c r="L180">
        <v>629</v>
      </c>
      <c r="M180" t="s">
        <v>1098</v>
      </c>
      <c r="N180" t="s">
        <v>1099</v>
      </c>
      <c r="O180">
        <f>Table1[[#This Row],[Unit_Price]]*Table1[[#This Row],[Quantity]]</f>
        <v>160</v>
      </c>
    </row>
    <row r="181" spans="1:15" x14ac:dyDescent="0.3">
      <c r="A181" t="s">
        <v>1444</v>
      </c>
      <c r="B181" t="s">
        <v>1445</v>
      </c>
      <c r="C181" t="s">
        <v>407</v>
      </c>
      <c r="D181" t="s">
        <v>1062</v>
      </c>
      <c r="E181">
        <v>2</v>
      </c>
      <c r="F181">
        <f>_xlfn.XLOOKUP(Table1[[#This Row],[ProductID]],Products!A:A,Products!D:D,,0)</f>
        <v>95</v>
      </c>
      <c r="I181">
        <v>349</v>
      </c>
      <c r="J181">
        <v>314</v>
      </c>
      <c r="K181" t="s">
        <v>1107</v>
      </c>
      <c r="L181">
        <v>628</v>
      </c>
      <c r="M181" t="s">
        <v>1118</v>
      </c>
      <c r="N181" t="s">
        <v>1099</v>
      </c>
      <c r="O181">
        <f>Table1[[#This Row],[Unit_Price]]*Table1[[#This Row],[Quantity]]</f>
        <v>190</v>
      </c>
    </row>
    <row r="182" spans="1:15" x14ac:dyDescent="0.3">
      <c r="A182" t="s">
        <v>1446</v>
      </c>
      <c r="B182" t="s">
        <v>1447</v>
      </c>
      <c r="C182" t="s">
        <v>134</v>
      </c>
      <c r="D182" t="s">
        <v>1075</v>
      </c>
      <c r="E182">
        <v>1</v>
      </c>
      <c r="F182">
        <f>_xlfn.XLOOKUP(Table1[[#This Row],[ProductID]],Products!A:A,Products!D:D,,0)</f>
        <v>80</v>
      </c>
      <c r="I182">
        <v>499</v>
      </c>
      <c r="J182">
        <v>499</v>
      </c>
      <c r="K182" t="s">
        <v>1102</v>
      </c>
      <c r="L182">
        <v>499</v>
      </c>
      <c r="M182" t="s">
        <v>1126</v>
      </c>
      <c r="N182" t="s">
        <v>1099</v>
      </c>
      <c r="O182">
        <f>Table1[[#This Row],[Unit_Price]]*Table1[[#This Row],[Quantity]]</f>
        <v>80</v>
      </c>
    </row>
    <row r="183" spans="1:15" x14ac:dyDescent="0.3">
      <c r="A183" t="s">
        <v>1448</v>
      </c>
      <c r="B183" t="s">
        <v>1449</v>
      </c>
      <c r="C183" t="s">
        <v>957</v>
      </c>
      <c r="D183" t="s">
        <v>1062</v>
      </c>
      <c r="E183">
        <v>1</v>
      </c>
      <c r="F183">
        <f>_xlfn.XLOOKUP(Table1[[#This Row],[ProductID]],Products!A:A,Products!D:D,,0)</f>
        <v>95</v>
      </c>
      <c r="I183">
        <v>349</v>
      </c>
      <c r="J183">
        <v>297</v>
      </c>
      <c r="K183" t="s">
        <v>1092</v>
      </c>
      <c r="L183">
        <v>297</v>
      </c>
      <c r="M183" t="s">
        <v>1098</v>
      </c>
      <c r="N183" t="s">
        <v>1099</v>
      </c>
      <c r="O183">
        <f>Table1[[#This Row],[Unit_Price]]*Table1[[#This Row],[Quantity]]</f>
        <v>95</v>
      </c>
    </row>
    <row r="184" spans="1:15" x14ac:dyDescent="0.3">
      <c r="A184" t="s">
        <v>1450</v>
      </c>
      <c r="B184" t="s">
        <v>1451</v>
      </c>
      <c r="C184" t="s">
        <v>977</v>
      </c>
      <c r="D184" t="s">
        <v>1062</v>
      </c>
      <c r="E184">
        <v>1</v>
      </c>
      <c r="F184">
        <f>_xlfn.XLOOKUP(Table1[[#This Row],[ProductID]],Products!A:A,Products!D:D,,0)</f>
        <v>95</v>
      </c>
      <c r="I184">
        <v>349</v>
      </c>
      <c r="J184">
        <v>349</v>
      </c>
      <c r="K184" t="s">
        <v>1102</v>
      </c>
      <c r="L184">
        <v>349</v>
      </c>
      <c r="M184" t="s">
        <v>1098</v>
      </c>
      <c r="N184" t="s">
        <v>1099</v>
      </c>
      <c r="O184">
        <f>Table1[[#This Row],[Unit_Price]]*Table1[[#This Row],[Quantity]]</f>
        <v>95</v>
      </c>
    </row>
    <row r="185" spans="1:15" x14ac:dyDescent="0.3">
      <c r="A185" t="s">
        <v>1452</v>
      </c>
      <c r="B185" t="s">
        <v>1392</v>
      </c>
      <c r="C185" t="s">
        <v>461</v>
      </c>
      <c r="D185" t="s">
        <v>1062</v>
      </c>
      <c r="E185">
        <v>3</v>
      </c>
      <c r="F185">
        <f>_xlfn.XLOOKUP(Table1[[#This Row],[ProductID]],Products!A:A,Products!D:D,,0)</f>
        <v>95</v>
      </c>
      <c r="I185">
        <v>349</v>
      </c>
      <c r="J185">
        <v>314</v>
      </c>
      <c r="K185" t="s">
        <v>1107</v>
      </c>
      <c r="L185">
        <v>942</v>
      </c>
      <c r="M185" t="s">
        <v>1098</v>
      </c>
      <c r="N185" t="s">
        <v>1099</v>
      </c>
      <c r="O185">
        <f>Table1[[#This Row],[Unit_Price]]*Table1[[#This Row],[Quantity]]</f>
        <v>285</v>
      </c>
    </row>
    <row r="186" spans="1:15" x14ac:dyDescent="0.3">
      <c r="A186" t="s">
        <v>1453</v>
      </c>
      <c r="B186" t="s">
        <v>1381</v>
      </c>
      <c r="C186" t="s">
        <v>385</v>
      </c>
      <c r="D186" t="s">
        <v>1075</v>
      </c>
      <c r="E186">
        <v>3</v>
      </c>
      <c r="F186">
        <f>_xlfn.XLOOKUP(Table1[[#This Row],[ProductID]],Products!A:A,Products!D:D,,0)</f>
        <v>80</v>
      </c>
      <c r="I186">
        <v>499</v>
      </c>
      <c r="J186">
        <v>449</v>
      </c>
      <c r="K186" t="s">
        <v>1107</v>
      </c>
      <c r="L186">
        <v>1347</v>
      </c>
      <c r="M186" t="s">
        <v>1098</v>
      </c>
      <c r="N186" t="s">
        <v>1099</v>
      </c>
      <c r="O186">
        <f>Table1[[#This Row],[Unit_Price]]*Table1[[#This Row],[Quantity]]</f>
        <v>240</v>
      </c>
    </row>
    <row r="187" spans="1:15" x14ac:dyDescent="0.3">
      <c r="A187" t="s">
        <v>1454</v>
      </c>
      <c r="B187" t="s">
        <v>1455</v>
      </c>
      <c r="C187" t="s">
        <v>297</v>
      </c>
      <c r="D187" t="s">
        <v>1053</v>
      </c>
      <c r="E187">
        <v>4</v>
      </c>
      <c r="F187">
        <f>_xlfn.XLOOKUP(Table1[[#This Row],[ProductID]],Products!A:A,Products!D:D,,0)</f>
        <v>200</v>
      </c>
      <c r="I187">
        <v>899</v>
      </c>
      <c r="J187">
        <v>899</v>
      </c>
      <c r="K187" t="s">
        <v>1102</v>
      </c>
      <c r="L187">
        <v>3596</v>
      </c>
      <c r="M187" t="s">
        <v>1093</v>
      </c>
      <c r="N187" t="s">
        <v>1099</v>
      </c>
      <c r="O187">
        <f>Table1[[#This Row],[Unit_Price]]*Table1[[#This Row],[Quantity]]</f>
        <v>800</v>
      </c>
    </row>
    <row r="188" spans="1:15" x14ac:dyDescent="0.3">
      <c r="A188" t="s">
        <v>1456</v>
      </c>
      <c r="B188" t="s">
        <v>1457</v>
      </c>
      <c r="C188" t="s">
        <v>917</v>
      </c>
      <c r="D188" t="s">
        <v>1051</v>
      </c>
      <c r="E188">
        <v>1</v>
      </c>
      <c r="F188">
        <f>_xlfn.XLOOKUP(Table1[[#This Row],[ProductID]],Products!A:A,Products!D:D,,0)</f>
        <v>150</v>
      </c>
      <c r="I188">
        <v>499</v>
      </c>
      <c r="J188">
        <v>449</v>
      </c>
      <c r="K188" t="s">
        <v>1107</v>
      </c>
      <c r="L188">
        <v>449</v>
      </c>
      <c r="M188" t="s">
        <v>1118</v>
      </c>
      <c r="N188" t="s">
        <v>1099</v>
      </c>
      <c r="O188">
        <f>Table1[[#This Row],[Unit_Price]]*Table1[[#This Row],[Quantity]]</f>
        <v>150</v>
      </c>
    </row>
    <row r="189" spans="1:15" x14ac:dyDescent="0.3">
      <c r="A189" t="s">
        <v>1458</v>
      </c>
      <c r="B189" t="s">
        <v>1459</v>
      </c>
      <c r="C189" t="s">
        <v>219</v>
      </c>
      <c r="D189" t="s">
        <v>1062</v>
      </c>
      <c r="E189">
        <v>1</v>
      </c>
      <c r="F189">
        <f>_xlfn.XLOOKUP(Table1[[#This Row],[ProductID]],Products!A:A,Products!D:D,,0)</f>
        <v>95</v>
      </c>
      <c r="I189">
        <v>349</v>
      </c>
      <c r="J189">
        <v>314</v>
      </c>
      <c r="K189" t="s">
        <v>1107</v>
      </c>
      <c r="L189">
        <v>314</v>
      </c>
      <c r="M189" t="s">
        <v>1093</v>
      </c>
      <c r="N189" t="s">
        <v>1094</v>
      </c>
      <c r="O189">
        <f>Table1[[#This Row],[Unit_Price]]*Table1[[#This Row],[Quantity]]</f>
        <v>95</v>
      </c>
    </row>
    <row r="190" spans="1:15" x14ac:dyDescent="0.3">
      <c r="A190" t="s">
        <v>1460</v>
      </c>
      <c r="B190" t="s">
        <v>1461</v>
      </c>
      <c r="C190" t="s">
        <v>747</v>
      </c>
      <c r="D190" t="s">
        <v>1062</v>
      </c>
      <c r="E190">
        <v>1</v>
      </c>
      <c r="F190">
        <f>_xlfn.XLOOKUP(Table1[[#This Row],[ProductID]],Products!A:A,Products!D:D,,0)</f>
        <v>95</v>
      </c>
      <c r="I190">
        <v>349</v>
      </c>
      <c r="J190">
        <v>279</v>
      </c>
      <c r="K190" t="s">
        <v>1097</v>
      </c>
      <c r="L190">
        <v>279</v>
      </c>
      <c r="M190" t="s">
        <v>1098</v>
      </c>
      <c r="N190" t="s">
        <v>1123</v>
      </c>
      <c r="O190">
        <f>Table1[[#This Row],[Unit_Price]]*Table1[[#This Row],[Quantity]]</f>
        <v>95</v>
      </c>
    </row>
    <row r="191" spans="1:15" x14ac:dyDescent="0.3">
      <c r="A191" t="s">
        <v>1462</v>
      </c>
      <c r="B191" t="s">
        <v>1463</v>
      </c>
      <c r="C191" t="s">
        <v>537</v>
      </c>
      <c r="D191" t="s">
        <v>1075</v>
      </c>
      <c r="E191">
        <v>1</v>
      </c>
      <c r="F191">
        <f>_xlfn.XLOOKUP(Table1[[#This Row],[ProductID]],Products!A:A,Products!D:D,,0)</f>
        <v>80</v>
      </c>
      <c r="I191">
        <v>499</v>
      </c>
      <c r="J191">
        <v>449</v>
      </c>
      <c r="K191" t="s">
        <v>1107</v>
      </c>
      <c r="L191">
        <v>449</v>
      </c>
      <c r="M191" t="s">
        <v>1093</v>
      </c>
      <c r="N191" t="s">
        <v>1099</v>
      </c>
      <c r="O191">
        <f>Table1[[#This Row],[Unit_Price]]*Table1[[#This Row],[Quantity]]</f>
        <v>80</v>
      </c>
    </row>
    <row r="192" spans="1:15" x14ac:dyDescent="0.3">
      <c r="A192" t="s">
        <v>1464</v>
      </c>
      <c r="B192" t="s">
        <v>1465</v>
      </c>
      <c r="C192" t="s">
        <v>647</v>
      </c>
      <c r="D192" t="s">
        <v>1068</v>
      </c>
      <c r="E192">
        <v>3</v>
      </c>
      <c r="F192">
        <f>_xlfn.XLOOKUP(Table1[[#This Row],[ProductID]],Products!A:A,Products!D:D,,0)</f>
        <v>180</v>
      </c>
      <c r="I192">
        <v>449</v>
      </c>
      <c r="J192">
        <v>382</v>
      </c>
      <c r="K192" t="s">
        <v>1092</v>
      </c>
      <c r="L192">
        <v>1146</v>
      </c>
      <c r="M192" t="s">
        <v>1126</v>
      </c>
      <c r="N192" t="s">
        <v>1099</v>
      </c>
      <c r="O192">
        <f>Table1[[#This Row],[Unit_Price]]*Table1[[#This Row],[Quantity]]</f>
        <v>540</v>
      </c>
    </row>
    <row r="193" spans="1:15" x14ac:dyDescent="0.3">
      <c r="A193" t="s">
        <v>1466</v>
      </c>
      <c r="B193" t="s">
        <v>1467</v>
      </c>
      <c r="C193" t="s">
        <v>781</v>
      </c>
      <c r="D193" t="s">
        <v>1066</v>
      </c>
      <c r="E193">
        <v>2</v>
      </c>
      <c r="F193">
        <f>_xlfn.XLOOKUP(Table1[[#This Row],[ProductID]],Products!A:A,Products!D:D,,0)</f>
        <v>140</v>
      </c>
      <c r="I193">
        <v>499</v>
      </c>
      <c r="J193">
        <v>449</v>
      </c>
      <c r="K193" t="s">
        <v>1107</v>
      </c>
      <c r="L193">
        <v>898</v>
      </c>
      <c r="M193" t="s">
        <v>1098</v>
      </c>
      <c r="N193" t="s">
        <v>1099</v>
      </c>
      <c r="O193">
        <f>Table1[[#This Row],[Unit_Price]]*Table1[[#This Row],[Quantity]]</f>
        <v>280</v>
      </c>
    </row>
    <row r="194" spans="1:15" x14ac:dyDescent="0.3">
      <c r="A194" t="s">
        <v>1468</v>
      </c>
      <c r="B194" t="s">
        <v>1290</v>
      </c>
      <c r="C194" t="s">
        <v>165</v>
      </c>
      <c r="D194" t="s">
        <v>1071</v>
      </c>
      <c r="E194">
        <v>1</v>
      </c>
      <c r="F194">
        <f>_xlfn.XLOOKUP(Table1[[#This Row],[ProductID]],Products!A:A,Products!D:D,,0)</f>
        <v>125</v>
      </c>
      <c r="I194">
        <v>399</v>
      </c>
      <c r="J194">
        <v>339</v>
      </c>
      <c r="K194" t="s">
        <v>1092</v>
      </c>
      <c r="L194">
        <v>339</v>
      </c>
      <c r="M194" t="s">
        <v>1093</v>
      </c>
      <c r="N194" t="s">
        <v>1099</v>
      </c>
      <c r="O194">
        <f>Table1[[#This Row],[Unit_Price]]*Table1[[#This Row],[Quantity]]</f>
        <v>125</v>
      </c>
    </row>
    <row r="195" spans="1:15" x14ac:dyDescent="0.3">
      <c r="A195" t="s">
        <v>1469</v>
      </c>
      <c r="B195" t="s">
        <v>1470</v>
      </c>
      <c r="C195" t="s">
        <v>112</v>
      </c>
      <c r="D195" t="s">
        <v>1080</v>
      </c>
      <c r="E195">
        <v>1</v>
      </c>
      <c r="F195">
        <f>_xlfn.XLOOKUP(Table1[[#This Row],[ProductID]],Products!A:A,Products!D:D,,0)</f>
        <v>45</v>
      </c>
      <c r="I195">
        <v>249</v>
      </c>
      <c r="J195">
        <v>224</v>
      </c>
      <c r="K195" t="s">
        <v>1107</v>
      </c>
      <c r="L195">
        <v>224</v>
      </c>
      <c r="M195" t="s">
        <v>1098</v>
      </c>
      <c r="N195" t="s">
        <v>1099</v>
      </c>
      <c r="O195">
        <f>Table1[[#This Row],[Unit_Price]]*Table1[[#This Row],[Quantity]]</f>
        <v>45</v>
      </c>
    </row>
    <row r="196" spans="1:15" x14ac:dyDescent="0.3">
      <c r="A196" t="s">
        <v>1471</v>
      </c>
      <c r="B196" t="s">
        <v>1472</v>
      </c>
      <c r="C196" t="s">
        <v>1011</v>
      </c>
      <c r="D196" t="s">
        <v>1073</v>
      </c>
      <c r="E196">
        <v>1</v>
      </c>
      <c r="F196">
        <f>_xlfn.XLOOKUP(Table1[[#This Row],[ProductID]],Products!A:A,Products!D:D,,0)</f>
        <v>100</v>
      </c>
      <c r="I196">
        <v>349</v>
      </c>
      <c r="J196">
        <v>314</v>
      </c>
      <c r="K196" t="s">
        <v>1107</v>
      </c>
      <c r="L196">
        <v>314</v>
      </c>
      <c r="M196" t="s">
        <v>1093</v>
      </c>
      <c r="N196" t="s">
        <v>1099</v>
      </c>
      <c r="O196">
        <f>Table1[[#This Row],[Unit_Price]]*Table1[[#This Row],[Quantity]]</f>
        <v>100</v>
      </c>
    </row>
    <row r="197" spans="1:15" x14ac:dyDescent="0.3">
      <c r="A197" t="s">
        <v>1473</v>
      </c>
      <c r="B197" t="s">
        <v>1091</v>
      </c>
      <c r="C197" t="s">
        <v>949</v>
      </c>
      <c r="D197" t="s">
        <v>1073</v>
      </c>
      <c r="E197">
        <v>4</v>
      </c>
      <c r="F197">
        <f>_xlfn.XLOOKUP(Table1[[#This Row],[ProductID]],Products!A:A,Products!D:D,,0)</f>
        <v>100</v>
      </c>
      <c r="I197">
        <v>349</v>
      </c>
      <c r="J197">
        <v>314</v>
      </c>
      <c r="K197" t="s">
        <v>1107</v>
      </c>
      <c r="L197">
        <v>1256</v>
      </c>
      <c r="M197" t="s">
        <v>1093</v>
      </c>
      <c r="N197" t="s">
        <v>1094</v>
      </c>
      <c r="O197">
        <f>Table1[[#This Row],[Unit_Price]]*Table1[[#This Row],[Quantity]]</f>
        <v>400</v>
      </c>
    </row>
    <row r="198" spans="1:15" x14ac:dyDescent="0.3">
      <c r="A198" t="s">
        <v>1474</v>
      </c>
      <c r="B198" t="s">
        <v>1475</v>
      </c>
      <c r="C198" t="s">
        <v>42</v>
      </c>
      <c r="D198" t="s">
        <v>1059</v>
      </c>
      <c r="E198">
        <v>3</v>
      </c>
      <c r="F198">
        <f>_xlfn.XLOOKUP(Table1[[#This Row],[ProductID]],Products!A:A,Products!D:D,,0)</f>
        <v>110</v>
      </c>
      <c r="I198">
        <v>399</v>
      </c>
      <c r="J198">
        <v>359</v>
      </c>
      <c r="K198" t="s">
        <v>1107</v>
      </c>
      <c r="L198">
        <v>1077</v>
      </c>
      <c r="M198" t="s">
        <v>1098</v>
      </c>
      <c r="N198" t="s">
        <v>1099</v>
      </c>
      <c r="O198">
        <f>Table1[[#This Row],[Unit_Price]]*Table1[[#This Row],[Quantity]]</f>
        <v>330</v>
      </c>
    </row>
    <row r="199" spans="1:15" x14ac:dyDescent="0.3">
      <c r="A199" t="s">
        <v>1476</v>
      </c>
      <c r="B199" t="s">
        <v>1223</v>
      </c>
      <c r="C199" t="s">
        <v>851</v>
      </c>
      <c r="D199" t="s">
        <v>1078</v>
      </c>
      <c r="E199">
        <v>1</v>
      </c>
      <c r="F199">
        <f>_xlfn.XLOOKUP(Table1[[#This Row],[ProductID]],Products!A:A,Products!D:D,,0)</f>
        <v>80</v>
      </c>
      <c r="I199">
        <v>499</v>
      </c>
      <c r="J199">
        <v>499</v>
      </c>
      <c r="K199" t="s">
        <v>1102</v>
      </c>
      <c r="L199">
        <v>499</v>
      </c>
      <c r="M199" t="s">
        <v>1098</v>
      </c>
      <c r="N199" t="s">
        <v>1099</v>
      </c>
      <c r="O199">
        <f>Table1[[#This Row],[Unit_Price]]*Table1[[#This Row],[Quantity]]</f>
        <v>80</v>
      </c>
    </row>
    <row r="200" spans="1:15" x14ac:dyDescent="0.3">
      <c r="A200" t="s">
        <v>1477</v>
      </c>
      <c r="B200" t="s">
        <v>1478</v>
      </c>
      <c r="C200" t="s">
        <v>919</v>
      </c>
      <c r="D200" t="s">
        <v>1059</v>
      </c>
      <c r="E200">
        <v>2</v>
      </c>
      <c r="F200">
        <f>_xlfn.XLOOKUP(Table1[[#This Row],[ProductID]],Products!A:A,Products!D:D,,0)</f>
        <v>110</v>
      </c>
      <c r="I200">
        <v>399</v>
      </c>
      <c r="J200">
        <v>359</v>
      </c>
      <c r="K200" t="s">
        <v>1107</v>
      </c>
      <c r="L200">
        <v>718</v>
      </c>
      <c r="M200" t="s">
        <v>1098</v>
      </c>
      <c r="N200" t="s">
        <v>1099</v>
      </c>
      <c r="O200">
        <f>Table1[[#This Row],[Unit_Price]]*Table1[[#This Row],[Quantity]]</f>
        <v>220</v>
      </c>
    </row>
    <row r="201" spans="1:15" x14ac:dyDescent="0.3">
      <c r="A201" t="s">
        <v>1479</v>
      </c>
      <c r="B201" t="s">
        <v>1480</v>
      </c>
      <c r="C201" t="s">
        <v>1025</v>
      </c>
      <c r="D201" t="s">
        <v>1066</v>
      </c>
      <c r="E201">
        <v>4</v>
      </c>
      <c r="F201">
        <f>_xlfn.XLOOKUP(Table1[[#This Row],[ProductID]],Products!A:A,Products!D:D,,0)</f>
        <v>140</v>
      </c>
      <c r="I201">
        <v>499</v>
      </c>
      <c r="J201">
        <v>424</v>
      </c>
      <c r="K201" t="s">
        <v>1092</v>
      </c>
      <c r="L201">
        <v>1696</v>
      </c>
      <c r="M201" t="s">
        <v>1118</v>
      </c>
      <c r="N201" t="s">
        <v>1099</v>
      </c>
      <c r="O201">
        <f>Table1[[#This Row],[Unit_Price]]*Table1[[#This Row],[Quantity]]</f>
        <v>560</v>
      </c>
    </row>
    <row r="202" spans="1:15" x14ac:dyDescent="0.3">
      <c r="A202" t="s">
        <v>1481</v>
      </c>
      <c r="B202" t="s">
        <v>1482</v>
      </c>
      <c r="C202" t="s">
        <v>325</v>
      </c>
      <c r="D202" t="s">
        <v>1051</v>
      </c>
      <c r="E202">
        <v>1</v>
      </c>
      <c r="F202">
        <f>_xlfn.XLOOKUP(Table1[[#This Row],[ProductID]],Products!A:A,Products!D:D,,0)</f>
        <v>150</v>
      </c>
      <c r="I202">
        <v>499</v>
      </c>
      <c r="J202">
        <v>449</v>
      </c>
      <c r="K202" t="s">
        <v>1107</v>
      </c>
      <c r="L202">
        <v>449</v>
      </c>
      <c r="M202" t="s">
        <v>1098</v>
      </c>
      <c r="N202" t="s">
        <v>1099</v>
      </c>
      <c r="O202">
        <f>Table1[[#This Row],[Unit_Price]]*Table1[[#This Row],[Quantity]]</f>
        <v>150</v>
      </c>
    </row>
    <row r="203" spans="1:15" x14ac:dyDescent="0.3">
      <c r="A203" t="s">
        <v>1483</v>
      </c>
      <c r="B203" t="s">
        <v>1484</v>
      </c>
      <c r="C203" t="s">
        <v>291</v>
      </c>
      <c r="D203" t="s">
        <v>1053</v>
      </c>
      <c r="E203">
        <v>2</v>
      </c>
      <c r="F203">
        <f>_xlfn.XLOOKUP(Table1[[#This Row],[ProductID]],Products!A:A,Products!D:D,,0)</f>
        <v>200</v>
      </c>
      <c r="I203">
        <v>899</v>
      </c>
      <c r="J203">
        <v>899</v>
      </c>
      <c r="K203" t="s">
        <v>1102</v>
      </c>
      <c r="L203">
        <v>1798</v>
      </c>
      <c r="M203" t="s">
        <v>1093</v>
      </c>
      <c r="N203" t="s">
        <v>1094</v>
      </c>
      <c r="O203">
        <f>Table1[[#This Row],[Unit_Price]]*Table1[[#This Row],[Quantity]]</f>
        <v>400</v>
      </c>
    </row>
    <row r="204" spans="1:15" x14ac:dyDescent="0.3">
      <c r="A204" t="s">
        <v>1485</v>
      </c>
      <c r="B204" t="s">
        <v>1486</v>
      </c>
      <c r="C204" t="s">
        <v>631</v>
      </c>
      <c r="D204" t="s">
        <v>1078</v>
      </c>
      <c r="E204">
        <v>2</v>
      </c>
      <c r="F204">
        <f>_xlfn.XLOOKUP(Table1[[#This Row],[ProductID]],Products!A:A,Products!D:D,,0)</f>
        <v>80</v>
      </c>
      <c r="I204">
        <v>499</v>
      </c>
      <c r="J204">
        <v>499</v>
      </c>
      <c r="K204" t="s">
        <v>1102</v>
      </c>
      <c r="L204">
        <v>998</v>
      </c>
      <c r="M204" t="s">
        <v>1098</v>
      </c>
      <c r="N204" t="s">
        <v>1099</v>
      </c>
      <c r="O204">
        <f>Table1[[#This Row],[Unit_Price]]*Table1[[#This Row],[Quantity]]</f>
        <v>160</v>
      </c>
    </row>
    <row r="205" spans="1:15" x14ac:dyDescent="0.3">
      <c r="A205" t="s">
        <v>1487</v>
      </c>
      <c r="B205" t="s">
        <v>1488</v>
      </c>
      <c r="C205" t="s">
        <v>305</v>
      </c>
      <c r="D205" t="s">
        <v>1062</v>
      </c>
      <c r="E205">
        <v>1</v>
      </c>
      <c r="F205">
        <f>_xlfn.XLOOKUP(Table1[[#This Row],[ProductID]],Products!A:A,Products!D:D,,0)</f>
        <v>95</v>
      </c>
      <c r="I205">
        <v>349</v>
      </c>
      <c r="J205">
        <v>314</v>
      </c>
      <c r="K205" t="s">
        <v>1107</v>
      </c>
      <c r="L205">
        <v>314</v>
      </c>
      <c r="M205" t="s">
        <v>1093</v>
      </c>
      <c r="N205" t="s">
        <v>1099</v>
      </c>
      <c r="O205">
        <f>Table1[[#This Row],[Unit_Price]]*Table1[[#This Row],[Quantity]]</f>
        <v>95</v>
      </c>
    </row>
    <row r="206" spans="1:15" x14ac:dyDescent="0.3">
      <c r="A206" t="s">
        <v>1489</v>
      </c>
      <c r="B206" t="s">
        <v>1490</v>
      </c>
      <c r="C206" t="s">
        <v>629</v>
      </c>
      <c r="D206" t="s">
        <v>1057</v>
      </c>
      <c r="E206">
        <v>1</v>
      </c>
      <c r="F206">
        <f>_xlfn.XLOOKUP(Table1[[#This Row],[ProductID]],Products!A:A,Products!D:D,,0)</f>
        <v>130</v>
      </c>
      <c r="I206">
        <v>549</v>
      </c>
      <c r="J206">
        <v>494</v>
      </c>
      <c r="K206" t="s">
        <v>1107</v>
      </c>
      <c r="L206">
        <v>494</v>
      </c>
      <c r="M206" t="s">
        <v>1093</v>
      </c>
      <c r="N206" t="s">
        <v>1099</v>
      </c>
      <c r="O206">
        <f>Table1[[#This Row],[Unit_Price]]*Table1[[#This Row],[Quantity]]</f>
        <v>130</v>
      </c>
    </row>
    <row r="207" spans="1:15" x14ac:dyDescent="0.3">
      <c r="A207" t="s">
        <v>1491</v>
      </c>
      <c r="B207" t="s">
        <v>1323</v>
      </c>
      <c r="C207" t="s">
        <v>1015</v>
      </c>
      <c r="D207" t="s">
        <v>1068</v>
      </c>
      <c r="E207">
        <v>1</v>
      </c>
      <c r="F207">
        <f>_xlfn.XLOOKUP(Table1[[#This Row],[ProductID]],Products!A:A,Products!D:D,,0)</f>
        <v>180</v>
      </c>
      <c r="I207">
        <v>449</v>
      </c>
      <c r="J207">
        <v>359</v>
      </c>
      <c r="K207" t="s">
        <v>1097</v>
      </c>
      <c r="L207">
        <v>359</v>
      </c>
      <c r="M207" t="s">
        <v>1098</v>
      </c>
      <c r="N207" t="s">
        <v>1094</v>
      </c>
      <c r="O207">
        <f>Table1[[#This Row],[Unit_Price]]*Table1[[#This Row],[Quantity]]</f>
        <v>180</v>
      </c>
    </row>
    <row r="208" spans="1:15" x14ac:dyDescent="0.3">
      <c r="A208" t="s">
        <v>1492</v>
      </c>
      <c r="B208" t="s">
        <v>1493</v>
      </c>
      <c r="C208" t="s">
        <v>625</v>
      </c>
      <c r="D208" t="s">
        <v>1066</v>
      </c>
      <c r="E208">
        <v>2</v>
      </c>
      <c r="F208">
        <f>_xlfn.XLOOKUP(Table1[[#This Row],[ProductID]],Products!A:A,Products!D:D,,0)</f>
        <v>140</v>
      </c>
      <c r="I208">
        <v>499</v>
      </c>
      <c r="J208">
        <v>424</v>
      </c>
      <c r="K208" t="s">
        <v>1092</v>
      </c>
      <c r="L208">
        <v>848</v>
      </c>
      <c r="M208" t="s">
        <v>1098</v>
      </c>
      <c r="N208" t="s">
        <v>1099</v>
      </c>
      <c r="O208">
        <f>Table1[[#This Row],[Unit_Price]]*Table1[[#This Row],[Quantity]]</f>
        <v>280</v>
      </c>
    </row>
    <row r="209" spans="1:15" x14ac:dyDescent="0.3">
      <c r="A209" t="s">
        <v>1494</v>
      </c>
      <c r="B209" t="s">
        <v>1430</v>
      </c>
      <c r="C209" t="s">
        <v>355</v>
      </c>
      <c r="D209" t="s">
        <v>1057</v>
      </c>
      <c r="E209">
        <v>1</v>
      </c>
      <c r="F209">
        <f>_xlfn.XLOOKUP(Table1[[#This Row],[ProductID]],Products!A:A,Products!D:D,,0)</f>
        <v>130</v>
      </c>
      <c r="I209">
        <v>549</v>
      </c>
      <c r="J209">
        <v>494</v>
      </c>
      <c r="K209" t="s">
        <v>1107</v>
      </c>
      <c r="L209">
        <v>494</v>
      </c>
      <c r="M209" t="s">
        <v>1093</v>
      </c>
      <c r="N209" t="s">
        <v>1099</v>
      </c>
      <c r="O209">
        <f>Table1[[#This Row],[Unit_Price]]*Table1[[#This Row],[Quantity]]</f>
        <v>130</v>
      </c>
    </row>
    <row r="210" spans="1:15" x14ac:dyDescent="0.3">
      <c r="A210" t="s">
        <v>1495</v>
      </c>
      <c r="B210" t="s">
        <v>1496</v>
      </c>
      <c r="C210" t="s">
        <v>377</v>
      </c>
      <c r="D210" t="s">
        <v>1057</v>
      </c>
      <c r="E210">
        <v>1</v>
      </c>
      <c r="F210">
        <f>_xlfn.XLOOKUP(Table1[[#This Row],[ProductID]],Products!A:A,Products!D:D,,0)</f>
        <v>130</v>
      </c>
      <c r="I210">
        <v>549</v>
      </c>
      <c r="J210">
        <v>467</v>
      </c>
      <c r="K210" t="s">
        <v>1092</v>
      </c>
      <c r="L210">
        <v>467</v>
      </c>
      <c r="M210" t="s">
        <v>1098</v>
      </c>
      <c r="N210" t="s">
        <v>1099</v>
      </c>
      <c r="O210">
        <f>Table1[[#This Row],[Unit_Price]]*Table1[[#This Row],[Quantity]]</f>
        <v>130</v>
      </c>
    </row>
    <row r="211" spans="1:15" x14ac:dyDescent="0.3">
      <c r="A211" t="s">
        <v>1497</v>
      </c>
      <c r="B211" t="s">
        <v>1498</v>
      </c>
      <c r="C211" t="s">
        <v>713</v>
      </c>
      <c r="D211" t="s">
        <v>1068</v>
      </c>
      <c r="E211">
        <v>1</v>
      </c>
      <c r="F211">
        <f>_xlfn.XLOOKUP(Table1[[#This Row],[ProductID]],Products!A:A,Products!D:D,,0)</f>
        <v>180</v>
      </c>
      <c r="I211">
        <v>449</v>
      </c>
      <c r="J211">
        <v>382</v>
      </c>
      <c r="K211" t="s">
        <v>1092</v>
      </c>
      <c r="L211">
        <v>382</v>
      </c>
      <c r="M211" t="s">
        <v>1093</v>
      </c>
      <c r="N211" t="s">
        <v>1099</v>
      </c>
      <c r="O211">
        <f>Table1[[#This Row],[Unit_Price]]*Table1[[#This Row],[Quantity]]</f>
        <v>180</v>
      </c>
    </row>
    <row r="212" spans="1:15" x14ac:dyDescent="0.3">
      <c r="A212" t="s">
        <v>1499</v>
      </c>
      <c r="B212" t="s">
        <v>1500</v>
      </c>
      <c r="C212" t="s">
        <v>593</v>
      </c>
      <c r="D212" t="s">
        <v>1073</v>
      </c>
      <c r="E212">
        <v>1</v>
      </c>
      <c r="F212">
        <f>_xlfn.XLOOKUP(Table1[[#This Row],[ProductID]],Products!A:A,Products!D:D,,0)</f>
        <v>100</v>
      </c>
      <c r="I212">
        <v>349</v>
      </c>
      <c r="J212">
        <v>297</v>
      </c>
      <c r="K212" t="s">
        <v>1092</v>
      </c>
      <c r="L212">
        <v>297</v>
      </c>
      <c r="M212" t="s">
        <v>1126</v>
      </c>
      <c r="N212" t="s">
        <v>1099</v>
      </c>
      <c r="O212">
        <f>Table1[[#This Row],[Unit_Price]]*Table1[[#This Row],[Quantity]]</f>
        <v>100</v>
      </c>
    </row>
    <row r="213" spans="1:15" x14ac:dyDescent="0.3">
      <c r="A213" t="s">
        <v>1501</v>
      </c>
      <c r="B213" t="s">
        <v>1502</v>
      </c>
      <c r="C213" t="s">
        <v>79</v>
      </c>
      <c r="D213" t="s">
        <v>1051</v>
      </c>
      <c r="E213">
        <v>1</v>
      </c>
      <c r="F213">
        <f>_xlfn.XLOOKUP(Table1[[#This Row],[ProductID]],Products!A:A,Products!D:D,,0)</f>
        <v>150</v>
      </c>
      <c r="I213">
        <v>499</v>
      </c>
      <c r="J213">
        <v>449</v>
      </c>
      <c r="K213" t="s">
        <v>1107</v>
      </c>
      <c r="L213">
        <v>449</v>
      </c>
      <c r="M213" t="s">
        <v>1098</v>
      </c>
      <c r="N213" t="s">
        <v>1099</v>
      </c>
      <c r="O213">
        <f>Table1[[#This Row],[Unit_Price]]*Table1[[#This Row],[Quantity]]</f>
        <v>150</v>
      </c>
    </row>
    <row r="214" spans="1:15" x14ac:dyDescent="0.3">
      <c r="A214" t="s">
        <v>1503</v>
      </c>
      <c r="B214" t="s">
        <v>1420</v>
      </c>
      <c r="C214" t="s">
        <v>581</v>
      </c>
      <c r="D214" t="s">
        <v>1059</v>
      </c>
      <c r="E214">
        <v>1</v>
      </c>
      <c r="F214">
        <f>_xlfn.XLOOKUP(Table1[[#This Row],[ProductID]],Products!A:A,Products!D:D,,0)</f>
        <v>110</v>
      </c>
      <c r="I214">
        <v>399</v>
      </c>
      <c r="J214">
        <v>399</v>
      </c>
      <c r="K214" t="s">
        <v>1102</v>
      </c>
      <c r="L214">
        <v>399</v>
      </c>
      <c r="M214" t="s">
        <v>1093</v>
      </c>
      <c r="N214" t="s">
        <v>1099</v>
      </c>
      <c r="O214">
        <f>Table1[[#This Row],[Unit_Price]]*Table1[[#This Row],[Quantity]]</f>
        <v>110</v>
      </c>
    </row>
    <row r="215" spans="1:15" x14ac:dyDescent="0.3">
      <c r="A215" t="s">
        <v>1504</v>
      </c>
      <c r="B215" t="s">
        <v>1505</v>
      </c>
      <c r="C215" t="s">
        <v>653</v>
      </c>
      <c r="D215" t="s">
        <v>1055</v>
      </c>
      <c r="E215">
        <v>1</v>
      </c>
      <c r="F215">
        <f>_xlfn.XLOOKUP(Table1[[#This Row],[ProductID]],Products!A:A,Products!D:D,,0)</f>
        <v>75</v>
      </c>
      <c r="I215">
        <v>299</v>
      </c>
      <c r="J215">
        <v>254</v>
      </c>
      <c r="K215" t="s">
        <v>1092</v>
      </c>
      <c r="L215">
        <v>254</v>
      </c>
      <c r="M215" t="s">
        <v>1126</v>
      </c>
      <c r="N215" t="s">
        <v>1099</v>
      </c>
      <c r="O215">
        <f>Table1[[#This Row],[Unit_Price]]*Table1[[#This Row],[Quantity]]</f>
        <v>75</v>
      </c>
    </row>
    <row r="216" spans="1:15" x14ac:dyDescent="0.3">
      <c r="A216" t="s">
        <v>1506</v>
      </c>
      <c r="B216" t="s">
        <v>1507</v>
      </c>
      <c r="C216" t="s">
        <v>375</v>
      </c>
      <c r="D216" t="s">
        <v>1068</v>
      </c>
      <c r="E216">
        <v>2</v>
      </c>
      <c r="F216">
        <f>_xlfn.XLOOKUP(Table1[[#This Row],[ProductID]],Products!A:A,Products!D:D,,0)</f>
        <v>180</v>
      </c>
      <c r="I216">
        <v>449</v>
      </c>
      <c r="J216">
        <v>404</v>
      </c>
      <c r="K216" t="s">
        <v>1107</v>
      </c>
      <c r="L216">
        <v>808</v>
      </c>
      <c r="M216" t="s">
        <v>1093</v>
      </c>
      <c r="N216" t="s">
        <v>1123</v>
      </c>
      <c r="O216">
        <f>Table1[[#This Row],[Unit_Price]]*Table1[[#This Row],[Quantity]]</f>
        <v>360</v>
      </c>
    </row>
    <row r="217" spans="1:15" x14ac:dyDescent="0.3">
      <c r="A217" t="s">
        <v>1508</v>
      </c>
      <c r="B217" t="s">
        <v>1509</v>
      </c>
      <c r="C217" t="s">
        <v>617</v>
      </c>
      <c r="D217" t="s">
        <v>1051</v>
      </c>
      <c r="E217">
        <v>1</v>
      </c>
      <c r="F217">
        <f>_xlfn.XLOOKUP(Table1[[#This Row],[ProductID]],Products!A:A,Products!D:D,,0)</f>
        <v>150</v>
      </c>
      <c r="I217">
        <v>499</v>
      </c>
      <c r="J217">
        <v>399</v>
      </c>
      <c r="K217" t="s">
        <v>1097</v>
      </c>
      <c r="L217">
        <v>399</v>
      </c>
      <c r="M217" t="s">
        <v>1098</v>
      </c>
      <c r="N217" t="s">
        <v>1099</v>
      </c>
      <c r="O217">
        <f>Table1[[#This Row],[Unit_Price]]*Table1[[#This Row],[Quantity]]</f>
        <v>150</v>
      </c>
    </row>
    <row r="218" spans="1:15" x14ac:dyDescent="0.3">
      <c r="A218" t="s">
        <v>1510</v>
      </c>
      <c r="B218" t="s">
        <v>1511</v>
      </c>
      <c r="C218" t="s">
        <v>899</v>
      </c>
      <c r="D218" t="s">
        <v>1078</v>
      </c>
      <c r="E218">
        <v>2</v>
      </c>
      <c r="F218">
        <f>_xlfn.XLOOKUP(Table1[[#This Row],[ProductID]],Products!A:A,Products!D:D,,0)</f>
        <v>80</v>
      </c>
      <c r="I218">
        <v>499</v>
      </c>
      <c r="J218">
        <v>499</v>
      </c>
      <c r="K218" t="s">
        <v>1102</v>
      </c>
      <c r="L218">
        <v>998</v>
      </c>
      <c r="M218" t="s">
        <v>1093</v>
      </c>
      <c r="N218" t="s">
        <v>1099</v>
      </c>
      <c r="O218">
        <f>Table1[[#This Row],[Unit_Price]]*Table1[[#This Row],[Quantity]]</f>
        <v>160</v>
      </c>
    </row>
    <row r="219" spans="1:15" x14ac:dyDescent="0.3">
      <c r="A219" t="s">
        <v>1512</v>
      </c>
      <c r="B219" t="s">
        <v>1513</v>
      </c>
      <c r="C219" t="s">
        <v>229</v>
      </c>
      <c r="D219" t="s">
        <v>1057</v>
      </c>
      <c r="E219">
        <v>2</v>
      </c>
      <c r="F219">
        <f>_xlfn.XLOOKUP(Table1[[#This Row],[ProductID]],Products!A:A,Products!D:D,,0)</f>
        <v>130</v>
      </c>
      <c r="I219">
        <v>549</v>
      </c>
      <c r="J219">
        <v>549</v>
      </c>
      <c r="K219" t="s">
        <v>1102</v>
      </c>
      <c r="L219">
        <v>1098</v>
      </c>
      <c r="M219" t="s">
        <v>1126</v>
      </c>
      <c r="N219" t="s">
        <v>1099</v>
      </c>
      <c r="O219">
        <f>Table1[[#This Row],[Unit_Price]]*Table1[[#This Row],[Quantity]]</f>
        <v>260</v>
      </c>
    </row>
    <row r="220" spans="1:15" x14ac:dyDescent="0.3">
      <c r="A220" t="s">
        <v>1514</v>
      </c>
      <c r="B220" t="s">
        <v>1109</v>
      </c>
      <c r="C220" t="s">
        <v>357</v>
      </c>
      <c r="D220" t="s">
        <v>1080</v>
      </c>
      <c r="E220">
        <v>1</v>
      </c>
      <c r="F220">
        <f>_xlfn.XLOOKUP(Table1[[#This Row],[ProductID]],Products!A:A,Products!D:D,,0)</f>
        <v>45</v>
      </c>
      <c r="I220">
        <v>249</v>
      </c>
      <c r="J220">
        <v>199</v>
      </c>
      <c r="K220" t="s">
        <v>1097</v>
      </c>
      <c r="L220">
        <v>199</v>
      </c>
      <c r="M220" t="s">
        <v>1093</v>
      </c>
      <c r="N220" t="s">
        <v>1099</v>
      </c>
      <c r="O220">
        <f>Table1[[#This Row],[Unit_Price]]*Table1[[#This Row],[Quantity]]</f>
        <v>45</v>
      </c>
    </row>
    <row r="221" spans="1:15" x14ac:dyDescent="0.3">
      <c r="A221" t="s">
        <v>1515</v>
      </c>
      <c r="B221" t="s">
        <v>1455</v>
      </c>
      <c r="C221" t="s">
        <v>769</v>
      </c>
      <c r="D221" t="s">
        <v>1068</v>
      </c>
      <c r="E221">
        <v>1</v>
      </c>
      <c r="F221">
        <f>_xlfn.XLOOKUP(Table1[[#This Row],[ProductID]],Products!A:A,Products!D:D,,0)</f>
        <v>180</v>
      </c>
      <c r="I221">
        <v>449</v>
      </c>
      <c r="J221">
        <v>404</v>
      </c>
      <c r="K221" t="s">
        <v>1107</v>
      </c>
      <c r="L221">
        <v>404</v>
      </c>
      <c r="M221" t="s">
        <v>1098</v>
      </c>
      <c r="N221" t="s">
        <v>1094</v>
      </c>
      <c r="O221">
        <f>Table1[[#This Row],[Unit_Price]]*Table1[[#This Row],[Quantity]]</f>
        <v>180</v>
      </c>
    </row>
    <row r="222" spans="1:15" x14ac:dyDescent="0.3">
      <c r="A222" t="s">
        <v>1516</v>
      </c>
      <c r="B222" t="s">
        <v>1517</v>
      </c>
      <c r="C222" t="s">
        <v>409</v>
      </c>
      <c r="D222" t="s">
        <v>1057</v>
      </c>
      <c r="E222">
        <v>2</v>
      </c>
      <c r="F222">
        <f>_xlfn.XLOOKUP(Table1[[#This Row],[ProductID]],Products!A:A,Products!D:D,,0)</f>
        <v>130</v>
      </c>
      <c r="I222">
        <v>549</v>
      </c>
      <c r="J222">
        <v>439</v>
      </c>
      <c r="K222" t="s">
        <v>1097</v>
      </c>
      <c r="L222">
        <v>878</v>
      </c>
      <c r="M222" t="s">
        <v>1126</v>
      </c>
      <c r="N222" t="s">
        <v>1099</v>
      </c>
      <c r="O222">
        <f>Table1[[#This Row],[Unit_Price]]*Table1[[#This Row],[Quantity]]</f>
        <v>260</v>
      </c>
    </row>
    <row r="223" spans="1:15" x14ac:dyDescent="0.3">
      <c r="A223" t="s">
        <v>1518</v>
      </c>
      <c r="B223" t="s">
        <v>1519</v>
      </c>
      <c r="C223" t="s">
        <v>777</v>
      </c>
      <c r="D223" t="s">
        <v>1080</v>
      </c>
      <c r="E223">
        <v>1</v>
      </c>
      <c r="F223">
        <f>_xlfn.XLOOKUP(Table1[[#This Row],[ProductID]],Products!A:A,Products!D:D,,0)</f>
        <v>45</v>
      </c>
      <c r="I223">
        <v>249</v>
      </c>
      <c r="J223">
        <v>199</v>
      </c>
      <c r="K223" t="s">
        <v>1097</v>
      </c>
      <c r="L223">
        <v>199</v>
      </c>
      <c r="M223" t="s">
        <v>1093</v>
      </c>
      <c r="N223" t="s">
        <v>1099</v>
      </c>
      <c r="O223">
        <f>Table1[[#This Row],[Unit_Price]]*Table1[[#This Row],[Quantity]]</f>
        <v>45</v>
      </c>
    </row>
    <row r="224" spans="1:15" x14ac:dyDescent="0.3">
      <c r="A224" t="s">
        <v>1520</v>
      </c>
      <c r="B224" t="s">
        <v>1521</v>
      </c>
      <c r="C224" t="s">
        <v>791</v>
      </c>
      <c r="D224" t="s">
        <v>1064</v>
      </c>
      <c r="E224">
        <v>1</v>
      </c>
      <c r="F224">
        <f>_xlfn.XLOOKUP(Table1[[#This Row],[ProductID]],Products!A:A,Products!D:D,,0)</f>
        <v>160</v>
      </c>
      <c r="I224">
        <v>699</v>
      </c>
      <c r="J224">
        <v>629</v>
      </c>
      <c r="K224" t="s">
        <v>1107</v>
      </c>
      <c r="L224">
        <v>629</v>
      </c>
      <c r="M224" t="s">
        <v>1098</v>
      </c>
      <c r="N224" t="s">
        <v>1099</v>
      </c>
      <c r="O224">
        <f>Table1[[#This Row],[Unit_Price]]*Table1[[#This Row],[Quantity]]</f>
        <v>160</v>
      </c>
    </row>
    <row r="225" spans="1:15" x14ac:dyDescent="0.3">
      <c r="A225" t="s">
        <v>1522</v>
      </c>
      <c r="B225" t="s">
        <v>1523</v>
      </c>
      <c r="C225" t="s">
        <v>929</v>
      </c>
      <c r="D225" t="s">
        <v>1071</v>
      </c>
      <c r="E225">
        <v>1</v>
      </c>
      <c r="F225">
        <f>_xlfn.XLOOKUP(Table1[[#This Row],[ProductID]],Products!A:A,Products!D:D,,0)</f>
        <v>125</v>
      </c>
      <c r="I225">
        <v>399</v>
      </c>
      <c r="J225">
        <v>359</v>
      </c>
      <c r="K225" t="s">
        <v>1107</v>
      </c>
      <c r="L225">
        <v>359</v>
      </c>
      <c r="M225" t="s">
        <v>1098</v>
      </c>
      <c r="N225" t="s">
        <v>1099</v>
      </c>
      <c r="O225">
        <f>Table1[[#This Row],[Unit_Price]]*Table1[[#This Row],[Quantity]]</f>
        <v>125</v>
      </c>
    </row>
    <row r="226" spans="1:15" x14ac:dyDescent="0.3">
      <c r="A226" t="s">
        <v>1524</v>
      </c>
      <c r="B226" t="s">
        <v>1101</v>
      </c>
      <c r="C226" t="s">
        <v>917</v>
      </c>
      <c r="D226" t="s">
        <v>1059</v>
      </c>
      <c r="E226">
        <v>1</v>
      </c>
      <c r="F226">
        <f>_xlfn.XLOOKUP(Table1[[#This Row],[ProductID]],Products!A:A,Products!D:D,,0)</f>
        <v>110</v>
      </c>
      <c r="I226">
        <v>399</v>
      </c>
      <c r="J226">
        <v>339</v>
      </c>
      <c r="K226" t="s">
        <v>1092</v>
      </c>
      <c r="L226">
        <v>339</v>
      </c>
      <c r="M226" t="s">
        <v>1093</v>
      </c>
      <c r="N226" t="s">
        <v>1099</v>
      </c>
      <c r="O226">
        <f>Table1[[#This Row],[Unit_Price]]*Table1[[#This Row],[Quantity]]</f>
        <v>110</v>
      </c>
    </row>
    <row r="227" spans="1:15" x14ac:dyDescent="0.3">
      <c r="A227" t="s">
        <v>1525</v>
      </c>
      <c r="B227" t="s">
        <v>1306</v>
      </c>
      <c r="C227" t="s">
        <v>909</v>
      </c>
      <c r="D227" t="s">
        <v>1068</v>
      </c>
      <c r="E227">
        <v>2</v>
      </c>
      <c r="F227">
        <f>_xlfn.XLOOKUP(Table1[[#This Row],[ProductID]],Products!A:A,Products!D:D,,0)</f>
        <v>180</v>
      </c>
      <c r="I227">
        <v>449</v>
      </c>
      <c r="J227">
        <v>449</v>
      </c>
      <c r="K227" t="s">
        <v>1102</v>
      </c>
      <c r="L227">
        <v>898</v>
      </c>
      <c r="M227" t="s">
        <v>1098</v>
      </c>
      <c r="N227" t="s">
        <v>1099</v>
      </c>
      <c r="O227">
        <f>Table1[[#This Row],[Unit_Price]]*Table1[[#This Row],[Quantity]]</f>
        <v>360</v>
      </c>
    </row>
    <row r="228" spans="1:15" x14ac:dyDescent="0.3">
      <c r="A228" t="s">
        <v>1526</v>
      </c>
      <c r="B228" t="s">
        <v>1527</v>
      </c>
      <c r="C228" t="s">
        <v>327</v>
      </c>
      <c r="D228" t="s">
        <v>1059</v>
      </c>
      <c r="E228">
        <v>1</v>
      </c>
      <c r="F228">
        <f>_xlfn.XLOOKUP(Table1[[#This Row],[ProductID]],Products!A:A,Products!D:D,,0)</f>
        <v>110</v>
      </c>
      <c r="I228">
        <v>399</v>
      </c>
      <c r="J228">
        <v>359</v>
      </c>
      <c r="K228" t="s">
        <v>1107</v>
      </c>
      <c r="L228">
        <v>359</v>
      </c>
      <c r="M228" t="s">
        <v>1093</v>
      </c>
      <c r="N228" t="s">
        <v>1099</v>
      </c>
      <c r="O228">
        <f>Table1[[#This Row],[Unit_Price]]*Table1[[#This Row],[Quantity]]</f>
        <v>110</v>
      </c>
    </row>
    <row r="229" spans="1:15" x14ac:dyDescent="0.3">
      <c r="A229" t="s">
        <v>1528</v>
      </c>
      <c r="B229" t="s">
        <v>1529</v>
      </c>
      <c r="C229" t="s">
        <v>803</v>
      </c>
      <c r="D229" t="s">
        <v>1078</v>
      </c>
      <c r="E229">
        <v>3</v>
      </c>
      <c r="F229">
        <f>_xlfn.XLOOKUP(Table1[[#This Row],[ProductID]],Products!A:A,Products!D:D,,0)</f>
        <v>80</v>
      </c>
      <c r="I229">
        <v>499</v>
      </c>
      <c r="J229">
        <v>449</v>
      </c>
      <c r="K229" t="s">
        <v>1107</v>
      </c>
      <c r="L229">
        <v>1347</v>
      </c>
      <c r="M229" t="s">
        <v>1093</v>
      </c>
      <c r="N229" t="s">
        <v>1099</v>
      </c>
      <c r="O229">
        <f>Table1[[#This Row],[Unit_Price]]*Table1[[#This Row],[Quantity]]</f>
        <v>240</v>
      </c>
    </row>
    <row r="230" spans="1:15" x14ac:dyDescent="0.3">
      <c r="A230" t="s">
        <v>1530</v>
      </c>
      <c r="B230" t="s">
        <v>1531</v>
      </c>
      <c r="C230" t="s">
        <v>687</v>
      </c>
      <c r="D230" t="s">
        <v>1075</v>
      </c>
      <c r="E230">
        <v>1</v>
      </c>
      <c r="F230">
        <f>_xlfn.XLOOKUP(Table1[[#This Row],[ProductID]],Products!A:A,Products!D:D,,0)</f>
        <v>80</v>
      </c>
      <c r="I230">
        <v>499</v>
      </c>
      <c r="J230">
        <v>449</v>
      </c>
      <c r="K230" t="s">
        <v>1107</v>
      </c>
      <c r="L230">
        <v>449</v>
      </c>
      <c r="M230" t="s">
        <v>1098</v>
      </c>
      <c r="N230" t="s">
        <v>1099</v>
      </c>
      <c r="O230">
        <f>Table1[[#This Row],[Unit_Price]]*Table1[[#This Row],[Quantity]]</f>
        <v>80</v>
      </c>
    </row>
    <row r="231" spans="1:15" x14ac:dyDescent="0.3">
      <c r="A231" t="s">
        <v>1532</v>
      </c>
      <c r="B231" t="s">
        <v>1246</v>
      </c>
      <c r="C231" t="s">
        <v>559</v>
      </c>
      <c r="D231" t="s">
        <v>1068</v>
      </c>
      <c r="E231">
        <v>2</v>
      </c>
      <c r="F231">
        <f>_xlfn.XLOOKUP(Table1[[#This Row],[ProductID]],Products!A:A,Products!D:D,,0)</f>
        <v>180</v>
      </c>
      <c r="I231">
        <v>449</v>
      </c>
      <c r="J231">
        <v>449</v>
      </c>
      <c r="K231" t="s">
        <v>1102</v>
      </c>
      <c r="L231">
        <v>898</v>
      </c>
      <c r="M231" t="s">
        <v>1126</v>
      </c>
      <c r="N231" t="s">
        <v>1099</v>
      </c>
      <c r="O231">
        <f>Table1[[#This Row],[Unit_Price]]*Table1[[#This Row],[Quantity]]</f>
        <v>360</v>
      </c>
    </row>
    <row r="232" spans="1:15" x14ac:dyDescent="0.3">
      <c r="A232" t="s">
        <v>1533</v>
      </c>
      <c r="B232" t="s">
        <v>1534</v>
      </c>
      <c r="C232" t="s">
        <v>669</v>
      </c>
      <c r="D232" t="s">
        <v>1062</v>
      </c>
      <c r="E232">
        <v>1</v>
      </c>
      <c r="F232">
        <f>_xlfn.XLOOKUP(Table1[[#This Row],[ProductID]],Products!A:A,Products!D:D,,0)</f>
        <v>95</v>
      </c>
      <c r="I232">
        <v>349</v>
      </c>
      <c r="J232">
        <v>349</v>
      </c>
      <c r="K232" t="s">
        <v>1102</v>
      </c>
      <c r="L232">
        <v>349</v>
      </c>
      <c r="M232" t="s">
        <v>1093</v>
      </c>
      <c r="N232" t="s">
        <v>1099</v>
      </c>
      <c r="O232">
        <f>Table1[[#This Row],[Unit_Price]]*Table1[[#This Row],[Quantity]]</f>
        <v>95</v>
      </c>
    </row>
    <row r="233" spans="1:15" x14ac:dyDescent="0.3">
      <c r="A233" t="s">
        <v>1535</v>
      </c>
      <c r="B233" t="s">
        <v>1140</v>
      </c>
      <c r="C233" t="s">
        <v>449</v>
      </c>
      <c r="D233" t="s">
        <v>1066</v>
      </c>
      <c r="E233">
        <v>2</v>
      </c>
      <c r="F233">
        <f>_xlfn.XLOOKUP(Table1[[#This Row],[ProductID]],Products!A:A,Products!D:D,,0)</f>
        <v>140</v>
      </c>
      <c r="I233">
        <v>499</v>
      </c>
      <c r="J233">
        <v>499</v>
      </c>
      <c r="K233" t="s">
        <v>1102</v>
      </c>
      <c r="L233">
        <v>998</v>
      </c>
      <c r="M233" t="s">
        <v>1098</v>
      </c>
      <c r="N233" t="s">
        <v>1123</v>
      </c>
      <c r="O233">
        <f>Table1[[#This Row],[Unit_Price]]*Table1[[#This Row],[Quantity]]</f>
        <v>280</v>
      </c>
    </row>
    <row r="234" spans="1:15" x14ac:dyDescent="0.3">
      <c r="A234" t="s">
        <v>1536</v>
      </c>
      <c r="B234" t="s">
        <v>1537</v>
      </c>
      <c r="C234" t="s">
        <v>329</v>
      </c>
      <c r="D234" t="s">
        <v>1064</v>
      </c>
      <c r="E234">
        <v>1</v>
      </c>
      <c r="F234">
        <f>_xlfn.XLOOKUP(Table1[[#This Row],[ProductID]],Products!A:A,Products!D:D,,0)</f>
        <v>160</v>
      </c>
      <c r="I234">
        <v>699</v>
      </c>
      <c r="J234">
        <v>699</v>
      </c>
      <c r="K234" t="s">
        <v>1102</v>
      </c>
      <c r="L234">
        <v>699</v>
      </c>
      <c r="M234" t="s">
        <v>1093</v>
      </c>
      <c r="N234" t="s">
        <v>1099</v>
      </c>
      <c r="O234">
        <f>Table1[[#This Row],[Unit_Price]]*Table1[[#This Row],[Quantity]]</f>
        <v>160</v>
      </c>
    </row>
    <row r="235" spans="1:15" x14ac:dyDescent="0.3">
      <c r="A235" t="s">
        <v>1538</v>
      </c>
      <c r="B235" t="s">
        <v>1539</v>
      </c>
      <c r="C235" t="s">
        <v>435</v>
      </c>
      <c r="D235" t="s">
        <v>1062</v>
      </c>
      <c r="E235">
        <v>1</v>
      </c>
      <c r="F235">
        <f>_xlfn.XLOOKUP(Table1[[#This Row],[ProductID]],Products!A:A,Products!D:D,,0)</f>
        <v>95</v>
      </c>
      <c r="I235">
        <v>349</v>
      </c>
      <c r="J235">
        <v>314</v>
      </c>
      <c r="K235" t="s">
        <v>1107</v>
      </c>
      <c r="L235">
        <v>314</v>
      </c>
      <c r="M235" t="s">
        <v>1093</v>
      </c>
      <c r="N235" t="s">
        <v>1123</v>
      </c>
      <c r="O235">
        <f>Table1[[#This Row],[Unit_Price]]*Table1[[#This Row],[Quantity]]</f>
        <v>95</v>
      </c>
    </row>
    <row r="236" spans="1:15" x14ac:dyDescent="0.3">
      <c r="A236" t="s">
        <v>1540</v>
      </c>
      <c r="B236" t="s">
        <v>1541</v>
      </c>
      <c r="C236" t="s">
        <v>667</v>
      </c>
      <c r="D236" t="s">
        <v>1051</v>
      </c>
      <c r="E236">
        <v>4</v>
      </c>
      <c r="F236">
        <f>_xlfn.XLOOKUP(Table1[[#This Row],[ProductID]],Products!A:A,Products!D:D,,0)</f>
        <v>150</v>
      </c>
      <c r="I236">
        <v>499</v>
      </c>
      <c r="J236">
        <v>399</v>
      </c>
      <c r="K236" t="s">
        <v>1097</v>
      </c>
      <c r="L236">
        <v>1596</v>
      </c>
      <c r="M236" t="s">
        <v>1098</v>
      </c>
      <c r="N236" t="s">
        <v>1099</v>
      </c>
      <c r="O236">
        <f>Table1[[#This Row],[Unit_Price]]*Table1[[#This Row],[Quantity]]</f>
        <v>600</v>
      </c>
    </row>
    <row r="237" spans="1:15" x14ac:dyDescent="0.3">
      <c r="A237" t="s">
        <v>1542</v>
      </c>
      <c r="B237" t="s">
        <v>1543</v>
      </c>
      <c r="C237" t="s">
        <v>747</v>
      </c>
      <c r="D237" t="s">
        <v>1080</v>
      </c>
      <c r="E237">
        <v>1</v>
      </c>
      <c r="F237">
        <f>_xlfn.XLOOKUP(Table1[[#This Row],[ProductID]],Products!A:A,Products!D:D,,0)</f>
        <v>45</v>
      </c>
      <c r="I237">
        <v>249</v>
      </c>
      <c r="J237">
        <v>249</v>
      </c>
      <c r="K237" t="s">
        <v>1102</v>
      </c>
      <c r="L237">
        <v>249</v>
      </c>
      <c r="M237" t="s">
        <v>1093</v>
      </c>
      <c r="N237" t="s">
        <v>1099</v>
      </c>
      <c r="O237">
        <f>Table1[[#This Row],[Unit_Price]]*Table1[[#This Row],[Quantity]]</f>
        <v>45</v>
      </c>
    </row>
    <row r="238" spans="1:15" x14ac:dyDescent="0.3">
      <c r="A238" t="s">
        <v>1544</v>
      </c>
      <c r="B238" t="s">
        <v>1545</v>
      </c>
      <c r="C238" t="s">
        <v>993</v>
      </c>
      <c r="D238" t="s">
        <v>1053</v>
      </c>
      <c r="E238">
        <v>3</v>
      </c>
      <c r="F238">
        <f>_xlfn.XLOOKUP(Table1[[#This Row],[ProductID]],Products!A:A,Products!D:D,,0)</f>
        <v>200</v>
      </c>
      <c r="I238">
        <v>899</v>
      </c>
      <c r="J238">
        <v>719</v>
      </c>
      <c r="K238" t="s">
        <v>1097</v>
      </c>
      <c r="L238">
        <v>2157</v>
      </c>
      <c r="M238" t="s">
        <v>1093</v>
      </c>
      <c r="N238" t="s">
        <v>1099</v>
      </c>
      <c r="O238">
        <f>Table1[[#This Row],[Unit_Price]]*Table1[[#This Row],[Quantity]]</f>
        <v>600</v>
      </c>
    </row>
    <row r="239" spans="1:15" x14ac:dyDescent="0.3">
      <c r="A239" t="s">
        <v>1546</v>
      </c>
      <c r="B239" t="s">
        <v>1547</v>
      </c>
      <c r="C239" t="s">
        <v>577</v>
      </c>
      <c r="D239" t="s">
        <v>1068</v>
      </c>
      <c r="E239">
        <v>3</v>
      </c>
      <c r="F239">
        <f>_xlfn.XLOOKUP(Table1[[#This Row],[ProductID]],Products!A:A,Products!D:D,,0)</f>
        <v>180</v>
      </c>
      <c r="I239">
        <v>449</v>
      </c>
      <c r="J239">
        <v>404</v>
      </c>
      <c r="K239" t="s">
        <v>1107</v>
      </c>
      <c r="L239">
        <v>1212</v>
      </c>
      <c r="M239" t="s">
        <v>1098</v>
      </c>
      <c r="N239" t="s">
        <v>1099</v>
      </c>
      <c r="O239">
        <f>Table1[[#This Row],[Unit_Price]]*Table1[[#This Row],[Quantity]]</f>
        <v>540</v>
      </c>
    </row>
    <row r="240" spans="1:15" x14ac:dyDescent="0.3">
      <c r="A240" t="s">
        <v>1548</v>
      </c>
      <c r="B240" t="s">
        <v>1549</v>
      </c>
      <c r="C240" t="s">
        <v>983</v>
      </c>
      <c r="D240" t="s">
        <v>1080</v>
      </c>
      <c r="E240">
        <v>2</v>
      </c>
      <c r="F240">
        <f>_xlfn.XLOOKUP(Table1[[#This Row],[ProductID]],Products!A:A,Products!D:D,,0)</f>
        <v>45</v>
      </c>
      <c r="I240">
        <v>249</v>
      </c>
      <c r="J240">
        <v>199</v>
      </c>
      <c r="K240" t="s">
        <v>1097</v>
      </c>
      <c r="L240">
        <v>398</v>
      </c>
      <c r="M240" t="s">
        <v>1098</v>
      </c>
      <c r="N240" t="s">
        <v>1099</v>
      </c>
      <c r="O240">
        <f>Table1[[#This Row],[Unit_Price]]*Table1[[#This Row],[Quantity]]</f>
        <v>90</v>
      </c>
    </row>
    <row r="241" spans="1:15" x14ac:dyDescent="0.3">
      <c r="A241" t="s">
        <v>1550</v>
      </c>
      <c r="B241" t="s">
        <v>1551</v>
      </c>
      <c r="C241" t="s">
        <v>130</v>
      </c>
      <c r="D241" t="s">
        <v>1051</v>
      </c>
      <c r="E241">
        <v>1</v>
      </c>
      <c r="F241">
        <f>_xlfn.XLOOKUP(Table1[[#This Row],[ProductID]],Products!A:A,Products!D:D,,0)</f>
        <v>150</v>
      </c>
      <c r="I241">
        <v>499</v>
      </c>
      <c r="J241">
        <v>499</v>
      </c>
      <c r="K241" t="s">
        <v>1102</v>
      </c>
      <c r="L241">
        <v>499</v>
      </c>
      <c r="M241" t="s">
        <v>1098</v>
      </c>
      <c r="N241" t="s">
        <v>1099</v>
      </c>
      <c r="O241">
        <f>Table1[[#This Row],[Unit_Price]]*Table1[[#This Row],[Quantity]]</f>
        <v>150</v>
      </c>
    </row>
    <row r="242" spans="1:15" x14ac:dyDescent="0.3">
      <c r="A242" t="s">
        <v>1552</v>
      </c>
      <c r="B242" t="s">
        <v>1553</v>
      </c>
      <c r="C242" t="s">
        <v>367</v>
      </c>
      <c r="D242" t="s">
        <v>1073</v>
      </c>
      <c r="E242">
        <v>1</v>
      </c>
      <c r="F242">
        <f>_xlfn.XLOOKUP(Table1[[#This Row],[ProductID]],Products!A:A,Products!D:D,,0)</f>
        <v>100</v>
      </c>
      <c r="I242">
        <v>349</v>
      </c>
      <c r="J242">
        <v>349</v>
      </c>
      <c r="K242" t="s">
        <v>1102</v>
      </c>
      <c r="L242">
        <v>349</v>
      </c>
      <c r="M242" t="s">
        <v>1098</v>
      </c>
      <c r="N242" t="s">
        <v>1099</v>
      </c>
      <c r="O242">
        <f>Table1[[#This Row],[Unit_Price]]*Table1[[#This Row],[Quantity]]</f>
        <v>100</v>
      </c>
    </row>
    <row r="243" spans="1:15" x14ac:dyDescent="0.3">
      <c r="A243" t="s">
        <v>1554</v>
      </c>
      <c r="B243" t="s">
        <v>1555</v>
      </c>
      <c r="C243" t="s">
        <v>425</v>
      </c>
      <c r="D243" t="s">
        <v>1064</v>
      </c>
      <c r="E243">
        <v>3</v>
      </c>
      <c r="F243">
        <f>_xlfn.XLOOKUP(Table1[[#This Row],[ProductID]],Products!A:A,Products!D:D,,0)</f>
        <v>160</v>
      </c>
      <c r="I243">
        <v>699</v>
      </c>
      <c r="J243">
        <v>629</v>
      </c>
      <c r="K243" t="s">
        <v>1107</v>
      </c>
      <c r="L243">
        <v>1887</v>
      </c>
      <c r="M243" t="s">
        <v>1093</v>
      </c>
      <c r="N243" t="s">
        <v>1099</v>
      </c>
      <c r="O243">
        <f>Table1[[#This Row],[Unit_Price]]*Table1[[#This Row],[Quantity]]</f>
        <v>480</v>
      </c>
    </row>
    <row r="244" spans="1:15" x14ac:dyDescent="0.3">
      <c r="A244" t="s">
        <v>1556</v>
      </c>
      <c r="B244" t="s">
        <v>1230</v>
      </c>
      <c r="C244" t="s">
        <v>445</v>
      </c>
      <c r="D244" t="s">
        <v>1051</v>
      </c>
      <c r="E244">
        <v>1</v>
      </c>
      <c r="F244">
        <f>_xlfn.XLOOKUP(Table1[[#This Row],[ProductID]],Products!A:A,Products!D:D,,0)</f>
        <v>150</v>
      </c>
      <c r="I244">
        <v>499</v>
      </c>
      <c r="J244">
        <v>424</v>
      </c>
      <c r="K244" t="s">
        <v>1092</v>
      </c>
      <c r="L244">
        <v>424</v>
      </c>
      <c r="M244" t="s">
        <v>1098</v>
      </c>
      <c r="N244" t="s">
        <v>1099</v>
      </c>
      <c r="O244">
        <f>Table1[[#This Row],[Unit_Price]]*Table1[[#This Row],[Quantity]]</f>
        <v>150</v>
      </c>
    </row>
    <row r="245" spans="1:15" x14ac:dyDescent="0.3">
      <c r="A245" t="s">
        <v>1557</v>
      </c>
      <c r="B245" t="s">
        <v>1558</v>
      </c>
      <c r="C245" t="s">
        <v>447</v>
      </c>
      <c r="D245" t="s">
        <v>1048</v>
      </c>
      <c r="E245">
        <v>3</v>
      </c>
      <c r="F245">
        <f>_xlfn.XLOOKUP(Table1[[#This Row],[ProductID]],Products!A:A,Products!D:D,,0)</f>
        <v>120</v>
      </c>
      <c r="I245">
        <v>599</v>
      </c>
      <c r="J245">
        <v>479</v>
      </c>
      <c r="K245" t="s">
        <v>1097</v>
      </c>
      <c r="L245">
        <v>1437</v>
      </c>
      <c r="M245" t="s">
        <v>1098</v>
      </c>
      <c r="N245" t="s">
        <v>1099</v>
      </c>
      <c r="O245">
        <f>Table1[[#This Row],[Unit_Price]]*Table1[[#This Row],[Quantity]]</f>
        <v>360</v>
      </c>
    </row>
    <row r="246" spans="1:15" x14ac:dyDescent="0.3">
      <c r="A246" t="s">
        <v>1559</v>
      </c>
      <c r="B246" t="s">
        <v>1186</v>
      </c>
      <c r="C246" t="s">
        <v>547</v>
      </c>
      <c r="D246" t="s">
        <v>1057</v>
      </c>
      <c r="E246">
        <v>2</v>
      </c>
      <c r="F246">
        <f>_xlfn.XLOOKUP(Table1[[#This Row],[ProductID]],Products!A:A,Products!D:D,,0)</f>
        <v>130</v>
      </c>
      <c r="I246">
        <v>549</v>
      </c>
      <c r="J246">
        <v>549</v>
      </c>
      <c r="K246" t="s">
        <v>1102</v>
      </c>
      <c r="L246">
        <v>1098</v>
      </c>
      <c r="M246" t="s">
        <v>1098</v>
      </c>
      <c r="N246" t="s">
        <v>1099</v>
      </c>
      <c r="O246">
        <f>Table1[[#This Row],[Unit_Price]]*Table1[[#This Row],[Quantity]]</f>
        <v>260</v>
      </c>
    </row>
    <row r="247" spans="1:15" x14ac:dyDescent="0.3">
      <c r="A247" t="s">
        <v>1560</v>
      </c>
      <c r="B247" t="s">
        <v>1561</v>
      </c>
      <c r="C247" t="s">
        <v>635</v>
      </c>
      <c r="D247" t="s">
        <v>1078</v>
      </c>
      <c r="E247">
        <v>1</v>
      </c>
      <c r="F247">
        <f>_xlfn.XLOOKUP(Table1[[#This Row],[ProductID]],Products!A:A,Products!D:D,,0)</f>
        <v>80</v>
      </c>
      <c r="I247">
        <v>499</v>
      </c>
      <c r="J247">
        <v>499</v>
      </c>
      <c r="K247" t="s">
        <v>1102</v>
      </c>
      <c r="L247">
        <v>499</v>
      </c>
      <c r="M247" t="s">
        <v>1093</v>
      </c>
      <c r="N247" t="s">
        <v>1099</v>
      </c>
      <c r="O247">
        <f>Table1[[#This Row],[Unit_Price]]*Table1[[#This Row],[Quantity]]</f>
        <v>80</v>
      </c>
    </row>
    <row r="248" spans="1:15" x14ac:dyDescent="0.3">
      <c r="A248" t="s">
        <v>1562</v>
      </c>
      <c r="B248" t="s">
        <v>1563</v>
      </c>
      <c r="C248" t="s">
        <v>699</v>
      </c>
      <c r="D248" t="s">
        <v>1073</v>
      </c>
      <c r="E248">
        <v>1</v>
      </c>
      <c r="F248">
        <f>_xlfn.XLOOKUP(Table1[[#This Row],[ProductID]],Products!A:A,Products!D:D,,0)</f>
        <v>100</v>
      </c>
      <c r="I248">
        <v>349</v>
      </c>
      <c r="J248">
        <v>349</v>
      </c>
      <c r="K248" t="s">
        <v>1102</v>
      </c>
      <c r="L248">
        <v>349</v>
      </c>
      <c r="M248" t="s">
        <v>1098</v>
      </c>
      <c r="N248" t="s">
        <v>1099</v>
      </c>
      <c r="O248">
        <f>Table1[[#This Row],[Unit_Price]]*Table1[[#This Row],[Quantity]]</f>
        <v>100</v>
      </c>
    </row>
    <row r="249" spans="1:15" x14ac:dyDescent="0.3">
      <c r="A249" t="s">
        <v>1564</v>
      </c>
      <c r="B249" t="s">
        <v>1565</v>
      </c>
      <c r="C249" t="s">
        <v>891</v>
      </c>
      <c r="D249" t="s">
        <v>1059</v>
      </c>
      <c r="E249">
        <v>4</v>
      </c>
      <c r="F249">
        <f>_xlfn.XLOOKUP(Table1[[#This Row],[ProductID]],Products!A:A,Products!D:D,,0)</f>
        <v>110</v>
      </c>
      <c r="I249">
        <v>399</v>
      </c>
      <c r="J249">
        <v>319</v>
      </c>
      <c r="K249" t="s">
        <v>1097</v>
      </c>
      <c r="L249">
        <v>1276</v>
      </c>
      <c r="M249" t="s">
        <v>1093</v>
      </c>
      <c r="N249" t="s">
        <v>1099</v>
      </c>
      <c r="O249">
        <f>Table1[[#This Row],[Unit_Price]]*Table1[[#This Row],[Quantity]]</f>
        <v>440</v>
      </c>
    </row>
    <row r="250" spans="1:15" x14ac:dyDescent="0.3">
      <c r="A250" t="s">
        <v>1566</v>
      </c>
      <c r="B250" t="s">
        <v>1268</v>
      </c>
      <c r="C250" t="s">
        <v>579</v>
      </c>
      <c r="D250" t="s">
        <v>1053</v>
      </c>
      <c r="E250">
        <v>1</v>
      </c>
      <c r="F250">
        <f>_xlfn.XLOOKUP(Table1[[#This Row],[ProductID]],Products!A:A,Products!D:D,,0)</f>
        <v>200</v>
      </c>
      <c r="I250">
        <v>899</v>
      </c>
      <c r="J250">
        <v>899</v>
      </c>
      <c r="K250" t="s">
        <v>1102</v>
      </c>
      <c r="L250">
        <v>899</v>
      </c>
      <c r="M250" t="s">
        <v>1093</v>
      </c>
      <c r="N250" t="s">
        <v>1094</v>
      </c>
      <c r="O250">
        <f>Table1[[#This Row],[Unit_Price]]*Table1[[#This Row],[Quantity]]</f>
        <v>200</v>
      </c>
    </row>
    <row r="251" spans="1:15" x14ac:dyDescent="0.3">
      <c r="A251" t="s">
        <v>1567</v>
      </c>
      <c r="B251" t="s">
        <v>1568</v>
      </c>
      <c r="C251" t="s">
        <v>541</v>
      </c>
      <c r="D251" t="s">
        <v>1062</v>
      </c>
      <c r="E251">
        <v>1</v>
      </c>
      <c r="F251">
        <f>_xlfn.XLOOKUP(Table1[[#This Row],[ProductID]],Products!A:A,Products!D:D,,0)</f>
        <v>95</v>
      </c>
      <c r="I251">
        <v>349</v>
      </c>
      <c r="J251">
        <v>349</v>
      </c>
      <c r="K251" t="s">
        <v>1102</v>
      </c>
      <c r="L251">
        <v>349</v>
      </c>
      <c r="M251" t="s">
        <v>1093</v>
      </c>
      <c r="N251" t="s">
        <v>1094</v>
      </c>
      <c r="O251">
        <f>Table1[[#This Row],[Unit_Price]]*Table1[[#This Row],[Quantity]]</f>
        <v>95</v>
      </c>
    </row>
    <row r="252" spans="1:15" x14ac:dyDescent="0.3">
      <c r="A252" t="s">
        <v>1569</v>
      </c>
      <c r="B252" t="s">
        <v>1570</v>
      </c>
      <c r="C252" t="s">
        <v>943</v>
      </c>
      <c r="D252" t="s">
        <v>1075</v>
      </c>
      <c r="E252">
        <v>1</v>
      </c>
      <c r="F252">
        <f>_xlfn.XLOOKUP(Table1[[#This Row],[ProductID]],Products!A:A,Products!D:D,,0)</f>
        <v>80</v>
      </c>
      <c r="I252">
        <v>499</v>
      </c>
      <c r="J252">
        <v>499</v>
      </c>
      <c r="K252" t="s">
        <v>1102</v>
      </c>
      <c r="L252">
        <v>499</v>
      </c>
      <c r="M252" t="s">
        <v>1126</v>
      </c>
      <c r="N252" t="s">
        <v>1099</v>
      </c>
      <c r="O252">
        <f>Table1[[#This Row],[Unit_Price]]*Table1[[#This Row],[Quantity]]</f>
        <v>80</v>
      </c>
    </row>
    <row r="253" spans="1:15" x14ac:dyDescent="0.3">
      <c r="A253" t="s">
        <v>1571</v>
      </c>
      <c r="B253" t="s">
        <v>1572</v>
      </c>
      <c r="C253" t="s">
        <v>545</v>
      </c>
      <c r="D253" t="s">
        <v>1053</v>
      </c>
      <c r="E253">
        <v>1</v>
      </c>
      <c r="F253">
        <f>_xlfn.XLOOKUP(Table1[[#This Row],[ProductID]],Products!A:A,Products!D:D,,0)</f>
        <v>200</v>
      </c>
      <c r="I253">
        <v>899</v>
      </c>
      <c r="J253">
        <v>764</v>
      </c>
      <c r="K253" t="s">
        <v>1092</v>
      </c>
      <c r="L253">
        <v>764</v>
      </c>
      <c r="M253" t="s">
        <v>1098</v>
      </c>
      <c r="N253" t="s">
        <v>1099</v>
      </c>
      <c r="O253">
        <f>Table1[[#This Row],[Unit_Price]]*Table1[[#This Row],[Quantity]]</f>
        <v>200</v>
      </c>
    </row>
    <row r="254" spans="1:15" x14ac:dyDescent="0.3">
      <c r="A254" t="s">
        <v>1573</v>
      </c>
      <c r="B254" t="s">
        <v>1343</v>
      </c>
      <c r="C254" t="s">
        <v>701</v>
      </c>
      <c r="D254" t="s">
        <v>1078</v>
      </c>
      <c r="E254">
        <v>1</v>
      </c>
      <c r="F254">
        <f>_xlfn.XLOOKUP(Table1[[#This Row],[ProductID]],Products!A:A,Products!D:D,,0)</f>
        <v>80</v>
      </c>
      <c r="I254">
        <v>499</v>
      </c>
      <c r="J254">
        <v>499</v>
      </c>
      <c r="K254" t="s">
        <v>1102</v>
      </c>
      <c r="L254">
        <v>499</v>
      </c>
      <c r="M254" t="s">
        <v>1093</v>
      </c>
      <c r="N254" t="s">
        <v>1094</v>
      </c>
      <c r="O254">
        <f>Table1[[#This Row],[Unit_Price]]*Table1[[#This Row],[Quantity]]</f>
        <v>80</v>
      </c>
    </row>
    <row r="255" spans="1:15" x14ac:dyDescent="0.3">
      <c r="A255" t="s">
        <v>1574</v>
      </c>
      <c r="B255" t="s">
        <v>1575</v>
      </c>
      <c r="C255" t="s">
        <v>815</v>
      </c>
      <c r="D255" t="s">
        <v>1068</v>
      </c>
      <c r="E255">
        <v>1</v>
      </c>
      <c r="F255">
        <f>_xlfn.XLOOKUP(Table1[[#This Row],[ProductID]],Products!A:A,Products!D:D,,0)</f>
        <v>180</v>
      </c>
      <c r="I255">
        <v>449</v>
      </c>
      <c r="J255">
        <v>359</v>
      </c>
      <c r="K255" t="s">
        <v>1097</v>
      </c>
      <c r="L255">
        <v>359</v>
      </c>
      <c r="M255" t="s">
        <v>1093</v>
      </c>
      <c r="N255" t="s">
        <v>1099</v>
      </c>
      <c r="O255">
        <f>Table1[[#This Row],[Unit_Price]]*Table1[[#This Row],[Quantity]]</f>
        <v>180</v>
      </c>
    </row>
    <row r="256" spans="1:15" x14ac:dyDescent="0.3">
      <c r="A256" t="s">
        <v>1576</v>
      </c>
      <c r="B256" t="s">
        <v>1341</v>
      </c>
      <c r="C256" t="s">
        <v>403</v>
      </c>
      <c r="D256" t="s">
        <v>1068</v>
      </c>
      <c r="E256">
        <v>1</v>
      </c>
      <c r="F256">
        <f>_xlfn.XLOOKUP(Table1[[#This Row],[ProductID]],Products!A:A,Products!D:D,,0)</f>
        <v>180</v>
      </c>
      <c r="I256">
        <v>449</v>
      </c>
      <c r="J256">
        <v>404</v>
      </c>
      <c r="K256" t="s">
        <v>1107</v>
      </c>
      <c r="L256">
        <v>404</v>
      </c>
      <c r="M256" t="s">
        <v>1093</v>
      </c>
      <c r="N256" t="s">
        <v>1094</v>
      </c>
      <c r="O256">
        <f>Table1[[#This Row],[Unit_Price]]*Table1[[#This Row],[Quantity]]</f>
        <v>180</v>
      </c>
    </row>
    <row r="257" spans="1:15" x14ac:dyDescent="0.3">
      <c r="A257" t="s">
        <v>1577</v>
      </c>
      <c r="B257" t="s">
        <v>1578</v>
      </c>
      <c r="C257" t="s">
        <v>379</v>
      </c>
      <c r="D257" t="s">
        <v>1066</v>
      </c>
      <c r="E257">
        <v>1</v>
      </c>
      <c r="F257">
        <f>_xlfn.XLOOKUP(Table1[[#This Row],[ProductID]],Products!A:A,Products!D:D,,0)</f>
        <v>140</v>
      </c>
      <c r="I257">
        <v>499</v>
      </c>
      <c r="J257">
        <v>499</v>
      </c>
      <c r="K257" t="s">
        <v>1102</v>
      </c>
      <c r="L257">
        <v>499</v>
      </c>
      <c r="M257" t="s">
        <v>1098</v>
      </c>
      <c r="N257" t="s">
        <v>1099</v>
      </c>
      <c r="O257">
        <f>Table1[[#This Row],[Unit_Price]]*Table1[[#This Row],[Quantity]]</f>
        <v>140</v>
      </c>
    </row>
    <row r="258" spans="1:15" x14ac:dyDescent="0.3">
      <c r="A258" t="s">
        <v>1579</v>
      </c>
      <c r="B258" t="s">
        <v>1449</v>
      </c>
      <c r="C258" t="s">
        <v>841</v>
      </c>
      <c r="D258" t="s">
        <v>1053</v>
      </c>
      <c r="E258">
        <v>2</v>
      </c>
      <c r="F258">
        <f>_xlfn.XLOOKUP(Table1[[#This Row],[ProductID]],Products!A:A,Products!D:D,,0)</f>
        <v>200</v>
      </c>
      <c r="I258">
        <v>899</v>
      </c>
      <c r="J258">
        <v>809</v>
      </c>
      <c r="K258" t="s">
        <v>1107</v>
      </c>
      <c r="L258">
        <v>1618</v>
      </c>
      <c r="M258" t="s">
        <v>1098</v>
      </c>
      <c r="N258" t="s">
        <v>1099</v>
      </c>
      <c r="O258">
        <f>Table1[[#This Row],[Unit_Price]]*Table1[[#This Row],[Quantity]]</f>
        <v>400</v>
      </c>
    </row>
    <row r="259" spans="1:15" x14ac:dyDescent="0.3">
      <c r="A259" t="s">
        <v>1580</v>
      </c>
      <c r="B259" t="s">
        <v>1268</v>
      </c>
      <c r="C259" t="s">
        <v>667</v>
      </c>
      <c r="D259" t="s">
        <v>1066</v>
      </c>
      <c r="E259">
        <v>1</v>
      </c>
      <c r="F259">
        <f>_xlfn.XLOOKUP(Table1[[#This Row],[ProductID]],Products!A:A,Products!D:D,,0)</f>
        <v>140</v>
      </c>
      <c r="I259">
        <v>499</v>
      </c>
      <c r="J259">
        <v>424</v>
      </c>
      <c r="K259" t="s">
        <v>1092</v>
      </c>
      <c r="L259">
        <v>424</v>
      </c>
      <c r="M259" t="s">
        <v>1093</v>
      </c>
      <c r="N259" t="s">
        <v>1099</v>
      </c>
      <c r="O259">
        <f>Table1[[#This Row],[Unit_Price]]*Table1[[#This Row],[Quantity]]</f>
        <v>140</v>
      </c>
    </row>
    <row r="260" spans="1:15" x14ac:dyDescent="0.3">
      <c r="A260" t="s">
        <v>1581</v>
      </c>
      <c r="B260" t="s">
        <v>1582</v>
      </c>
      <c r="C260" t="s">
        <v>823</v>
      </c>
      <c r="D260" t="s">
        <v>1073</v>
      </c>
      <c r="E260">
        <v>1</v>
      </c>
      <c r="F260">
        <f>_xlfn.XLOOKUP(Table1[[#This Row],[ProductID]],Products!A:A,Products!D:D,,0)</f>
        <v>100</v>
      </c>
      <c r="I260">
        <v>349</v>
      </c>
      <c r="J260">
        <v>349</v>
      </c>
      <c r="K260" t="s">
        <v>1102</v>
      </c>
      <c r="L260">
        <v>349</v>
      </c>
      <c r="M260" t="s">
        <v>1098</v>
      </c>
      <c r="N260" t="s">
        <v>1099</v>
      </c>
      <c r="O260">
        <f>Table1[[#This Row],[Unit_Price]]*Table1[[#This Row],[Quantity]]</f>
        <v>100</v>
      </c>
    </row>
    <row r="261" spans="1:15" x14ac:dyDescent="0.3">
      <c r="A261" t="s">
        <v>1583</v>
      </c>
      <c r="B261" t="s">
        <v>1186</v>
      </c>
      <c r="C261" t="s">
        <v>44</v>
      </c>
      <c r="D261" t="s">
        <v>1068</v>
      </c>
      <c r="E261">
        <v>1</v>
      </c>
      <c r="F261">
        <f>_xlfn.XLOOKUP(Table1[[#This Row],[ProductID]],Products!A:A,Products!D:D,,0)</f>
        <v>180</v>
      </c>
      <c r="I261">
        <v>449</v>
      </c>
      <c r="J261">
        <v>359</v>
      </c>
      <c r="K261" t="s">
        <v>1097</v>
      </c>
      <c r="L261">
        <v>359</v>
      </c>
      <c r="M261" t="s">
        <v>1093</v>
      </c>
      <c r="N261" t="s">
        <v>1123</v>
      </c>
      <c r="O261">
        <f>Table1[[#This Row],[Unit_Price]]*Table1[[#This Row],[Quantity]]</f>
        <v>180</v>
      </c>
    </row>
    <row r="262" spans="1:15" x14ac:dyDescent="0.3">
      <c r="A262" t="s">
        <v>1584</v>
      </c>
      <c r="B262" t="s">
        <v>1480</v>
      </c>
      <c r="C262" t="s">
        <v>461</v>
      </c>
      <c r="D262" t="s">
        <v>1053</v>
      </c>
      <c r="E262">
        <v>1</v>
      </c>
      <c r="F262">
        <f>_xlfn.XLOOKUP(Table1[[#This Row],[ProductID]],Products!A:A,Products!D:D,,0)</f>
        <v>200</v>
      </c>
      <c r="I262">
        <v>899</v>
      </c>
      <c r="J262">
        <v>899</v>
      </c>
      <c r="K262" t="s">
        <v>1102</v>
      </c>
      <c r="L262">
        <v>899</v>
      </c>
      <c r="M262" t="s">
        <v>1098</v>
      </c>
      <c r="N262" t="s">
        <v>1099</v>
      </c>
      <c r="O262">
        <f>Table1[[#This Row],[Unit_Price]]*Table1[[#This Row],[Quantity]]</f>
        <v>200</v>
      </c>
    </row>
    <row r="263" spans="1:15" x14ac:dyDescent="0.3">
      <c r="A263" t="s">
        <v>1585</v>
      </c>
      <c r="B263" t="s">
        <v>1341</v>
      </c>
      <c r="C263" t="s">
        <v>903</v>
      </c>
      <c r="D263" t="s">
        <v>1057</v>
      </c>
      <c r="E263">
        <v>1</v>
      </c>
      <c r="F263">
        <f>_xlfn.XLOOKUP(Table1[[#This Row],[ProductID]],Products!A:A,Products!D:D,,0)</f>
        <v>130</v>
      </c>
      <c r="I263">
        <v>549</v>
      </c>
      <c r="J263">
        <v>467</v>
      </c>
      <c r="K263" t="s">
        <v>1092</v>
      </c>
      <c r="L263">
        <v>467</v>
      </c>
      <c r="M263" t="s">
        <v>1093</v>
      </c>
      <c r="N263" t="s">
        <v>1094</v>
      </c>
      <c r="O263">
        <f>Table1[[#This Row],[Unit_Price]]*Table1[[#This Row],[Quantity]]</f>
        <v>130</v>
      </c>
    </row>
    <row r="264" spans="1:15" x14ac:dyDescent="0.3">
      <c r="A264" t="s">
        <v>1586</v>
      </c>
      <c r="B264" t="s">
        <v>1213</v>
      </c>
      <c r="C264" t="s">
        <v>341</v>
      </c>
      <c r="D264" t="s">
        <v>1053</v>
      </c>
      <c r="E264">
        <v>1</v>
      </c>
      <c r="F264">
        <f>_xlfn.XLOOKUP(Table1[[#This Row],[ProductID]],Products!A:A,Products!D:D,,0)</f>
        <v>200</v>
      </c>
      <c r="I264">
        <v>899</v>
      </c>
      <c r="J264">
        <v>809</v>
      </c>
      <c r="K264" t="s">
        <v>1107</v>
      </c>
      <c r="L264">
        <v>809</v>
      </c>
      <c r="M264" t="s">
        <v>1093</v>
      </c>
      <c r="N264" t="s">
        <v>1123</v>
      </c>
      <c r="O264">
        <f>Table1[[#This Row],[Unit_Price]]*Table1[[#This Row],[Quantity]]</f>
        <v>200</v>
      </c>
    </row>
    <row r="265" spans="1:15" x14ac:dyDescent="0.3">
      <c r="A265" t="s">
        <v>1587</v>
      </c>
      <c r="B265" t="s">
        <v>1164</v>
      </c>
      <c r="C265" t="s">
        <v>881</v>
      </c>
      <c r="D265" t="s">
        <v>1066</v>
      </c>
      <c r="E265">
        <v>1</v>
      </c>
      <c r="F265">
        <f>_xlfn.XLOOKUP(Table1[[#This Row],[ProductID]],Products!A:A,Products!D:D,,0)</f>
        <v>140</v>
      </c>
      <c r="I265">
        <v>499</v>
      </c>
      <c r="J265">
        <v>499</v>
      </c>
      <c r="K265" t="s">
        <v>1102</v>
      </c>
      <c r="L265">
        <v>499</v>
      </c>
      <c r="M265" t="s">
        <v>1098</v>
      </c>
      <c r="N265" t="s">
        <v>1099</v>
      </c>
      <c r="O265">
        <f>Table1[[#This Row],[Unit_Price]]*Table1[[#This Row],[Quantity]]</f>
        <v>140</v>
      </c>
    </row>
    <row r="266" spans="1:15" x14ac:dyDescent="0.3">
      <c r="A266" t="s">
        <v>1588</v>
      </c>
      <c r="B266" t="s">
        <v>1589</v>
      </c>
      <c r="C266" t="s">
        <v>737</v>
      </c>
      <c r="D266" t="s">
        <v>1062</v>
      </c>
      <c r="E266">
        <v>2</v>
      </c>
      <c r="F266">
        <f>_xlfn.XLOOKUP(Table1[[#This Row],[ProductID]],Products!A:A,Products!D:D,,0)</f>
        <v>95</v>
      </c>
      <c r="I266">
        <v>349</v>
      </c>
      <c r="J266">
        <v>314</v>
      </c>
      <c r="K266" t="s">
        <v>1107</v>
      </c>
      <c r="L266">
        <v>628</v>
      </c>
      <c r="M266" t="s">
        <v>1093</v>
      </c>
      <c r="N266" t="s">
        <v>1094</v>
      </c>
      <c r="O266">
        <f>Table1[[#This Row],[Unit_Price]]*Table1[[#This Row],[Quantity]]</f>
        <v>190</v>
      </c>
    </row>
    <row r="267" spans="1:15" x14ac:dyDescent="0.3">
      <c r="A267" t="s">
        <v>1590</v>
      </c>
      <c r="B267" t="s">
        <v>1591</v>
      </c>
      <c r="C267" t="s">
        <v>517</v>
      </c>
      <c r="D267" t="s">
        <v>1073</v>
      </c>
      <c r="E267">
        <v>3</v>
      </c>
      <c r="F267">
        <f>_xlfn.XLOOKUP(Table1[[#This Row],[ProductID]],Products!A:A,Products!D:D,,0)</f>
        <v>100</v>
      </c>
      <c r="I267">
        <v>349</v>
      </c>
      <c r="J267">
        <v>297</v>
      </c>
      <c r="K267" t="s">
        <v>1092</v>
      </c>
      <c r="L267">
        <v>891</v>
      </c>
      <c r="M267" t="s">
        <v>1093</v>
      </c>
      <c r="N267" t="s">
        <v>1099</v>
      </c>
      <c r="O267">
        <f>Table1[[#This Row],[Unit_Price]]*Table1[[#This Row],[Quantity]]</f>
        <v>300</v>
      </c>
    </row>
    <row r="268" spans="1:15" x14ac:dyDescent="0.3">
      <c r="A268" t="s">
        <v>1592</v>
      </c>
      <c r="B268" t="s">
        <v>1455</v>
      </c>
      <c r="C268" t="s">
        <v>497</v>
      </c>
      <c r="D268" t="s">
        <v>1048</v>
      </c>
      <c r="E268">
        <v>3</v>
      </c>
      <c r="F268">
        <f>_xlfn.XLOOKUP(Table1[[#This Row],[ProductID]],Products!A:A,Products!D:D,,0)</f>
        <v>120</v>
      </c>
      <c r="I268">
        <v>599</v>
      </c>
      <c r="J268">
        <v>509</v>
      </c>
      <c r="K268" t="s">
        <v>1092</v>
      </c>
      <c r="L268">
        <v>1527</v>
      </c>
      <c r="M268" t="s">
        <v>1126</v>
      </c>
      <c r="N268" t="s">
        <v>1099</v>
      </c>
      <c r="O268">
        <f>Table1[[#This Row],[Unit_Price]]*Table1[[#This Row],[Quantity]]</f>
        <v>360</v>
      </c>
    </row>
    <row r="269" spans="1:15" x14ac:dyDescent="0.3">
      <c r="A269" t="s">
        <v>1593</v>
      </c>
      <c r="B269" t="s">
        <v>1377</v>
      </c>
      <c r="C269" t="s">
        <v>671</v>
      </c>
      <c r="D269" t="s">
        <v>1064</v>
      </c>
      <c r="E269">
        <v>3</v>
      </c>
      <c r="F269">
        <f>_xlfn.XLOOKUP(Table1[[#This Row],[ProductID]],Products!A:A,Products!D:D,,0)</f>
        <v>160</v>
      </c>
      <c r="I269">
        <v>699</v>
      </c>
      <c r="J269">
        <v>559</v>
      </c>
      <c r="K269" t="s">
        <v>1097</v>
      </c>
      <c r="L269">
        <v>1677</v>
      </c>
      <c r="M269" t="s">
        <v>1093</v>
      </c>
      <c r="N269" t="s">
        <v>1099</v>
      </c>
      <c r="O269">
        <f>Table1[[#This Row],[Unit_Price]]*Table1[[#This Row],[Quantity]]</f>
        <v>480</v>
      </c>
    </row>
    <row r="270" spans="1:15" x14ac:dyDescent="0.3">
      <c r="A270" t="s">
        <v>1594</v>
      </c>
      <c r="B270" t="s">
        <v>1595</v>
      </c>
      <c r="C270" t="s">
        <v>669</v>
      </c>
      <c r="D270" t="s">
        <v>1071</v>
      </c>
      <c r="E270">
        <v>1</v>
      </c>
      <c r="F270">
        <f>_xlfn.XLOOKUP(Table1[[#This Row],[ProductID]],Products!A:A,Products!D:D,,0)</f>
        <v>125</v>
      </c>
      <c r="I270">
        <v>399</v>
      </c>
      <c r="J270">
        <v>319</v>
      </c>
      <c r="K270" t="s">
        <v>1097</v>
      </c>
      <c r="L270">
        <v>319</v>
      </c>
      <c r="M270" t="s">
        <v>1098</v>
      </c>
      <c r="N270" t="s">
        <v>1099</v>
      </c>
      <c r="O270">
        <f>Table1[[#This Row],[Unit_Price]]*Table1[[#This Row],[Quantity]]</f>
        <v>125</v>
      </c>
    </row>
    <row r="271" spans="1:15" x14ac:dyDescent="0.3">
      <c r="A271" t="s">
        <v>1596</v>
      </c>
      <c r="B271" t="s">
        <v>1597</v>
      </c>
      <c r="C271" t="s">
        <v>291</v>
      </c>
      <c r="D271" t="s">
        <v>1059</v>
      </c>
      <c r="E271">
        <v>2</v>
      </c>
      <c r="F271">
        <f>_xlfn.XLOOKUP(Table1[[#This Row],[ProductID]],Products!A:A,Products!D:D,,0)</f>
        <v>110</v>
      </c>
      <c r="I271">
        <v>399</v>
      </c>
      <c r="J271">
        <v>359</v>
      </c>
      <c r="K271" t="s">
        <v>1107</v>
      </c>
      <c r="L271">
        <v>718</v>
      </c>
      <c r="M271" t="s">
        <v>1098</v>
      </c>
      <c r="N271" t="s">
        <v>1099</v>
      </c>
      <c r="O271">
        <f>Table1[[#This Row],[Unit_Price]]*Table1[[#This Row],[Quantity]]</f>
        <v>220</v>
      </c>
    </row>
    <row r="272" spans="1:15" x14ac:dyDescent="0.3">
      <c r="A272" t="s">
        <v>1598</v>
      </c>
      <c r="B272" t="s">
        <v>1347</v>
      </c>
      <c r="C272" t="s">
        <v>943</v>
      </c>
      <c r="D272" t="s">
        <v>1066</v>
      </c>
      <c r="E272">
        <v>1</v>
      </c>
      <c r="F272">
        <f>_xlfn.XLOOKUP(Table1[[#This Row],[ProductID]],Products!A:A,Products!D:D,,0)</f>
        <v>140</v>
      </c>
      <c r="I272">
        <v>499</v>
      </c>
      <c r="J272">
        <v>449</v>
      </c>
      <c r="K272" t="s">
        <v>1107</v>
      </c>
      <c r="L272">
        <v>449</v>
      </c>
      <c r="M272" t="s">
        <v>1098</v>
      </c>
      <c r="N272" t="s">
        <v>1099</v>
      </c>
      <c r="O272">
        <f>Table1[[#This Row],[Unit_Price]]*Table1[[#This Row],[Quantity]]</f>
        <v>140</v>
      </c>
    </row>
    <row r="273" spans="1:15" x14ac:dyDescent="0.3">
      <c r="A273" t="s">
        <v>1599</v>
      </c>
      <c r="B273" t="s">
        <v>1600</v>
      </c>
      <c r="C273" t="s">
        <v>845</v>
      </c>
      <c r="D273" t="s">
        <v>1073</v>
      </c>
      <c r="E273">
        <v>1</v>
      </c>
      <c r="F273">
        <f>_xlfn.XLOOKUP(Table1[[#This Row],[ProductID]],Products!A:A,Products!D:D,,0)</f>
        <v>100</v>
      </c>
      <c r="I273">
        <v>349</v>
      </c>
      <c r="J273">
        <v>314</v>
      </c>
      <c r="K273" t="s">
        <v>1107</v>
      </c>
      <c r="L273">
        <v>314</v>
      </c>
      <c r="M273" t="s">
        <v>1098</v>
      </c>
      <c r="N273" t="s">
        <v>1099</v>
      </c>
      <c r="O273">
        <f>Table1[[#This Row],[Unit_Price]]*Table1[[#This Row],[Quantity]]</f>
        <v>100</v>
      </c>
    </row>
    <row r="274" spans="1:15" x14ac:dyDescent="0.3">
      <c r="A274" t="s">
        <v>1601</v>
      </c>
      <c r="B274" t="s">
        <v>1602</v>
      </c>
      <c r="C274" t="s">
        <v>599</v>
      </c>
      <c r="D274" t="s">
        <v>1057</v>
      </c>
      <c r="E274">
        <v>1</v>
      </c>
      <c r="F274">
        <f>_xlfn.XLOOKUP(Table1[[#This Row],[ProductID]],Products!A:A,Products!D:D,,0)</f>
        <v>130</v>
      </c>
      <c r="I274">
        <v>549</v>
      </c>
      <c r="J274">
        <v>494</v>
      </c>
      <c r="K274" t="s">
        <v>1107</v>
      </c>
      <c r="L274">
        <v>494</v>
      </c>
      <c r="M274" t="s">
        <v>1098</v>
      </c>
      <c r="N274" t="s">
        <v>1099</v>
      </c>
      <c r="O274">
        <f>Table1[[#This Row],[Unit_Price]]*Table1[[#This Row],[Quantity]]</f>
        <v>130</v>
      </c>
    </row>
    <row r="275" spans="1:15" x14ac:dyDescent="0.3">
      <c r="A275" t="s">
        <v>1603</v>
      </c>
      <c r="B275" t="s">
        <v>1604</v>
      </c>
      <c r="C275" t="s">
        <v>723</v>
      </c>
      <c r="D275" t="s">
        <v>1073</v>
      </c>
      <c r="E275">
        <v>1</v>
      </c>
      <c r="F275">
        <f>_xlfn.XLOOKUP(Table1[[#This Row],[ProductID]],Products!A:A,Products!D:D,,0)</f>
        <v>100</v>
      </c>
      <c r="I275">
        <v>349</v>
      </c>
      <c r="J275">
        <v>349</v>
      </c>
      <c r="K275" t="s">
        <v>1102</v>
      </c>
      <c r="L275">
        <v>349</v>
      </c>
      <c r="M275" t="s">
        <v>1093</v>
      </c>
      <c r="N275" t="s">
        <v>1099</v>
      </c>
      <c r="O275">
        <f>Table1[[#This Row],[Unit_Price]]*Table1[[#This Row],[Quantity]]</f>
        <v>100</v>
      </c>
    </row>
    <row r="276" spans="1:15" x14ac:dyDescent="0.3">
      <c r="A276" t="s">
        <v>1605</v>
      </c>
      <c r="B276" t="s">
        <v>1606</v>
      </c>
      <c r="C276" t="s">
        <v>907</v>
      </c>
      <c r="D276" t="s">
        <v>1075</v>
      </c>
      <c r="E276">
        <v>2</v>
      </c>
      <c r="F276">
        <f>_xlfn.XLOOKUP(Table1[[#This Row],[ProductID]],Products!A:A,Products!D:D,,0)</f>
        <v>80</v>
      </c>
      <c r="I276">
        <v>499</v>
      </c>
      <c r="J276">
        <v>499</v>
      </c>
      <c r="K276" t="s">
        <v>1102</v>
      </c>
      <c r="L276">
        <v>998</v>
      </c>
      <c r="M276" t="s">
        <v>1118</v>
      </c>
      <c r="N276" t="s">
        <v>1123</v>
      </c>
      <c r="O276">
        <f>Table1[[#This Row],[Unit_Price]]*Table1[[#This Row],[Quantity]]</f>
        <v>160</v>
      </c>
    </row>
    <row r="277" spans="1:15" x14ac:dyDescent="0.3">
      <c r="A277" t="s">
        <v>1607</v>
      </c>
      <c r="B277" t="s">
        <v>1608</v>
      </c>
      <c r="C277" t="s">
        <v>485</v>
      </c>
      <c r="D277" t="s">
        <v>1057</v>
      </c>
      <c r="E277">
        <v>1</v>
      </c>
      <c r="F277">
        <f>_xlfn.XLOOKUP(Table1[[#This Row],[ProductID]],Products!A:A,Products!D:D,,0)</f>
        <v>130</v>
      </c>
      <c r="I277">
        <v>549</v>
      </c>
      <c r="J277">
        <v>549</v>
      </c>
      <c r="K277" t="s">
        <v>1102</v>
      </c>
      <c r="L277">
        <v>549</v>
      </c>
      <c r="M277" t="s">
        <v>1093</v>
      </c>
      <c r="N277" t="s">
        <v>1099</v>
      </c>
      <c r="O277">
        <f>Table1[[#This Row],[Unit_Price]]*Table1[[#This Row],[Quantity]]</f>
        <v>130</v>
      </c>
    </row>
    <row r="278" spans="1:15" x14ac:dyDescent="0.3">
      <c r="A278" t="s">
        <v>1609</v>
      </c>
      <c r="B278" t="s">
        <v>1610</v>
      </c>
      <c r="C278" t="s">
        <v>319</v>
      </c>
      <c r="D278" t="s">
        <v>1078</v>
      </c>
      <c r="E278">
        <v>3</v>
      </c>
      <c r="F278">
        <f>_xlfn.XLOOKUP(Table1[[#This Row],[ProductID]],Products!A:A,Products!D:D,,0)</f>
        <v>80</v>
      </c>
      <c r="I278">
        <v>499</v>
      </c>
      <c r="J278">
        <v>449</v>
      </c>
      <c r="K278" t="s">
        <v>1107</v>
      </c>
      <c r="L278">
        <v>1347</v>
      </c>
      <c r="M278" t="s">
        <v>1093</v>
      </c>
      <c r="N278" t="s">
        <v>1094</v>
      </c>
      <c r="O278">
        <f>Table1[[#This Row],[Unit_Price]]*Table1[[#This Row],[Quantity]]</f>
        <v>240</v>
      </c>
    </row>
    <row r="279" spans="1:15" x14ac:dyDescent="0.3">
      <c r="A279" t="s">
        <v>1611</v>
      </c>
      <c r="B279" t="s">
        <v>1612</v>
      </c>
      <c r="C279" t="s">
        <v>1021</v>
      </c>
      <c r="D279" t="s">
        <v>1048</v>
      </c>
      <c r="E279">
        <v>4</v>
      </c>
      <c r="F279">
        <f>_xlfn.XLOOKUP(Table1[[#This Row],[ProductID]],Products!A:A,Products!D:D,,0)</f>
        <v>120</v>
      </c>
      <c r="I279">
        <v>599</v>
      </c>
      <c r="J279">
        <v>599</v>
      </c>
      <c r="K279" t="s">
        <v>1102</v>
      </c>
      <c r="L279">
        <v>2396</v>
      </c>
      <c r="M279" t="s">
        <v>1126</v>
      </c>
      <c r="N279" t="s">
        <v>1099</v>
      </c>
      <c r="O279">
        <f>Table1[[#This Row],[Unit_Price]]*Table1[[#This Row],[Quantity]]</f>
        <v>480</v>
      </c>
    </row>
    <row r="280" spans="1:15" x14ac:dyDescent="0.3">
      <c r="A280" t="s">
        <v>1613</v>
      </c>
      <c r="B280" t="s">
        <v>1614</v>
      </c>
      <c r="C280" t="s">
        <v>495</v>
      </c>
      <c r="D280" t="s">
        <v>1059</v>
      </c>
      <c r="E280">
        <v>1</v>
      </c>
      <c r="F280">
        <f>_xlfn.XLOOKUP(Table1[[#This Row],[ProductID]],Products!A:A,Products!D:D,,0)</f>
        <v>110</v>
      </c>
      <c r="I280">
        <v>399</v>
      </c>
      <c r="J280">
        <v>339</v>
      </c>
      <c r="K280" t="s">
        <v>1092</v>
      </c>
      <c r="L280">
        <v>339</v>
      </c>
      <c r="M280" t="s">
        <v>1093</v>
      </c>
      <c r="N280" t="s">
        <v>1094</v>
      </c>
      <c r="O280">
        <f>Table1[[#This Row],[Unit_Price]]*Table1[[#This Row],[Quantity]]</f>
        <v>110</v>
      </c>
    </row>
    <row r="281" spans="1:15" x14ac:dyDescent="0.3">
      <c r="A281" t="s">
        <v>1615</v>
      </c>
      <c r="B281" t="s">
        <v>1616</v>
      </c>
      <c r="C281" t="s">
        <v>1031</v>
      </c>
      <c r="D281" t="s">
        <v>1071</v>
      </c>
      <c r="E281">
        <v>1</v>
      </c>
      <c r="F281">
        <f>_xlfn.XLOOKUP(Table1[[#This Row],[ProductID]],Products!A:A,Products!D:D,,0)</f>
        <v>125</v>
      </c>
      <c r="I281">
        <v>399</v>
      </c>
      <c r="J281">
        <v>319</v>
      </c>
      <c r="K281" t="s">
        <v>1097</v>
      </c>
      <c r="L281">
        <v>319</v>
      </c>
      <c r="M281" t="s">
        <v>1093</v>
      </c>
      <c r="N281" t="s">
        <v>1099</v>
      </c>
      <c r="O281">
        <f>Table1[[#This Row],[Unit_Price]]*Table1[[#This Row],[Quantity]]</f>
        <v>125</v>
      </c>
    </row>
    <row r="282" spans="1:15" x14ac:dyDescent="0.3">
      <c r="A282" t="s">
        <v>1617</v>
      </c>
      <c r="B282" t="s">
        <v>1156</v>
      </c>
      <c r="C282" t="s">
        <v>375</v>
      </c>
      <c r="D282" t="s">
        <v>1048</v>
      </c>
      <c r="E282">
        <v>1</v>
      </c>
      <c r="F282">
        <f>_xlfn.XLOOKUP(Table1[[#This Row],[ProductID]],Products!A:A,Products!D:D,,0)</f>
        <v>120</v>
      </c>
      <c r="I282">
        <v>599</v>
      </c>
      <c r="J282">
        <v>599</v>
      </c>
      <c r="K282" t="s">
        <v>1102</v>
      </c>
      <c r="L282">
        <v>599</v>
      </c>
      <c r="M282" t="s">
        <v>1098</v>
      </c>
      <c r="N282" t="s">
        <v>1099</v>
      </c>
      <c r="O282">
        <f>Table1[[#This Row],[Unit_Price]]*Table1[[#This Row],[Quantity]]</f>
        <v>120</v>
      </c>
    </row>
    <row r="283" spans="1:15" x14ac:dyDescent="0.3">
      <c r="A283" t="s">
        <v>1618</v>
      </c>
      <c r="B283" t="s">
        <v>1619</v>
      </c>
      <c r="C283" t="s">
        <v>697</v>
      </c>
      <c r="D283" t="s">
        <v>1053</v>
      </c>
      <c r="E283">
        <v>1</v>
      </c>
      <c r="F283">
        <f>_xlfn.XLOOKUP(Table1[[#This Row],[ProductID]],Products!A:A,Products!D:D,,0)</f>
        <v>200</v>
      </c>
      <c r="I283">
        <v>899</v>
      </c>
      <c r="J283">
        <v>899</v>
      </c>
      <c r="K283" t="s">
        <v>1102</v>
      </c>
      <c r="L283">
        <v>899</v>
      </c>
      <c r="M283" t="s">
        <v>1093</v>
      </c>
      <c r="N283" t="s">
        <v>1099</v>
      </c>
      <c r="O283">
        <f>Table1[[#This Row],[Unit_Price]]*Table1[[#This Row],[Quantity]]</f>
        <v>200</v>
      </c>
    </row>
    <row r="284" spans="1:15" x14ac:dyDescent="0.3">
      <c r="A284" t="s">
        <v>1620</v>
      </c>
      <c r="B284" t="s">
        <v>1488</v>
      </c>
      <c r="C284" t="s">
        <v>669</v>
      </c>
      <c r="D284" t="s">
        <v>1068</v>
      </c>
      <c r="E284">
        <v>1</v>
      </c>
      <c r="F284">
        <f>_xlfn.XLOOKUP(Table1[[#This Row],[ProductID]],Products!A:A,Products!D:D,,0)</f>
        <v>180</v>
      </c>
      <c r="I284">
        <v>449</v>
      </c>
      <c r="J284">
        <v>382</v>
      </c>
      <c r="K284" t="s">
        <v>1092</v>
      </c>
      <c r="L284">
        <v>382</v>
      </c>
      <c r="M284" t="s">
        <v>1098</v>
      </c>
      <c r="N284" t="s">
        <v>1099</v>
      </c>
      <c r="O284">
        <f>Table1[[#This Row],[Unit_Price]]*Table1[[#This Row],[Quantity]]</f>
        <v>180</v>
      </c>
    </row>
    <row r="285" spans="1:15" x14ac:dyDescent="0.3">
      <c r="A285" t="s">
        <v>1621</v>
      </c>
      <c r="B285" t="s">
        <v>1622</v>
      </c>
      <c r="C285" t="s">
        <v>733</v>
      </c>
      <c r="D285" t="s">
        <v>1048</v>
      </c>
      <c r="E285">
        <v>1</v>
      </c>
      <c r="F285">
        <f>_xlfn.XLOOKUP(Table1[[#This Row],[ProductID]],Products!A:A,Products!D:D,,0)</f>
        <v>120</v>
      </c>
      <c r="I285">
        <v>599</v>
      </c>
      <c r="J285">
        <v>509</v>
      </c>
      <c r="K285" t="s">
        <v>1092</v>
      </c>
      <c r="L285">
        <v>509</v>
      </c>
      <c r="M285" t="s">
        <v>1098</v>
      </c>
      <c r="N285" t="s">
        <v>1099</v>
      </c>
      <c r="O285">
        <f>Table1[[#This Row],[Unit_Price]]*Table1[[#This Row],[Quantity]]</f>
        <v>120</v>
      </c>
    </row>
    <row r="286" spans="1:15" x14ac:dyDescent="0.3">
      <c r="A286" t="s">
        <v>1623</v>
      </c>
      <c r="B286" t="s">
        <v>1624</v>
      </c>
      <c r="C286" t="s">
        <v>1015</v>
      </c>
      <c r="D286" t="s">
        <v>1059</v>
      </c>
      <c r="E286">
        <v>3</v>
      </c>
      <c r="F286">
        <f>_xlfn.XLOOKUP(Table1[[#This Row],[ProductID]],Products!A:A,Products!D:D,,0)</f>
        <v>110</v>
      </c>
      <c r="I286">
        <v>399</v>
      </c>
      <c r="J286">
        <v>359</v>
      </c>
      <c r="K286" t="s">
        <v>1107</v>
      </c>
      <c r="L286">
        <v>1077</v>
      </c>
      <c r="M286" t="s">
        <v>1093</v>
      </c>
      <c r="N286" t="s">
        <v>1099</v>
      </c>
      <c r="O286">
        <f>Table1[[#This Row],[Unit_Price]]*Table1[[#This Row],[Quantity]]</f>
        <v>330</v>
      </c>
    </row>
    <row r="287" spans="1:15" x14ac:dyDescent="0.3">
      <c r="A287" t="s">
        <v>1625</v>
      </c>
      <c r="B287" t="s">
        <v>1626</v>
      </c>
      <c r="C287" t="s">
        <v>449</v>
      </c>
      <c r="D287" t="s">
        <v>1071</v>
      </c>
      <c r="E287">
        <v>1</v>
      </c>
      <c r="F287">
        <f>_xlfn.XLOOKUP(Table1[[#This Row],[ProductID]],Products!A:A,Products!D:D,,0)</f>
        <v>125</v>
      </c>
      <c r="I287">
        <v>399</v>
      </c>
      <c r="J287">
        <v>399</v>
      </c>
      <c r="K287" t="s">
        <v>1102</v>
      </c>
      <c r="L287">
        <v>399</v>
      </c>
      <c r="M287" t="s">
        <v>1093</v>
      </c>
      <c r="N287" t="s">
        <v>1099</v>
      </c>
      <c r="O287">
        <f>Table1[[#This Row],[Unit_Price]]*Table1[[#This Row],[Quantity]]</f>
        <v>125</v>
      </c>
    </row>
    <row r="288" spans="1:15" x14ac:dyDescent="0.3">
      <c r="A288" t="s">
        <v>1627</v>
      </c>
      <c r="B288" t="s">
        <v>1628</v>
      </c>
      <c r="C288" t="s">
        <v>979</v>
      </c>
      <c r="D288" t="s">
        <v>1051</v>
      </c>
      <c r="E288">
        <v>1</v>
      </c>
      <c r="F288">
        <f>_xlfn.XLOOKUP(Table1[[#This Row],[ProductID]],Products!A:A,Products!D:D,,0)</f>
        <v>150</v>
      </c>
      <c r="I288">
        <v>499</v>
      </c>
      <c r="J288">
        <v>499</v>
      </c>
      <c r="K288" t="s">
        <v>1102</v>
      </c>
      <c r="L288">
        <v>499</v>
      </c>
      <c r="M288" t="s">
        <v>1093</v>
      </c>
      <c r="N288" t="s">
        <v>1099</v>
      </c>
      <c r="O288">
        <f>Table1[[#This Row],[Unit_Price]]*Table1[[#This Row],[Quantity]]</f>
        <v>150</v>
      </c>
    </row>
    <row r="289" spans="1:15" x14ac:dyDescent="0.3">
      <c r="A289" t="s">
        <v>1629</v>
      </c>
      <c r="B289" t="s">
        <v>1630</v>
      </c>
      <c r="C289" t="s">
        <v>415</v>
      </c>
      <c r="D289" t="s">
        <v>1048</v>
      </c>
      <c r="E289">
        <v>3</v>
      </c>
      <c r="F289">
        <f>_xlfn.XLOOKUP(Table1[[#This Row],[ProductID]],Products!A:A,Products!D:D,,0)</f>
        <v>120</v>
      </c>
      <c r="I289">
        <v>599</v>
      </c>
      <c r="J289">
        <v>599</v>
      </c>
      <c r="K289" t="s">
        <v>1102</v>
      </c>
      <c r="L289">
        <v>1797</v>
      </c>
      <c r="M289" t="s">
        <v>1093</v>
      </c>
      <c r="N289" t="s">
        <v>1123</v>
      </c>
      <c r="O289">
        <f>Table1[[#This Row],[Unit_Price]]*Table1[[#This Row],[Quantity]]</f>
        <v>360</v>
      </c>
    </row>
    <row r="290" spans="1:15" x14ac:dyDescent="0.3">
      <c r="A290" t="s">
        <v>1631</v>
      </c>
      <c r="B290" t="s">
        <v>1632</v>
      </c>
      <c r="C290" t="s">
        <v>29</v>
      </c>
      <c r="D290" t="s">
        <v>1068</v>
      </c>
      <c r="E290">
        <v>2</v>
      </c>
      <c r="F290">
        <f>_xlfn.XLOOKUP(Table1[[#This Row],[ProductID]],Products!A:A,Products!D:D,,0)</f>
        <v>180</v>
      </c>
      <c r="I290">
        <v>449</v>
      </c>
      <c r="J290">
        <v>359</v>
      </c>
      <c r="K290" t="s">
        <v>1097</v>
      </c>
      <c r="L290">
        <v>718</v>
      </c>
      <c r="M290" t="s">
        <v>1126</v>
      </c>
      <c r="N290" t="s">
        <v>1099</v>
      </c>
      <c r="O290">
        <f>Table1[[#This Row],[Unit_Price]]*Table1[[#This Row],[Quantity]]</f>
        <v>360</v>
      </c>
    </row>
    <row r="291" spans="1:15" x14ac:dyDescent="0.3">
      <c r="A291" t="s">
        <v>1633</v>
      </c>
      <c r="B291" t="s">
        <v>1634</v>
      </c>
      <c r="C291" t="s">
        <v>407</v>
      </c>
      <c r="D291" t="s">
        <v>1078</v>
      </c>
      <c r="E291">
        <v>3</v>
      </c>
      <c r="F291">
        <f>_xlfn.XLOOKUP(Table1[[#This Row],[ProductID]],Products!A:A,Products!D:D,,0)</f>
        <v>80</v>
      </c>
      <c r="I291">
        <v>499</v>
      </c>
      <c r="J291">
        <v>499</v>
      </c>
      <c r="K291" t="s">
        <v>1102</v>
      </c>
      <c r="L291">
        <v>1497</v>
      </c>
      <c r="M291" t="s">
        <v>1118</v>
      </c>
      <c r="N291" t="s">
        <v>1099</v>
      </c>
      <c r="O291">
        <f>Table1[[#This Row],[Unit_Price]]*Table1[[#This Row],[Quantity]]</f>
        <v>240</v>
      </c>
    </row>
    <row r="292" spans="1:15" x14ac:dyDescent="0.3">
      <c r="A292" t="s">
        <v>1635</v>
      </c>
      <c r="B292" t="s">
        <v>1636</v>
      </c>
      <c r="C292" t="s">
        <v>953</v>
      </c>
      <c r="D292" t="s">
        <v>1068</v>
      </c>
      <c r="E292">
        <v>1</v>
      </c>
      <c r="F292">
        <f>_xlfn.XLOOKUP(Table1[[#This Row],[ProductID]],Products!A:A,Products!D:D,,0)</f>
        <v>180</v>
      </c>
      <c r="I292">
        <v>449</v>
      </c>
      <c r="J292">
        <v>404</v>
      </c>
      <c r="K292" t="s">
        <v>1107</v>
      </c>
      <c r="L292">
        <v>404</v>
      </c>
      <c r="M292" t="s">
        <v>1098</v>
      </c>
      <c r="N292" t="s">
        <v>1099</v>
      </c>
      <c r="O292">
        <f>Table1[[#This Row],[Unit_Price]]*Table1[[#This Row],[Quantity]]</f>
        <v>180</v>
      </c>
    </row>
    <row r="293" spans="1:15" x14ac:dyDescent="0.3">
      <c r="A293" t="s">
        <v>1637</v>
      </c>
      <c r="B293" t="s">
        <v>1319</v>
      </c>
      <c r="C293" t="s">
        <v>555</v>
      </c>
      <c r="D293" t="s">
        <v>1055</v>
      </c>
      <c r="E293">
        <v>1</v>
      </c>
      <c r="F293">
        <f>_xlfn.XLOOKUP(Table1[[#This Row],[ProductID]],Products!A:A,Products!D:D,,0)</f>
        <v>75</v>
      </c>
      <c r="I293">
        <v>299</v>
      </c>
      <c r="J293">
        <v>269</v>
      </c>
      <c r="K293" t="s">
        <v>1107</v>
      </c>
      <c r="L293">
        <v>269</v>
      </c>
      <c r="M293" t="s">
        <v>1118</v>
      </c>
      <c r="N293" t="s">
        <v>1099</v>
      </c>
      <c r="O293">
        <f>Table1[[#This Row],[Unit_Price]]*Table1[[#This Row],[Quantity]]</f>
        <v>75</v>
      </c>
    </row>
    <row r="294" spans="1:15" x14ac:dyDescent="0.3">
      <c r="A294" t="s">
        <v>1638</v>
      </c>
      <c r="B294" t="s">
        <v>1639</v>
      </c>
      <c r="C294" t="s">
        <v>126</v>
      </c>
      <c r="D294" t="s">
        <v>1075</v>
      </c>
      <c r="E294">
        <v>1</v>
      </c>
      <c r="F294">
        <f>_xlfn.XLOOKUP(Table1[[#This Row],[ProductID]],Products!A:A,Products!D:D,,0)</f>
        <v>80</v>
      </c>
      <c r="I294">
        <v>499</v>
      </c>
      <c r="J294">
        <v>499</v>
      </c>
      <c r="K294" t="s">
        <v>1102</v>
      </c>
      <c r="L294">
        <v>499</v>
      </c>
      <c r="M294" t="s">
        <v>1093</v>
      </c>
      <c r="N294" t="s">
        <v>1094</v>
      </c>
      <c r="O294">
        <f>Table1[[#This Row],[Unit_Price]]*Table1[[#This Row],[Quantity]]</f>
        <v>80</v>
      </c>
    </row>
    <row r="295" spans="1:15" x14ac:dyDescent="0.3">
      <c r="A295" t="s">
        <v>1640</v>
      </c>
      <c r="B295" t="s">
        <v>1511</v>
      </c>
      <c r="C295" t="s">
        <v>987</v>
      </c>
      <c r="D295" t="s">
        <v>1078</v>
      </c>
      <c r="E295">
        <v>2</v>
      </c>
      <c r="F295">
        <f>_xlfn.XLOOKUP(Table1[[#This Row],[ProductID]],Products!A:A,Products!D:D,,0)</f>
        <v>80</v>
      </c>
      <c r="I295">
        <v>499</v>
      </c>
      <c r="J295">
        <v>499</v>
      </c>
      <c r="K295" t="s">
        <v>1102</v>
      </c>
      <c r="L295">
        <v>998</v>
      </c>
      <c r="M295" t="s">
        <v>1098</v>
      </c>
      <c r="N295" t="s">
        <v>1099</v>
      </c>
      <c r="O295">
        <f>Table1[[#This Row],[Unit_Price]]*Table1[[#This Row],[Quantity]]</f>
        <v>160</v>
      </c>
    </row>
    <row r="296" spans="1:15" x14ac:dyDescent="0.3">
      <c r="A296" t="s">
        <v>1641</v>
      </c>
      <c r="B296" t="s">
        <v>1642</v>
      </c>
      <c r="C296" t="s">
        <v>225</v>
      </c>
      <c r="D296" t="s">
        <v>1066</v>
      </c>
      <c r="E296">
        <v>2</v>
      </c>
      <c r="F296">
        <f>_xlfn.XLOOKUP(Table1[[#This Row],[ProductID]],Products!A:A,Products!D:D,,0)</f>
        <v>140</v>
      </c>
      <c r="I296">
        <v>499</v>
      </c>
      <c r="J296">
        <v>399</v>
      </c>
      <c r="K296" t="s">
        <v>1097</v>
      </c>
      <c r="L296">
        <v>798</v>
      </c>
      <c r="M296" t="s">
        <v>1126</v>
      </c>
      <c r="N296" t="s">
        <v>1099</v>
      </c>
      <c r="O296">
        <f>Table1[[#This Row],[Unit_Price]]*Table1[[#This Row],[Quantity]]</f>
        <v>280</v>
      </c>
    </row>
    <row r="297" spans="1:15" x14ac:dyDescent="0.3">
      <c r="A297" t="s">
        <v>1643</v>
      </c>
      <c r="B297" t="s">
        <v>1186</v>
      </c>
      <c r="C297" t="s">
        <v>47</v>
      </c>
      <c r="D297" t="s">
        <v>1057</v>
      </c>
      <c r="E297">
        <v>1</v>
      </c>
      <c r="F297">
        <f>_xlfn.XLOOKUP(Table1[[#This Row],[ProductID]],Products!A:A,Products!D:D,,0)</f>
        <v>130</v>
      </c>
      <c r="I297">
        <v>549</v>
      </c>
      <c r="J297">
        <v>439</v>
      </c>
      <c r="K297" t="s">
        <v>1097</v>
      </c>
      <c r="L297">
        <v>439</v>
      </c>
      <c r="M297" t="s">
        <v>1093</v>
      </c>
      <c r="N297" t="s">
        <v>1099</v>
      </c>
      <c r="O297">
        <f>Table1[[#This Row],[Unit_Price]]*Table1[[#This Row],[Quantity]]</f>
        <v>130</v>
      </c>
    </row>
    <row r="298" spans="1:15" x14ac:dyDescent="0.3">
      <c r="A298" t="s">
        <v>1644</v>
      </c>
      <c r="B298" t="s">
        <v>1645</v>
      </c>
      <c r="C298" t="s">
        <v>457</v>
      </c>
      <c r="D298" t="s">
        <v>1071</v>
      </c>
      <c r="E298">
        <v>2</v>
      </c>
      <c r="F298">
        <f>_xlfn.XLOOKUP(Table1[[#This Row],[ProductID]],Products!A:A,Products!D:D,,0)</f>
        <v>125</v>
      </c>
      <c r="I298">
        <v>399</v>
      </c>
      <c r="J298">
        <v>319</v>
      </c>
      <c r="K298" t="s">
        <v>1097</v>
      </c>
      <c r="L298">
        <v>638</v>
      </c>
      <c r="M298" t="s">
        <v>1098</v>
      </c>
      <c r="N298" t="s">
        <v>1099</v>
      </c>
      <c r="O298">
        <f>Table1[[#This Row],[Unit_Price]]*Table1[[#This Row],[Quantity]]</f>
        <v>250</v>
      </c>
    </row>
    <row r="299" spans="1:15" x14ac:dyDescent="0.3">
      <c r="A299" t="s">
        <v>1646</v>
      </c>
      <c r="B299" t="s">
        <v>1402</v>
      </c>
      <c r="C299" t="s">
        <v>841</v>
      </c>
      <c r="D299" t="s">
        <v>1073</v>
      </c>
      <c r="E299">
        <v>3</v>
      </c>
      <c r="F299">
        <f>_xlfn.XLOOKUP(Table1[[#This Row],[ProductID]],Products!A:A,Products!D:D,,0)</f>
        <v>100</v>
      </c>
      <c r="I299">
        <v>349</v>
      </c>
      <c r="J299">
        <v>314</v>
      </c>
      <c r="K299" t="s">
        <v>1107</v>
      </c>
      <c r="L299">
        <v>942</v>
      </c>
      <c r="M299" t="s">
        <v>1098</v>
      </c>
      <c r="N299" t="s">
        <v>1094</v>
      </c>
      <c r="O299">
        <f>Table1[[#This Row],[Unit_Price]]*Table1[[#This Row],[Quantity]]</f>
        <v>300</v>
      </c>
    </row>
    <row r="300" spans="1:15" x14ac:dyDescent="0.3">
      <c r="A300" t="s">
        <v>1647</v>
      </c>
      <c r="B300" t="s">
        <v>1648</v>
      </c>
      <c r="C300" t="s">
        <v>375</v>
      </c>
      <c r="D300" t="s">
        <v>1053</v>
      </c>
      <c r="E300">
        <v>1</v>
      </c>
      <c r="F300">
        <f>_xlfn.XLOOKUP(Table1[[#This Row],[ProductID]],Products!A:A,Products!D:D,,0)</f>
        <v>200</v>
      </c>
      <c r="I300">
        <v>899</v>
      </c>
      <c r="J300">
        <v>719</v>
      </c>
      <c r="K300" t="s">
        <v>1097</v>
      </c>
      <c r="L300">
        <v>719</v>
      </c>
      <c r="M300" t="s">
        <v>1098</v>
      </c>
      <c r="N300" t="s">
        <v>1099</v>
      </c>
      <c r="O300">
        <f>Table1[[#This Row],[Unit_Price]]*Table1[[#This Row],[Quantity]]</f>
        <v>200</v>
      </c>
    </row>
    <row r="301" spans="1:15" x14ac:dyDescent="0.3">
      <c r="A301" t="s">
        <v>1649</v>
      </c>
      <c r="B301" t="s">
        <v>1650</v>
      </c>
      <c r="C301" t="s">
        <v>110</v>
      </c>
      <c r="D301" t="s">
        <v>1053</v>
      </c>
      <c r="E301">
        <v>2</v>
      </c>
      <c r="F301">
        <f>_xlfn.XLOOKUP(Table1[[#This Row],[ProductID]],Products!A:A,Products!D:D,,0)</f>
        <v>200</v>
      </c>
      <c r="I301">
        <v>899</v>
      </c>
      <c r="J301">
        <v>809</v>
      </c>
      <c r="K301" t="s">
        <v>1107</v>
      </c>
      <c r="L301">
        <v>1618</v>
      </c>
      <c r="M301" t="s">
        <v>1118</v>
      </c>
      <c r="N301" t="s">
        <v>1099</v>
      </c>
      <c r="O301">
        <f>Table1[[#This Row],[Unit_Price]]*Table1[[#This Row],[Quantity]]</f>
        <v>400</v>
      </c>
    </row>
    <row r="302" spans="1:15" x14ac:dyDescent="0.3">
      <c r="A302" t="s">
        <v>1651</v>
      </c>
      <c r="B302" t="s">
        <v>1349</v>
      </c>
      <c r="C302" t="s">
        <v>851</v>
      </c>
      <c r="D302" t="s">
        <v>1062</v>
      </c>
      <c r="E302">
        <v>1</v>
      </c>
      <c r="F302">
        <f>_xlfn.XLOOKUP(Table1[[#This Row],[ProductID]],Products!A:A,Products!D:D,,0)</f>
        <v>95</v>
      </c>
      <c r="I302">
        <v>349</v>
      </c>
      <c r="J302">
        <v>314</v>
      </c>
      <c r="K302" t="s">
        <v>1107</v>
      </c>
      <c r="L302">
        <v>314</v>
      </c>
      <c r="M302" t="s">
        <v>1093</v>
      </c>
      <c r="N302" t="s">
        <v>1099</v>
      </c>
      <c r="O302">
        <f>Table1[[#This Row],[Unit_Price]]*Table1[[#This Row],[Quantity]]</f>
        <v>95</v>
      </c>
    </row>
    <row r="303" spans="1:15" x14ac:dyDescent="0.3">
      <c r="A303" t="s">
        <v>1652</v>
      </c>
      <c r="B303" t="s">
        <v>1653</v>
      </c>
      <c r="C303" t="s">
        <v>413</v>
      </c>
      <c r="D303" t="s">
        <v>1080</v>
      </c>
      <c r="E303">
        <v>2</v>
      </c>
      <c r="F303">
        <f>_xlfn.XLOOKUP(Table1[[#This Row],[ProductID]],Products!A:A,Products!D:D,,0)</f>
        <v>45</v>
      </c>
      <c r="I303">
        <v>249</v>
      </c>
      <c r="J303">
        <v>212</v>
      </c>
      <c r="K303" t="s">
        <v>1092</v>
      </c>
      <c r="L303">
        <v>424</v>
      </c>
      <c r="M303" t="s">
        <v>1093</v>
      </c>
      <c r="N303" t="s">
        <v>1099</v>
      </c>
      <c r="O303">
        <f>Table1[[#This Row],[Unit_Price]]*Table1[[#This Row],[Quantity]]</f>
        <v>90</v>
      </c>
    </row>
    <row r="304" spans="1:15" x14ac:dyDescent="0.3">
      <c r="A304" t="s">
        <v>1654</v>
      </c>
      <c r="B304" t="s">
        <v>1655</v>
      </c>
      <c r="C304" t="s">
        <v>959</v>
      </c>
      <c r="D304" t="s">
        <v>1073</v>
      </c>
      <c r="E304">
        <v>1</v>
      </c>
      <c r="F304">
        <f>_xlfn.XLOOKUP(Table1[[#This Row],[ProductID]],Products!A:A,Products!D:D,,0)</f>
        <v>100</v>
      </c>
      <c r="I304">
        <v>349</v>
      </c>
      <c r="J304">
        <v>349</v>
      </c>
      <c r="K304" t="s">
        <v>1102</v>
      </c>
      <c r="L304">
        <v>349</v>
      </c>
      <c r="M304" t="s">
        <v>1093</v>
      </c>
      <c r="N304" t="s">
        <v>1099</v>
      </c>
      <c r="O304">
        <f>Table1[[#This Row],[Unit_Price]]*Table1[[#This Row],[Quantity]]</f>
        <v>100</v>
      </c>
    </row>
    <row r="305" spans="1:15" x14ac:dyDescent="0.3">
      <c r="A305" t="s">
        <v>1656</v>
      </c>
      <c r="B305" t="s">
        <v>1657</v>
      </c>
      <c r="C305" t="s">
        <v>185</v>
      </c>
      <c r="D305" t="s">
        <v>1071</v>
      </c>
      <c r="E305">
        <v>2</v>
      </c>
      <c r="F305">
        <f>_xlfn.XLOOKUP(Table1[[#This Row],[ProductID]],Products!A:A,Products!D:D,,0)</f>
        <v>125</v>
      </c>
      <c r="I305">
        <v>399</v>
      </c>
      <c r="J305">
        <v>339</v>
      </c>
      <c r="K305" t="s">
        <v>1092</v>
      </c>
      <c r="L305">
        <v>678</v>
      </c>
      <c r="M305" t="s">
        <v>1093</v>
      </c>
      <c r="N305" t="s">
        <v>1123</v>
      </c>
      <c r="O305">
        <f>Table1[[#This Row],[Unit_Price]]*Table1[[#This Row],[Quantity]]</f>
        <v>250</v>
      </c>
    </row>
    <row r="306" spans="1:15" x14ac:dyDescent="0.3">
      <c r="A306" t="s">
        <v>1658</v>
      </c>
      <c r="B306" t="s">
        <v>1659</v>
      </c>
      <c r="C306" t="s">
        <v>971</v>
      </c>
      <c r="D306" t="s">
        <v>1048</v>
      </c>
      <c r="E306">
        <v>1</v>
      </c>
      <c r="F306">
        <f>_xlfn.XLOOKUP(Table1[[#This Row],[ProductID]],Products!A:A,Products!D:D,,0)</f>
        <v>120</v>
      </c>
      <c r="I306">
        <v>599</v>
      </c>
      <c r="J306">
        <v>539</v>
      </c>
      <c r="K306" t="s">
        <v>1107</v>
      </c>
      <c r="L306">
        <v>539</v>
      </c>
      <c r="M306" t="s">
        <v>1093</v>
      </c>
      <c r="N306" t="s">
        <v>1099</v>
      </c>
      <c r="O306">
        <f>Table1[[#This Row],[Unit_Price]]*Table1[[#This Row],[Quantity]]</f>
        <v>120</v>
      </c>
    </row>
    <row r="307" spans="1:15" x14ac:dyDescent="0.3">
      <c r="A307" t="s">
        <v>1660</v>
      </c>
      <c r="B307" t="s">
        <v>1205</v>
      </c>
      <c r="C307" t="s">
        <v>207</v>
      </c>
      <c r="D307" t="s">
        <v>1071</v>
      </c>
      <c r="E307">
        <v>1</v>
      </c>
      <c r="F307">
        <f>_xlfn.XLOOKUP(Table1[[#This Row],[ProductID]],Products!A:A,Products!D:D,,0)</f>
        <v>125</v>
      </c>
      <c r="I307">
        <v>399</v>
      </c>
      <c r="J307">
        <v>359</v>
      </c>
      <c r="K307" t="s">
        <v>1107</v>
      </c>
      <c r="L307">
        <v>359</v>
      </c>
      <c r="M307" t="s">
        <v>1098</v>
      </c>
      <c r="N307" t="s">
        <v>1099</v>
      </c>
      <c r="O307">
        <f>Table1[[#This Row],[Unit_Price]]*Table1[[#This Row],[Quantity]]</f>
        <v>125</v>
      </c>
    </row>
    <row r="308" spans="1:15" x14ac:dyDescent="0.3">
      <c r="A308" t="s">
        <v>1661</v>
      </c>
      <c r="B308" t="s">
        <v>1662</v>
      </c>
      <c r="C308" t="s">
        <v>793</v>
      </c>
      <c r="D308" t="s">
        <v>1048</v>
      </c>
      <c r="E308">
        <v>2</v>
      </c>
      <c r="F308">
        <f>_xlfn.XLOOKUP(Table1[[#This Row],[ProductID]],Products!A:A,Products!D:D,,0)</f>
        <v>120</v>
      </c>
      <c r="I308">
        <v>599</v>
      </c>
      <c r="J308">
        <v>539</v>
      </c>
      <c r="K308" t="s">
        <v>1107</v>
      </c>
      <c r="L308">
        <v>1078</v>
      </c>
      <c r="M308" t="s">
        <v>1093</v>
      </c>
      <c r="N308" t="s">
        <v>1099</v>
      </c>
      <c r="O308">
        <f>Table1[[#This Row],[Unit_Price]]*Table1[[#This Row],[Quantity]]</f>
        <v>240</v>
      </c>
    </row>
    <row r="309" spans="1:15" x14ac:dyDescent="0.3">
      <c r="A309" t="s">
        <v>1663</v>
      </c>
      <c r="B309" t="s">
        <v>1664</v>
      </c>
      <c r="C309" t="s">
        <v>1027</v>
      </c>
      <c r="D309" t="s">
        <v>1059</v>
      </c>
      <c r="E309">
        <v>2</v>
      </c>
      <c r="F309">
        <f>_xlfn.XLOOKUP(Table1[[#This Row],[ProductID]],Products!A:A,Products!D:D,,0)</f>
        <v>110</v>
      </c>
      <c r="I309">
        <v>399</v>
      </c>
      <c r="J309">
        <v>319</v>
      </c>
      <c r="K309" t="s">
        <v>1097</v>
      </c>
      <c r="L309">
        <v>638</v>
      </c>
      <c r="M309" t="s">
        <v>1093</v>
      </c>
      <c r="N309" t="s">
        <v>1094</v>
      </c>
      <c r="O309">
        <f>Table1[[#This Row],[Unit_Price]]*Table1[[#This Row],[Quantity]]</f>
        <v>220</v>
      </c>
    </row>
    <row r="310" spans="1:15" x14ac:dyDescent="0.3">
      <c r="A310" t="s">
        <v>1665</v>
      </c>
      <c r="B310" t="s">
        <v>1666</v>
      </c>
      <c r="C310" t="s">
        <v>183</v>
      </c>
      <c r="D310" t="s">
        <v>1073</v>
      </c>
      <c r="E310">
        <v>4</v>
      </c>
      <c r="F310">
        <f>_xlfn.XLOOKUP(Table1[[#This Row],[ProductID]],Products!A:A,Products!D:D,,0)</f>
        <v>100</v>
      </c>
      <c r="I310">
        <v>349</v>
      </c>
      <c r="J310">
        <v>314</v>
      </c>
      <c r="K310" t="s">
        <v>1107</v>
      </c>
      <c r="L310">
        <v>1256</v>
      </c>
      <c r="M310" t="s">
        <v>1126</v>
      </c>
      <c r="N310" t="s">
        <v>1099</v>
      </c>
      <c r="O310">
        <f>Table1[[#This Row],[Unit_Price]]*Table1[[#This Row],[Quantity]]</f>
        <v>400</v>
      </c>
    </row>
    <row r="311" spans="1:15" x14ac:dyDescent="0.3">
      <c r="A311" t="s">
        <v>1667</v>
      </c>
      <c r="B311" t="s">
        <v>1668</v>
      </c>
      <c r="C311" t="s">
        <v>717</v>
      </c>
      <c r="D311" t="s">
        <v>1080</v>
      </c>
      <c r="E311">
        <v>1</v>
      </c>
      <c r="F311">
        <f>_xlfn.XLOOKUP(Table1[[#This Row],[ProductID]],Products!A:A,Products!D:D,,0)</f>
        <v>45</v>
      </c>
      <c r="I311">
        <v>249</v>
      </c>
      <c r="J311">
        <v>224</v>
      </c>
      <c r="K311" t="s">
        <v>1107</v>
      </c>
      <c r="L311">
        <v>224</v>
      </c>
      <c r="M311" t="s">
        <v>1098</v>
      </c>
      <c r="N311" t="s">
        <v>1099</v>
      </c>
      <c r="O311">
        <f>Table1[[#This Row],[Unit_Price]]*Table1[[#This Row],[Quantity]]</f>
        <v>45</v>
      </c>
    </row>
    <row r="312" spans="1:15" x14ac:dyDescent="0.3">
      <c r="A312" t="s">
        <v>1669</v>
      </c>
      <c r="B312" t="s">
        <v>1392</v>
      </c>
      <c r="C312" t="s">
        <v>177</v>
      </c>
      <c r="D312" t="s">
        <v>1064</v>
      </c>
      <c r="E312">
        <v>4</v>
      </c>
      <c r="F312">
        <f>_xlfn.XLOOKUP(Table1[[#This Row],[ProductID]],Products!A:A,Products!D:D,,0)</f>
        <v>160</v>
      </c>
      <c r="I312">
        <v>699</v>
      </c>
      <c r="J312">
        <v>629</v>
      </c>
      <c r="K312" t="s">
        <v>1107</v>
      </c>
      <c r="L312">
        <v>2516</v>
      </c>
      <c r="M312" t="s">
        <v>1126</v>
      </c>
      <c r="N312" t="s">
        <v>1099</v>
      </c>
      <c r="O312">
        <f>Table1[[#This Row],[Unit_Price]]*Table1[[#This Row],[Quantity]]</f>
        <v>640</v>
      </c>
    </row>
    <row r="313" spans="1:15" x14ac:dyDescent="0.3">
      <c r="A313" t="s">
        <v>1670</v>
      </c>
      <c r="B313" t="s">
        <v>1475</v>
      </c>
      <c r="C313" t="s">
        <v>743</v>
      </c>
      <c r="D313" t="s">
        <v>1080</v>
      </c>
      <c r="E313">
        <v>3</v>
      </c>
      <c r="F313">
        <f>_xlfn.XLOOKUP(Table1[[#This Row],[ProductID]],Products!A:A,Products!D:D,,0)</f>
        <v>45</v>
      </c>
      <c r="I313">
        <v>249</v>
      </c>
      <c r="J313">
        <v>199</v>
      </c>
      <c r="K313" t="s">
        <v>1097</v>
      </c>
      <c r="L313">
        <v>597</v>
      </c>
      <c r="M313" t="s">
        <v>1093</v>
      </c>
      <c r="N313" t="s">
        <v>1099</v>
      </c>
      <c r="O313">
        <f>Table1[[#This Row],[Unit_Price]]*Table1[[#This Row],[Quantity]]</f>
        <v>135</v>
      </c>
    </row>
    <row r="314" spans="1:15" x14ac:dyDescent="0.3">
      <c r="A314" t="s">
        <v>1671</v>
      </c>
      <c r="B314" t="s">
        <v>1672</v>
      </c>
      <c r="C314" t="s">
        <v>18</v>
      </c>
      <c r="D314" t="s">
        <v>1055</v>
      </c>
      <c r="E314">
        <v>2</v>
      </c>
      <c r="F314">
        <f>_xlfn.XLOOKUP(Table1[[#This Row],[ProductID]],Products!A:A,Products!D:D,,0)</f>
        <v>75</v>
      </c>
      <c r="I314">
        <v>299</v>
      </c>
      <c r="J314">
        <v>269</v>
      </c>
      <c r="K314" t="s">
        <v>1107</v>
      </c>
      <c r="L314">
        <v>538</v>
      </c>
      <c r="M314" t="s">
        <v>1098</v>
      </c>
      <c r="N314" t="s">
        <v>1099</v>
      </c>
      <c r="O314">
        <f>Table1[[#This Row],[Unit_Price]]*Table1[[#This Row],[Quantity]]</f>
        <v>150</v>
      </c>
    </row>
    <row r="315" spans="1:15" x14ac:dyDescent="0.3">
      <c r="A315" t="s">
        <v>1673</v>
      </c>
      <c r="B315" t="s">
        <v>1674</v>
      </c>
      <c r="C315" t="s">
        <v>189</v>
      </c>
      <c r="D315" t="s">
        <v>1048</v>
      </c>
      <c r="E315">
        <v>1</v>
      </c>
      <c r="F315">
        <f>_xlfn.XLOOKUP(Table1[[#This Row],[ProductID]],Products!A:A,Products!D:D,,0)</f>
        <v>120</v>
      </c>
      <c r="I315">
        <v>599</v>
      </c>
      <c r="J315">
        <v>539</v>
      </c>
      <c r="K315" t="s">
        <v>1107</v>
      </c>
      <c r="L315">
        <v>539</v>
      </c>
      <c r="M315" t="s">
        <v>1126</v>
      </c>
      <c r="N315" t="s">
        <v>1099</v>
      </c>
      <c r="O315">
        <f>Table1[[#This Row],[Unit_Price]]*Table1[[#This Row],[Quantity]]</f>
        <v>120</v>
      </c>
    </row>
    <row r="316" spans="1:15" x14ac:dyDescent="0.3">
      <c r="A316" t="s">
        <v>1675</v>
      </c>
      <c r="B316" t="s">
        <v>1676</v>
      </c>
      <c r="C316" t="s">
        <v>148</v>
      </c>
      <c r="D316" t="s">
        <v>1048</v>
      </c>
      <c r="E316">
        <v>3</v>
      </c>
      <c r="F316">
        <f>_xlfn.XLOOKUP(Table1[[#This Row],[ProductID]],Products!A:A,Products!D:D,,0)</f>
        <v>120</v>
      </c>
      <c r="I316">
        <v>599</v>
      </c>
      <c r="J316">
        <v>599</v>
      </c>
      <c r="K316" t="s">
        <v>1102</v>
      </c>
      <c r="L316">
        <v>1797</v>
      </c>
      <c r="M316" t="s">
        <v>1098</v>
      </c>
      <c r="N316" t="s">
        <v>1099</v>
      </c>
      <c r="O316">
        <f>Table1[[#This Row],[Unit_Price]]*Table1[[#This Row],[Quantity]]</f>
        <v>360</v>
      </c>
    </row>
    <row r="317" spans="1:15" x14ac:dyDescent="0.3">
      <c r="A317" t="s">
        <v>1677</v>
      </c>
      <c r="B317" t="s">
        <v>1370</v>
      </c>
      <c r="C317" t="s">
        <v>441</v>
      </c>
      <c r="D317" t="s">
        <v>1071</v>
      </c>
      <c r="E317">
        <v>3</v>
      </c>
      <c r="F317">
        <f>_xlfn.XLOOKUP(Table1[[#This Row],[ProductID]],Products!A:A,Products!D:D,,0)</f>
        <v>125</v>
      </c>
      <c r="I317">
        <v>399</v>
      </c>
      <c r="J317">
        <v>399</v>
      </c>
      <c r="K317" t="s">
        <v>1102</v>
      </c>
      <c r="L317">
        <v>1197</v>
      </c>
      <c r="M317" t="s">
        <v>1098</v>
      </c>
      <c r="N317" t="s">
        <v>1099</v>
      </c>
      <c r="O317">
        <f>Table1[[#This Row],[Unit_Price]]*Table1[[#This Row],[Quantity]]</f>
        <v>375</v>
      </c>
    </row>
    <row r="318" spans="1:15" x14ac:dyDescent="0.3">
      <c r="A318" t="s">
        <v>1678</v>
      </c>
      <c r="B318" t="s">
        <v>1679</v>
      </c>
      <c r="C318" t="s">
        <v>883</v>
      </c>
      <c r="D318" t="s">
        <v>1073</v>
      </c>
      <c r="E318">
        <v>1</v>
      </c>
      <c r="F318">
        <f>_xlfn.XLOOKUP(Table1[[#This Row],[ProductID]],Products!A:A,Products!D:D,,0)</f>
        <v>100</v>
      </c>
      <c r="I318">
        <v>349</v>
      </c>
      <c r="J318">
        <v>349</v>
      </c>
      <c r="K318" t="s">
        <v>1102</v>
      </c>
      <c r="L318">
        <v>349</v>
      </c>
      <c r="M318" t="s">
        <v>1126</v>
      </c>
      <c r="N318" t="s">
        <v>1099</v>
      </c>
      <c r="O318">
        <f>Table1[[#This Row],[Unit_Price]]*Table1[[#This Row],[Quantity]]</f>
        <v>100</v>
      </c>
    </row>
    <row r="319" spans="1:15" x14ac:dyDescent="0.3">
      <c r="A319" t="s">
        <v>1680</v>
      </c>
      <c r="B319" t="s">
        <v>1681</v>
      </c>
      <c r="C319" t="s">
        <v>607</v>
      </c>
      <c r="D319" t="s">
        <v>1048</v>
      </c>
      <c r="E319">
        <v>1</v>
      </c>
      <c r="F319">
        <f>_xlfn.XLOOKUP(Table1[[#This Row],[ProductID]],Products!A:A,Products!D:D,,0)</f>
        <v>120</v>
      </c>
      <c r="I319">
        <v>599</v>
      </c>
      <c r="J319">
        <v>479</v>
      </c>
      <c r="K319" t="s">
        <v>1097</v>
      </c>
      <c r="L319">
        <v>479</v>
      </c>
      <c r="M319" t="s">
        <v>1098</v>
      </c>
      <c r="N319" t="s">
        <v>1099</v>
      </c>
      <c r="O319">
        <f>Table1[[#This Row],[Unit_Price]]*Table1[[#This Row],[Quantity]]</f>
        <v>120</v>
      </c>
    </row>
    <row r="320" spans="1:15" x14ac:dyDescent="0.3">
      <c r="A320" t="s">
        <v>1682</v>
      </c>
      <c r="B320" t="s">
        <v>1482</v>
      </c>
      <c r="C320" t="s">
        <v>301</v>
      </c>
      <c r="D320" t="s">
        <v>1073</v>
      </c>
      <c r="E320">
        <v>1</v>
      </c>
      <c r="F320">
        <f>_xlfn.XLOOKUP(Table1[[#This Row],[ProductID]],Products!A:A,Products!D:D,,0)</f>
        <v>100</v>
      </c>
      <c r="I320">
        <v>349</v>
      </c>
      <c r="J320">
        <v>279</v>
      </c>
      <c r="K320" t="s">
        <v>1097</v>
      </c>
      <c r="L320">
        <v>279</v>
      </c>
      <c r="M320" t="s">
        <v>1093</v>
      </c>
      <c r="N320" t="s">
        <v>1099</v>
      </c>
      <c r="O320">
        <f>Table1[[#This Row],[Unit_Price]]*Table1[[#This Row],[Quantity]]</f>
        <v>100</v>
      </c>
    </row>
    <row r="321" spans="1:15" x14ac:dyDescent="0.3">
      <c r="A321" t="s">
        <v>1683</v>
      </c>
      <c r="B321" t="s">
        <v>1684</v>
      </c>
      <c r="C321" t="s">
        <v>455</v>
      </c>
      <c r="D321" t="s">
        <v>1062</v>
      </c>
      <c r="E321">
        <v>1</v>
      </c>
      <c r="F321">
        <f>_xlfn.XLOOKUP(Table1[[#This Row],[ProductID]],Products!A:A,Products!D:D,,0)</f>
        <v>95</v>
      </c>
      <c r="I321">
        <v>349</v>
      </c>
      <c r="J321">
        <v>314</v>
      </c>
      <c r="K321" t="s">
        <v>1107</v>
      </c>
      <c r="L321">
        <v>314</v>
      </c>
      <c r="M321" t="s">
        <v>1098</v>
      </c>
      <c r="N321" t="s">
        <v>1099</v>
      </c>
      <c r="O321">
        <f>Table1[[#This Row],[Unit_Price]]*Table1[[#This Row],[Quantity]]</f>
        <v>95</v>
      </c>
    </row>
    <row r="322" spans="1:15" x14ac:dyDescent="0.3">
      <c r="A322" t="s">
        <v>1685</v>
      </c>
      <c r="B322" t="s">
        <v>1686</v>
      </c>
      <c r="C322" t="s">
        <v>951</v>
      </c>
      <c r="D322" t="s">
        <v>1071</v>
      </c>
      <c r="E322">
        <v>1</v>
      </c>
      <c r="F322">
        <f>_xlfn.XLOOKUP(Table1[[#This Row],[ProductID]],Products!A:A,Products!D:D,,0)</f>
        <v>125</v>
      </c>
      <c r="I322">
        <v>399</v>
      </c>
      <c r="J322">
        <v>339</v>
      </c>
      <c r="K322" t="s">
        <v>1092</v>
      </c>
      <c r="L322">
        <v>339</v>
      </c>
      <c r="M322" t="s">
        <v>1093</v>
      </c>
      <c r="N322" t="s">
        <v>1099</v>
      </c>
      <c r="O322">
        <f>Table1[[#This Row],[Unit_Price]]*Table1[[#This Row],[Quantity]]</f>
        <v>125</v>
      </c>
    </row>
    <row r="323" spans="1:15" x14ac:dyDescent="0.3">
      <c r="A323" t="s">
        <v>1687</v>
      </c>
      <c r="B323" t="s">
        <v>1688</v>
      </c>
      <c r="C323" t="s">
        <v>547</v>
      </c>
      <c r="D323" t="s">
        <v>1051</v>
      </c>
      <c r="E323">
        <v>1</v>
      </c>
      <c r="F323">
        <f>_xlfn.XLOOKUP(Table1[[#This Row],[ProductID]],Products!A:A,Products!D:D,,0)</f>
        <v>150</v>
      </c>
      <c r="I323">
        <v>499</v>
      </c>
      <c r="J323">
        <v>499</v>
      </c>
      <c r="K323" t="s">
        <v>1102</v>
      </c>
      <c r="L323">
        <v>499</v>
      </c>
      <c r="M323" t="s">
        <v>1093</v>
      </c>
      <c r="N323" t="s">
        <v>1099</v>
      </c>
      <c r="O323">
        <f>Table1[[#This Row],[Unit_Price]]*Table1[[#This Row],[Quantity]]</f>
        <v>150</v>
      </c>
    </row>
    <row r="324" spans="1:15" x14ac:dyDescent="0.3">
      <c r="A324" t="s">
        <v>1689</v>
      </c>
      <c r="B324" t="s">
        <v>1690</v>
      </c>
      <c r="C324" t="s">
        <v>659</v>
      </c>
      <c r="D324" t="s">
        <v>1064</v>
      </c>
      <c r="E324">
        <v>2</v>
      </c>
      <c r="F324">
        <f>_xlfn.XLOOKUP(Table1[[#This Row],[ProductID]],Products!A:A,Products!D:D,,0)</f>
        <v>160</v>
      </c>
      <c r="I324">
        <v>699</v>
      </c>
      <c r="J324">
        <v>629</v>
      </c>
      <c r="K324" t="s">
        <v>1107</v>
      </c>
      <c r="L324">
        <v>1258</v>
      </c>
      <c r="M324" t="s">
        <v>1098</v>
      </c>
      <c r="N324" t="s">
        <v>1099</v>
      </c>
      <c r="O324">
        <f>Table1[[#This Row],[Unit_Price]]*Table1[[#This Row],[Quantity]]</f>
        <v>320</v>
      </c>
    </row>
    <row r="325" spans="1:15" x14ac:dyDescent="0.3">
      <c r="A325" t="s">
        <v>1691</v>
      </c>
      <c r="B325" t="s">
        <v>1692</v>
      </c>
      <c r="C325" t="s">
        <v>899</v>
      </c>
      <c r="D325" t="s">
        <v>1073</v>
      </c>
      <c r="E325">
        <v>1</v>
      </c>
      <c r="F325">
        <f>_xlfn.XLOOKUP(Table1[[#This Row],[ProductID]],Products!A:A,Products!D:D,,0)</f>
        <v>100</v>
      </c>
      <c r="I325">
        <v>349</v>
      </c>
      <c r="J325">
        <v>349</v>
      </c>
      <c r="K325" t="s">
        <v>1102</v>
      </c>
      <c r="L325">
        <v>349</v>
      </c>
      <c r="M325" t="s">
        <v>1098</v>
      </c>
      <c r="N325" t="s">
        <v>1099</v>
      </c>
      <c r="O325">
        <f>Table1[[#This Row],[Unit_Price]]*Table1[[#This Row],[Quantity]]</f>
        <v>100</v>
      </c>
    </row>
    <row r="326" spans="1:15" x14ac:dyDescent="0.3">
      <c r="A326" t="s">
        <v>1693</v>
      </c>
      <c r="B326" t="s">
        <v>1694</v>
      </c>
      <c r="C326" t="s">
        <v>361</v>
      </c>
      <c r="D326" t="s">
        <v>1059</v>
      </c>
      <c r="E326">
        <v>4</v>
      </c>
      <c r="F326">
        <f>_xlfn.XLOOKUP(Table1[[#This Row],[ProductID]],Products!A:A,Products!D:D,,0)</f>
        <v>110</v>
      </c>
      <c r="I326">
        <v>399</v>
      </c>
      <c r="J326">
        <v>319</v>
      </c>
      <c r="K326" t="s">
        <v>1097</v>
      </c>
      <c r="L326">
        <v>1276</v>
      </c>
      <c r="M326" t="s">
        <v>1126</v>
      </c>
      <c r="N326" t="s">
        <v>1099</v>
      </c>
      <c r="O326">
        <f>Table1[[#This Row],[Unit_Price]]*Table1[[#This Row],[Quantity]]</f>
        <v>440</v>
      </c>
    </row>
    <row r="327" spans="1:15" x14ac:dyDescent="0.3">
      <c r="A327" t="s">
        <v>1695</v>
      </c>
      <c r="B327" t="s">
        <v>1696</v>
      </c>
      <c r="C327" t="s">
        <v>825</v>
      </c>
      <c r="D327" t="s">
        <v>1075</v>
      </c>
      <c r="E327">
        <v>1</v>
      </c>
      <c r="F327">
        <f>_xlfn.XLOOKUP(Table1[[#This Row],[ProductID]],Products!A:A,Products!D:D,,0)</f>
        <v>80</v>
      </c>
      <c r="I327">
        <v>499</v>
      </c>
      <c r="J327">
        <v>424</v>
      </c>
      <c r="K327" t="s">
        <v>1092</v>
      </c>
      <c r="L327">
        <v>424</v>
      </c>
      <c r="M327" t="s">
        <v>1093</v>
      </c>
      <c r="N327" t="s">
        <v>1094</v>
      </c>
      <c r="O327">
        <f>Table1[[#This Row],[Unit_Price]]*Table1[[#This Row],[Quantity]]</f>
        <v>80</v>
      </c>
    </row>
    <row r="328" spans="1:15" x14ac:dyDescent="0.3">
      <c r="A328" t="s">
        <v>1697</v>
      </c>
      <c r="B328" t="s">
        <v>1698</v>
      </c>
      <c r="C328" t="s">
        <v>929</v>
      </c>
      <c r="D328" t="s">
        <v>1053</v>
      </c>
      <c r="E328">
        <v>1</v>
      </c>
      <c r="F328">
        <f>_xlfn.XLOOKUP(Table1[[#This Row],[ProductID]],Products!A:A,Products!D:D,,0)</f>
        <v>200</v>
      </c>
      <c r="I328">
        <v>899</v>
      </c>
      <c r="J328">
        <v>899</v>
      </c>
      <c r="K328" t="s">
        <v>1102</v>
      </c>
      <c r="L328">
        <v>899</v>
      </c>
      <c r="M328" t="s">
        <v>1098</v>
      </c>
      <c r="N328" t="s">
        <v>1099</v>
      </c>
      <c r="O328">
        <f>Table1[[#This Row],[Unit_Price]]*Table1[[#This Row],[Quantity]]</f>
        <v>200</v>
      </c>
    </row>
    <row r="329" spans="1:15" x14ac:dyDescent="0.3">
      <c r="A329" t="s">
        <v>1699</v>
      </c>
      <c r="B329" t="s">
        <v>1404</v>
      </c>
      <c r="C329" t="s">
        <v>865</v>
      </c>
      <c r="D329" t="s">
        <v>1068</v>
      </c>
      <c r="E329">
        <v>1</v>
      </c>
      <c r="F329">
        <f>_xlfn.XLOOKUP(Table1[[#This Row],[ProductID]],Products!A:A,Products!D:D,,0)</f>
        <v>180</v>
      </c>
      <c r="I329">
        <v>449</v>
      </c>
      <c r="J329">
        <v>404</v>
      </c>
      <c r="K329" t="s">
        <v>1107</v>
      </c>
      <c r="L329">
        <v>404</v>
      </c>
      <c r="M329" t="s">
        <v>1093</v>
      </c>
      <c r="N329" t="s">
        <v>1099</v>
      </c>
      <c r="O329">
        <f>Table1[[#This Row],[Unit_Price]]*Table1[[#This Row],[Quantity]]</f>
        <v>180</v>
      </c>
    </row>
    <row r="330" spans="1:15" x14ac:dyDescent="0.3">
      <c r="A330" t="s">
        <v>1700</v>
      </c>
      <c r="B330" t="s">
        <v>1701</v>
      </c>
      <c r="C330" t="s">
        <v>527</v>
      </c>
      <c r="D330" t="s">
        <v>1051</v>
      </c>
      <c r="E330">
        <v>3</v>
      </c>
      <c r="F330">
        <f>_xlfn.XLOOKUP(Table1[[#This Row],[ProductID]],Products!A:A,Products!D:D,,0)</f>
        <v>150</v>
      </c>
      <c r="I330">
        <v>499</v>
      </c>
      <c r="J330">
        <v>499</v>
      </c>
      <c r="K330" t="s">
        <v>1102</v>
      </c>
      <c r="L330">
        <v>1497</v>
      </c>
      <c r="M330" t="s">
        <v>1093</v>
      </c>
      <c r="N330" t="s">
        <v>1094</v>
      </c>
      <c r="O330">
        <f>Table1[[#This Row],[Unit_Price]]*Table1[[#This Row],[Quantity]]</f>
        <v>450</v>
      </c>
    </row>
    <row r="331" spans="1:15" x14ac:dyDescent="0.3">
      <c r="A331" t="s">
        <v>1702</v>
      </c>
      <c r="B331" t="s">
        <v>1703</v>
      </c>
      <c r="C331" t="s">
        <v>467</v>
      </c>
      <c r="D331" t="s">
        <v>1080</v>
      </c>
      <c r="E331">
        <v>1</v>
      </c>
      <c r="F331">
        <f>_xlfn.XLOOKUP(Table1[[#This Row],[ProductID]],Products!A:A,Products!D:D,,0)</f>
        <v>45</v>
      </c>
      <c r="I331">
        <v>249</v>
      </c>
      <c r="J331">
        <v>212</v>
      </c>
      <c r="K331" t="s">
        <v>1092</v>
      </c>
      <c r="L331">
        <v>212</v>
      </c>
      <c r="M331" t="s">
        <v>1093</v>
      </c>
      <c r="N331" t="s">
        <v>1094</v>
      </c>
      <c r="O331">
        <f>Table1[[#This Row],[Unit_Price]]*Table1[[#This Row],[Quantity]]</f>
        <v>45</v>
      </c>
    </row>
    <row r="332" spans="1:15" x14ac:dyDescent="0.3">
      <c r="A332" t="s">
        <v>1704</v>
      </c>
      <c r="B332" t="s">
        <v>1705</v>
      </c>
      <c r="C332" t="s">
        <v>143</v>
      </c>
      <c r="D332" t="s">
        <v>1053</v>
      </c>
      <c r="E332">
        <v>1</v>
      </c>
      <c r="F332">
        <f>_xlfn.XLOOKUP(Table1[[#This Row],[ProductID]],Products!A:A,Products!D:D,,0)</f>
        <v>200</v>
      </c>
      <c r="I332">
        <v>899</v>
      </c>
      <c r="J332">
        <v>899</v>
      </c>
      <c r="K332" t="s">
        <v>1102</v>
      </c>
      <c r="L332">
        <v>899</v>
      </c>
      <c r="M332" t="s">
        <v>1118</v>
      </c>
      <c r="N332" t="s">
        <v>1099</v>
      </c>
      <c r="O332">
        <f>Table1[[#This Row],[Unit_Price]]*Table1[[#This Row],[Quantity]]</f>
        <v>200</v>
      </c>
    </row>
    <row r="333" spans="1:15" x14ac:dyDescent="0.3">
      <c r="A333" t="s">
        <v>1706</v>
      </c>
      <c r="B333" t="s">
        <v>1707</v>
      </c>
      <c r="C333" t="s">
        <v>723</v>
      </c>
      <c r="D333" t="s">
        <v>1057</v>
      </c>
      <c r="E333">
        <v>1</v>
      </c>
      <c r="F333">
        <f>_xlfn.XLOOKUP(Table1[[#This Row],[ProductID]],Products!A:A,Products!D:D,,0)</f>
        <v>130</v>
      </c>
      <c r="I333">
        <v>549</v>
      </c>
      <c r="J333">
        <v>439</v>
      </c>
      <c r="K333" t="s">
        <v>1097</v>
      </c>
      <c r="L333">
        <v>439</v>
      </c>
      <c r="M333" t="s">
        <v>1126</v>
      </c>
      <c r="N333" t="s">
        <v>1099</v>
      </c>
      <c r="O333">
        <f>Table1[[#This Row],[Unit_Price]]*Table1[[#This Row],[Quantity]]</f>
        <v>130</v>
      </c>
    </row>
    <row r="334" spans="1:15" x14ac:dyDescent="0.3">
      <c r="A334" t="s">
        <v>1708</v>
      </c>
      <c r="B334" t="s">
        <v>1709</v>
      </c>
      <c r="C334" t="s">
        <v>173</v>
      </c>
      <c r="D334" t="s">
        <v>1057</v>
      </c>
      <c r="E334">
        <v>1</v>
      </c>
      <c r="F334">
        <f>_xlfn.XLOOKUP(Table1[[#This Row],[ProductID]],Products!A:A,Products!D:D,,0)</f>
        <v>130</v>
      </c>
      <c r="I334">
        <v>549</v>
      </c>
      <c r="J334">
        <v>439</v>
      </c>
      <c r="K334" t="s">
        <v>1097</v>
      </c>
      <c r="L334">
        <v>439</v>
      </c>
      <c r="M334" t="s">
        <v>1093</v>
      </c>
      <c r="N334" t="s">
        <v>1123</v>
      </c>
      <c r="O334">
        <f>Table1[[#This Row],[Unit_Price]]*Table1[[#This Row],[Quantity]]</f>
        <v>130</v>
      </c>
    </row>
    <row r="335" spans="1:15" x14ac:dyDescent="0.3">
      <c r="A335" t="s">
        <v>1710</v>
      </c>
      <c r="B335" t="s">
        <v>1215</v>
      </c>
      <c r="C335" t="s">
        <v>67</v>
      </c>
      <c r="D335" t="s">
        <v>1051</v>
      </c>
      <c r="E335">
        <v>1</v>
      </c>
      <c r="F335">
        <f>_xlfn.XLOOKUP(Table1[[#This Row],[ProductID]],Products!A:A,Products!D:D,,0)</f>
        <v>150</v>
      </c>
      <c r="I335">
        <v>499</v>
      </c>
      <c r="J335">
        <v>424</v>
      </c>
      <c r="K335" t="s">
        <v>1092</v>
      </c>
      <c r="L335">
        <v>424</v>
      </c>
      <c r="M335" t="s">
        <v>1093</v>
      </c>
      <c r="N335" t="s">
        <v>1099</v>
      </c>
      <c r="O335">
        <f>Table1[[#This Row],[Unit_Price]]*Table1[[#This Row],[Quantity]]</f>
        <v>150</v>
      </c>
    </row>
    <row r="336" spans="1:15" x14ac:dyDescent="0.3">
      <c r="A336" t="s">
        <v>1711</v>
      </c>
      <c r="B336" t="s">
        <v>1712</v>
      </c>
      <c r="C336" t="s">
        <v>1007</v>
      </c>
      <c r="D336" t="s">
        <v>1078</v>
      </c>
      <c r="E336">
        <v>2</v>
      </c>
      <c r="F336">
        <f>_xlfn.XLOOKUP(Table1[[#This Row],[ProductID]],Products!A:A,Products!D:D,,0)</f>
        <v>80</v>
      </c>
      <c r="I336">
        <v>499</v>
      </c>
      <c r="J336">
        <v>449</v>
      </c>
      <c r="K336" t="s">
        <v>1107</v>
      </c>
      <c r="L336">
        <v>898</v>
      </c>
      <c r="M336" t="s">
        <v>1098</v>
      </c>
      <c r="N336" t="s">
        <v>1099</v>
      </c>
      <c r="O336">
        <f>Table1[[#This Row],[Unit_Price]]*Table1[[#This Row],[Quantity]]</f>
        <v>160</v>
      </c>
    </row>
    <row r="337" spans="1:15" x14ac:dyDescent="0.3">
      <c r="A337" t="s">
        <v>1713</v>
      </c>
      <c r="B337" t="s">
        <v>1465</v>
      </c>
      <c r="C337" t="s">
        <v>451</v>
      </c>
      <c r="D337" t="s">
        <v>1055</v>
      </c>
      <c r="E337">
        <v>1</v>
      </c>
      <c r="F337">
        <f>_xlfn.XLOOKUP(Table1[[#This Row],[ProductID]],Products!A:A,Products!D:D,,0)</f>
        <v>75</v>
      </c>
      <c r="I337">
        <v>299</v>
      </c>
      <c r="J337">
        <v>269</v>
      </c>
      <c r="K337" t="s">
        <v>1107</v>
      </c>
      <c r="L337">
        <v>269</v>
      </c>
      <c r="M337" t="s">
        <v>1093</v>
      </c>
      <c r="N337" t="s">
        <v>1099</v>
      </c>
      <c r="O337">
        <f>Table1[[#This Row],[Unit_Price]]*Table1[[#This Row],[Quantity]]</f>
        <v>75</v>
      </c>
    </row>
    <row r="338" spans="1:15" x14ac:dyDescent="0.3">
      <c r="A338" t="s">
        <v>1714</v>
      </c>
      <c r="B338" t="s">
        <v>1715</v>
      </c>
      <c r="C338" t="s">
        <v>162</v>
      </c>
      <c r="D338" t="s">
        <v>1059</v>
      </c>
      <c r="E338">
        <v>4</v>
      </c>
      <c r="F338">
        <f>_xlfn.XLOOKUP(Table1[[#This Row],[ProductID]],Products!A:A,Products!D:D,,0)</f>
        <v>110</v>
      </c>
      <c r="I338">
        <v>399</v>
      </c>
      <c r="J338">
        <v>359</v>
      </c>
      <c r="K338" t="s">
        <v>1107</v>
      </c>
      <c r="L338">
        <v>1436</v>
      </c>
      <c r="M338" t="s">
        <v>1098</v>
      </c>
      <c r="N338" t="s">
        <v>1099</v>
      </c>
      <c r="O338">
        <f>Table1[[#This Row],[Unit_Price]]*Table1[[#This Row],[Quantity]]</f>
        <v>440</v>
      </c>
    </row>
    <row r="339" spans="1:15" x14ac:dyDescent="0.3">
      <c r="A339" t="s">
        <v>1716</v>
      </c>
      <c r="B339" t="s">
        <v>1717</v>
      </c>
      <c r="C339" t="s">
        <v>677</v>
      </c>
      <c r="D339" t="s">
        <v>1057</v>
      </c>
      <c r="E339">
        <v>2</v>
      </c>
      <c r="F339">
        <f>_xlfn.XLOOKUP(Table1[[#This Row],[ProductID]],Products!A:A,Products!D:D,,0)</f>
        <v>130</v>
      </c>
      <c r="I339">
        <v>549</v>
      </c>
      <c r="J339">
        <v>494</v>
      </c>
      <c r="K339" t="s">
        <v>1107</v>
      </c>
      <c r="L339">
        <v>988</v>
      </c>
      <c r="M339" t="s">
        <v>1098</v>
      </c>
      <c r="N339" t="s">
        <v>1099</v>
      </c>
      <c r="O339">
        <f>Table1[[#This Row],[Unit_Price]]*Table1[[#This Row],[Quantity]]</f>
        <v>260</v>
      </c>
    </row>
    <row r="340" spans="1:15" x14ac:dyDescent="0.3">
      <c r="A340" t="s">
        <v>1718</v>
      </c>
      <c r="B340" t="s">
        <v>1719</v>
      </c>
      <c r="C340" t="s">
        <v>52</v>
      </c>
      <c r="D340" t="s">
        <v>1057</v>
      </c>
      <c r="E340">
        <v>2</v>
      </c>
      <c r="F340">
        <f>_xlfn.XLOOKUP(Table1[[#This Row],[ProductID]],Products!A:A,Products!D:D,,0)</f>
        <v>130</v>
      </c>
      <c r="I340">
        <v>549</v>
      </c>
      <c r="J340">
        <v>439</v>
      </c>
      <c r="K340" t="s">
        <v>1097</v>
      </c>
      <c r="L340">
        <v>878</v>
      </c>
      <c r="M340" t="s">
        <v>1098</v>
      </c>
      <c r="N340" t="s">
        <v>1099</v>
      </c>
      <c r="O340">
        <f>Table1[[#This Row],[Unit_Price]]*Table1[[#This Row],[Quantity]]</f>
        <v>260</v>
      </c>
    </row>
    <row r="341" spans="1:15" x14ac:dyDescent="0.3">
      <c r="A341" t="s">
        <v>1720</v>
      </c>
      <c r="B341" t="s">
        <v>1323</v>
      </c>
      <c r="C341" t="s">
        <v>965</v>
      </c>
      <c r="D341" t="s">
        <v>1071</v>
      </c>
      <c r="E341">
        <v>2</v>
      </c>
      <c r="F341">
        <f>_xlfn.XLOOKUP(Table1[[#This Row],[ProductID]],Products!A:A,Products!D:D,,0)</f>
        <v>125</v>
      </c>
      <c r="I341">
        <v>399</v>
      </c>
      <c r="J341">
        <v>359</v>
      </c>
      <c r="K341" t="s">
        <v>1107</v>
      </c>
      <c r="L341">
        <v>718</v>
      </c>
      <c r="M341" t="s">
        <v>1126</v>
      </c>
      <c r="N341" t="s">
        <v>1099</v>
      </c>
      <c r="O341">
        <f>Table1[[#This Row],[Unit_Price]]*Table1[[#This Row],[Quantity]]</f>
        <v>250</v>
      </c>
    </row>
    <row r="342" spans="1:15" x14ac:dyDescent="0.3">
      <c r="A342" t="s">
        <v>1721</v>
      </c>
      <c r="B342" t="s">
        <v>1426</v>
      </c>
      <c r="C342" t="s">
        <v>505</v>
      </c>
      <c r="D342" t="s">
        <v>1073</v>
      </c>
      <c r="E342">
        <v>1</v>
      </c>
      <c r="F342">
        <f>_xlfn.XLOOKUP(Table1[[#This Row],[ProductID]],Products!A:A,Products!D:D,,0)</f>
        <v>100</v>
      </c>
      <c r="I342">
        <v>349</v>
      </c>
      <c r="J342">
        <v>279</v>
      </c>
      <c r="K342" t="s">
        <v>1097</v>
      </c>
      <c r="L342">
        <v>279</v>
      </c>
      <c r="M342" t="s">
        <v>1098</v>
      </c>
      <c r="N342" t="s">
        <v>1099</v>
      </c>
      <c r="O342">
        <f>Table1[[#This Row],[Unit_Price]]*Table1[[#This Row],[Quantity]]</f>
        <v>100</v>
      </c>
    </row>
    <row r="343" spans="1:15" x14ac:dyDescent="0.3">
      <c r="A343" t="s">
        <v>1722</v>
      </c>
      <c r="B343" t="s">
        <v>1723</v>
      </c>
      <c r="C343" t="s">
        <v>849</v>
      </c>
      <c r="D343" t="s">
        <v>1051</v>
      </c>
      <c r="E343">
        <v>1</v>
      </c>
      <c r="F343">
        <f>_xlfn.XLOOKUP(Table1[[#This Row],[ProductID]],Products!A:A,Products!D:D,,0)</f>
        <v>150</v>
      </c>
      <c r="I343">
        <v>499</v>
      </c>
      <c r="J343">
        <v>399</v>
      </c>
      <c r="K343" t="s">
        <v>1097</v>
      </c>
      <c r="L343">
        <v>399</v>
      </c>
      <c r="M343" t="s">
        <v>1093</v>
      </c>
      <c r="N343" t="s">
        <v>1099</v>
      </c>
      <c r="O343">
        <f>Table1[[#This Row],[Unit_Price]]*Table1[[#This Row],[Quantity]]</f>
        <v>150</v>
      </c>
    </row>
    <row r="344" spans="1:15" x14ac:dyDescent="0.3">
      <c r="A344" t="s">
        <v>1724</v>
      </c>
      <c r="B344" t="s">
        <v>1109</v>
      </c>
      <c r="C344" t="s">
        <v>771</v>
      </c>
      <c r="D344" t="s">
        <v>1057</v>
      </c>
      <c r="E344">
        <v>3</v>
      </c>
      <c r="F344">
        <f>_xlfn.XLOOKUP(Table1[[#This Row],[ProductID]],Products!A:A,Products!D:D,,0)</f>
        <v>130</v>
      </c>
      <c r="I344">
        <v>549</v>
      </c>
      <c r="J344">
        <v>494</v>
      </c>
      <c r="K344" t="s">
        <v>1107</v>
      </c>
      <c r="L344">
        <v>1482</v>
      </c>
      <c r="M344" t="s">
        <v>1126</v>
      </c>
      <c r="N344" t="s">
        <v>1099</v>
      </c>
      <c r="O344">
        <f>Table1[[#This Row],[Unit_Price]]*Table1[[#This Row],[Quantity]]</f>
        <v>390</v>
      </c>
    </row>
    <row r="345" spans="1:15" x14ac:dyDescent="0.3">
      <c r="A345" t="s">
        <v>1725</v>
      </c>
      <c r="B345" t="s">
        <v>1357</v>
      </c>
      <c r="C345" t="s">
        <v>297</v>
      </c>
      <c r="D345" t="s">
        <v>1068</v>
      </c>
      <c r="E345">
        <v>1</v>
      </c>
      <c r="F345">
        <f>_xlfn.XLOOKUP(Table1[[#This Row],[ProductID]],Products!A:A,Products!D:D,,0)</f>
        <v>180</v>
      </c>
      <c r="I345">
        <v>449</v>
      </c>
      <c r="J345">
        <v>382</v>
      </c>
      <c r="K345" t="s">
        <v>1092</v>
      </c>
      <c r="L345">
        <v>382</v>
      </c>
      <c r="M345" t="s">
        <v>1098</v>
      </c>
      <c r="N345" t="s">
        <v>1099</v>
      </c>
      <c r="O345">
        <f>Table1[[#This Row],[Unit_Price]]*Table1[[#This Row],[Quantity]]</f>
        <v>180</v>
      </c>
    </row>
    <row r="346" spans="1:15" x14ac:dyDescent="0.3">
      <c r="A346" t="s">
        <v>1726</v>
      </c>
      <c r="B346" t="s">
        <v>1679</v>
      </c>
      <c r="C346" t="s">
        <v>331</v>
      </c>
      <c r="D346" t="s">
        <v>1075</v>
      </c>
      <c r="E346">
        <v>1</v>
      </c>
      <c r="F346">
        <f>_xlfn.XLOOKUP(Table1[[#This Row],[ProductID]],Products!A:A,Products!D:D,,0)</f>
        <v>80</v>
      </c>
      <c r="I346">
        <v>499</v>
      </c>
      <c r="J346">
        <v>499</v>
      </c>
      <c r="K346" t="s">
        <v>1102</v>
      </c>
      <c r="L346">
        <v>499</v>
      </c>
      <c r="M346" t="s">
        <v>1126</v>
      </c>
      <c r="N346" t="s">
        <v>1099</v>
      </c>
      <c r="O346">
        <f>Table1[[#This Row],[Unit_Price]]*Table1[[#This Row],[Quantity]]</f>
        <v>80</v>
      </c>
    </row>
    <row r="347" spans="1:15" x14ac:dyDescent="0.3">
      <c r="A347" t="s">
        <v>1727</v>
      </c>
      <c r="B347" t="s">
        <v>1728</v>
      </c>
      <c r="C347" t="s">
        <v>223</v>
      </c>
      <c r="D347" t="s">
        <v>1080</v>
      </c>
      <c r="E347">
        <v>3</v>
      </c>
      <c r="F347">
        <f>_xlfn.XLOOKUP(Table1[[#This Row],[ProductID]],Products!A:A,Products!D:D,,0)</f>
        <v>45</v>
      </c>
      <c r="I347">
        <v>249</v>
      </c>
      <c r="J347">
        <v>224</v>
      </c>
      <c r="K347" t="s">
        <v>1107</v>
      </c>
      <c r="L347">
        <v>672</v>
      </c>
      <c r="M347" t="s">
        <v>1098</v>
      </c>
      <c r="N347" t="s">
        <v>1099</v>
      </c>
      <c r="O347">
        <f>Table1[[#This Row],[Unit_Price]]*Table1[[#This Row],[Quantity]]</f>
        <v>135</v>
      </c>
    </row>
    <row r="348" spans="1:15" x14ac:dyDescent="0.3">
      <c r="A348" t="s">
        <v>1729</v>
      </c>
      <c r="B348" t="s">
        <v>1730</v>
      </c>
      <c r="C348" t="s">
        <v>733</v>
      </c>
      <c r="D348" t="s">
        <v>1064</v>
      </c>
      <c r="E348">
        <v>2</v>
      </c>
      <c r="F348">
        <f>_xlfn.XLOOKUP(Table1[[#This Row],[ProductID]],Products!A:A,Products!D:D,,0)</f>
        <v>160</v>
      </c>
      <c r="I348">
        <v>699</v>
      </c>
      <c r="J348">
        <v>559</v>
      </c>
      <c r="K348" t="s">
        <v>1097</v>
      </c>
      <c r="L348">
        <v>1118</v>
      </c>
      <c r="M348" t="s">
        <v>1093</v>
      </c>
      <c r="N348" t="s">
        <v>1094</v>
      </c>
      <c r="O348">
        <f>Table1[[#This Row],[Unit_Price]]*Table1[[#This Row],[Quantity]]</f>
        <v>320</v>
      </c>
    </row>
    <row r="349" spans="1:15" x14ac:dyDescent="0.3">
      <c r="A349" t="s">
        <v>1731</v>
      </c>
      <c r="B349" t="s">
        <v>1732</v>
      </c>
      <c r="C349" t="s">
        <v>585</v>
      </c>
      <c r="D349" t="s">
        <v>1059</v>
      </c>
      <c r="E349">
        <v>4</v>
      </c>
      <c r="F349">
        <f>_xlfn.XLOOKUP(Table1[[#This Row],[ProductID]],Products!A:A,Products!D:D,,0)</f>
        <v>110</v>
      </c>
      <c r="I349">
        <v>399</v>
      </c>
      <c r="J349">
        <v>319</v>
      </c>
      <c r="K349" t="s">
        <v>1097</v>
      </c>
      <c r="L349">
        <v>1276</v>
      </c>
      <c r="M349" t="s">
        <v>1093</v>
      </c>
      <c r="N349" t="s">
        <v>1094</v>
      </c>
      <c r="O349">
        <f>Table1[[#This Row],[Unit_Price]]*Table1[[#This Row],[Quantity]]</f>
        <v>440</v>
      </c>
    </row>
    <row r="350" spans="1:15" x14ac:dyDescent="0.3">
      <c r="A350" t="s">
        <v>1733</v>
      </c>
      <c r="B350" t="s">
        <v>1734</v>
      </c>
      <c r="C350" t="s">
        <v>787</v>
      </c>
      <c r="D350" t="s">
        <v>1051</v>
      </c>
      <c r="E350">
        <v>2</v>
      </c>
      <c r="F350">
        <f>_xlfn.XLOOKUP(Table1[[#This Row],[ProductID]],Products!A:A,Products!D:D,,0)</f>
        <v>150</v>
      </c>
      <c r="I350">
        <v>499</v>
      </c>
      <c r="J350">
        <v>449</v>
      </c>
      <c r="K350" t="s">
        <v>1107</v>
      </c>
      <c r="L350">
        <v>898</v>
      </c>
      <c r="M350" t="s">
        <v>1093</v>
      </c>
      <c r="N350" t="s">
        <v>1099</v>
      </c>
      <c r="O350">
        <f>Table1[[#This Row],[Unit_Price]]*Table1[[#This Row],[Quantity]]</f>
        <v>300</v>
      </c>
    </row>
    <row r="351" spans="1:15" x14ac:dyDescent="0.3">
      <c r="A351" t="s">
        <v>1735</v>
      </c>
      <c r="B351" t="s">
        <v>1736</v>
      </c>
      <c r="C351" t="s">
        <v>713</v>
      </c>
      <c r="D351" t="s">
        <v>1062</v>
      </c>
      <c r="E351">
        <v>2</v>
      </c>
      <c r="F351">
        <f>_xlfn.XLOOKUP(Table1[[#This Row],[ProductID]],Products!A:A,Products!D:D,,0)</f>
        <v>95</v>
      </c>
      <c r="I351">
        <v>349</v>
      </c>
      <c r="J351">
        <v>314</v>
      </c>
      <c r="K351" t="s">
        <v>1107</v>
      </c>
      <c r="L351">
        <v>628</v>
      </c>
      <c r="M351" t="s">
        <v>1098</v>
      </c>
      <c r="N351" t="s">
        <v>1099</v>
      </c>
      <c r="O351">
        <f>Table1[[#This Row],[Unit_Price]]*Table1[[#This Row],[Quantity]]</f>
        <v>190</v>
      </c>
    </row>
    <row r="352" spans="1:15" x14ac:dyDescent="0.3">
      <c r="A352" t="s">
        <v>1737</v>
      </c>
      <c r="B352" t="s">
        <v>1738</v>
      </c>
      <c r="C352" t="s">
        <v>353</v>
      </c>
      <c r="D352" t="s">
        <v>1059</v>
      </c>
      <c r="E352">
        <v>1</v>
      </c>
      <c r="F352">
        <f>_xlfn.XLOOKUP(Table1[[#This Row],[ProductID]],Products!A:A,Products!D:D,,0)</f>
        <v>110</v>
      </c>
      <c r="I352">
        <v>399</v>
      </c>
      <c r="J352">
        <v>319</v>
      </c>
      <c r="K352" t="s">
        <v>1097</v>
      </c>
      <c r="L352">
        <v>319</v>
      </c>
      <c r="M352" t="s">
        <v>1093</v>
      </c>
      <c r="N352" t="s">
        <v>1094</v>
      </c>
      <c r="O352">
        <f>Table1[[#This Row],[Unit_Price]]*Table1[[#This Row],[Quantity]]</f>
        <v>110</v>
      </c>
    </row>
    <row r="353" spans="1:15" x14ac:dyDescent="0.3">
      <c r="A353" t="s">
        <v>1739</v>
      </c>
      <c r="B353" t="s">
        <v>1493</v>
      </c>
      <c r="C353" t="s">
        <v>609</v>
      </c>
      <c r="D353" t="s">
        <v>1080</v>
      </c>
      <c r="E353">
        <v>1</v>
      </c>
      <c r="F353">
        <f>_xlfn.XLOOKUP(Table1[[#This Row],[ProductID]],Products!A:A,Products!D:D,,0)</f>
        <v>45</v>
      </c>
      <c r="I353">
        <v>249</v>
      </c>
      <c r="J353">
        <v>249</v>
      </c>
      <c r="K353" t="s">
        <v>1102</v>
      </c>
      <c r="L353">
        <v>249</v>
      </c>
      <c r="M353" t="s">
        <v>1098</v>
      </c>
      <c r="N353" t="s">
        <v>1099</v>
      </c>
      <c r="O353">
        <f>Table1[[#This Row],[Unit_Price]]*Table1[[#This Row],[Quantity]]</f>
        <v>45</v>
      </c>
    </row>
    <row r="354" spans="1:15" x14ac:dyDescent="0.3">
      <c r="A354" t="s">
        <v>1740</v>
      </c>
      <c r="B354" t="s">
        <v>1741</v>
      </c>
      <c r="C354" t="s">
        <v>849</v>
      </c>
      <c r="D354" t="s">
        <v>1059</v>
      </c>
      <c r="E354">
        <v>2</v>
      </c>
      <c r="F354">
        <f>_xlfn.XLOOKUP(Table1[[#This Row],[ProductID]],Products!A:A,Products!D:D,,0)</f>
        <v>110</v>
      </c>
      <c r="I354">
        <v>399</v>
      </c>
      <c r="J354">
        <v>339</v>
      </c>
      <c r="K354" t="s">
        <v>1092</v>
      </c>
      <c r="L354">
        <v>678</v>
      </c>
      <c r="M354" t="s">
        <v>1093</v>
      </c>
      <c r="N354" t="s">
        <v>1099</v>
      </c>
      <c r="O354">
        <f>Table1[[#This Row],[Unit_Price]]*Table1[[#This Row],[Quantity]]</f>
        <v>220</v>
      </c>
    </row>
    <row r="355" spans="1:15" x14ac:dyDescent="0.3">
      <c r="A355" t="s">
        <v>1742</v>
      </c>
      <c r="B355" t="s">
        <v>1743</v>
      </c>
      <c r="C355" t="s">
        <v>537</v>
      </c>
      <c r="D355" t="s">
        <v>1062</v>
      </c>
      <c r="E355">
        <v>2</v>
      </c>
      <c r="F355">
        <f>_xlfn.XLOOKUP(Table1[[#This Row],[ProductID]],Products!A:A,Products!D:D,,0)</f>
        <v>95</v>
      </c>
      <c r="I355">
        <v>349</v>
      </c>
      <c r="J355">
        <v>297</v>
      </c>
      <c r="K355" t="s">
        <v>1092</v>
      </c>
      <c r="L355">
        <v>594</v>
      </c>
      <c r="M355" t="s">
        <v>1098</v>
      </c>
      <c r="N355" t="s">
        <v>1099</v>
      </c>
      <c r="O355">
        <f>Table1[[#This Row],[Unit_Price]]*Table1[[#This Row],[Quantity]]</f>
        <v>190</v>
      </c>
    </row>
    <row r="356" spans="1:15" x14ac:dyDescent="0.3">
      <c r="A356" t="s">
        <v>1744</v>
      </c>
      <c r="B356" t="s">
        <v>1132</v>
      </c>
      <c r="C356" t="s">
        <v>529</v>
      </c>
      <c r="D356" t="s">
        <v>1062</v>
      </c>
      <c r="E356">
        <v>1</v>
      </c>
      <c r="F356">
        <f>_xlfn.XLOOKUP(Table1[[#This Row],[ProductID]],Products!A:A,Products!D:D,,0)</f>
        <v>95</v>
      </c>
      <c r="I356">
        <v>349</v>
      </c>
      <c r="J356">
        <v>297</v>
      </c>
      <c r="K356" t="s">
        <v>1092</v>
      </c>
      <c r="L356">
        <v>297</v>
      </c>
      <c r="M356" t="s">
        <v>1093</v>
      </c>
      <c r="N356" t="s">
        <v>1099</v>
      </c>
      <c r="O356">
        <f>Table1[[#This Row],[Unit_Price]]*Table1[[#This Row],[Quantity]]</f>
        <v>95</v>
      </c>
    </row>
    <row r="357" spans="1:15" x14ac:dyDescent="0.3">
      <c r="A357" t="s">
        <v>1745</v>
      </c>
      <c r="B357" t="s">
        <v>1386</v>
      </c>
      <c r="C357" t="s">
        <v>253</v>
      </c>
      <c r="D357" t="s">
        <v>1062</v>
      </c>
      <c r="E357">
        <v>1</v>
      </c>
      <c r="F357">
        <f>_xlfn.XLOOKUP(Table1[[#This Row],[ProductID]],Products!A:A,Products!D:D,,0)</f>
        <v>95</v>
      </c>
      <c r="I357">
        <v>349</v>
      </c>
      <c r="J357">
        <v>279</v>
      </c>
      <c r="K357" t="s">
        <v>1097</v>
      </c>
      <c r="L357">
        <v>279</v>
      </c>
      <c r="M357" t="s">
        <v>1093</v>
      </c>
      <c r="N357" t="s">
        <v>1099</v>
      </c>
      <c r="O357">
        <f>Table1[[#This Row],[Unit_Price]]*Table1[[#This Row],[Quantity]]</f>
        <v>95</v>
      </c>
    </row>
    <row r="358" spans="1:15" x14ac:dyDescent="0.3">
      <c r="A358" t="s">
        <v>1746</v>
      </c>
      <c r="B358" t="s">
        <v>1715</v>
      </c>
      <c r="C358" t="s">
        <v>959</v>
      </c>
      <c r="D358" t="s">
        <v>1053</v>
      </c>
      <c r="E358">
        <v>1</v>
      </c>
      <c r="F358">
        <f>_xlfn.XLOOKUP(Table1[[#This Row],[ProductID]],Products!A:A,Products!D:D,,0)</f>
        <v>200</v>
      </c>
      <c r="I358">
        <v>899</v>
      </c>
      <c r="J358">
        <v>809</v>
      </c>
      <c r="K358" t="s">
        <v>1107</v>
      </c>
      <c r="L358">
        <v>809</v>
      </c>
      <c r="M358" t="s">
        <v>1093</v>
      </c>
      <c r="N358" t="s">
        <v>1099</v>
      </c>
      <c r="O358">
        <f>Table1[[#This Row],[Unit_Price]]*Table1[[#This Row],[Quantity]]</f>
        <v>200</v>
      </c>
    </row>
    <row r="359" spans="1:15" x14ac:dyDescent="0.3">
      <c r="A359" t="s">
        <v>1747</v>
      </c>
      <c r="B359" t="s">
        <v>1202</v>
      </c>
      <c r="C359" t="s">
        <v>311</v>
      </c>
      <c r="D359" t="s">
        <v>1066</v>
      </c>
      <c r="E359">
        <v>1</v>
      </c>
      <c r="F359">
        <f>_xlfn.XLOOKUP(Table1[[#This Row],[ProductID]],Products!A:A,Products!D:D,,0)</f>
        <v>140</v>
      </c>
      <c r="I359">
        <v>499</v>
      </c>
      <c r="J359">
        <v>499</v>
      </c>
      <c r="K359" t="s">
        <v>1102</v>
      </c>
      <c r="L359">
        <v>499</v>
      </c>
      <c r="M359" t="s">
        <v>1093</v>
      </c>
      <c r="N359" t="s">
        <v>1099</v>
      </c>
      <c r="O359">
        <f>Table1[[#This Row],[Unit_Price]]*Table1[[#This Row],[Quantity]]</f>
        <v>140</v>
      </c>
    </row>
    <row r="360" spans="1:15" x14ac:dyDescent="0.3">
      <c r="A360" t="s">
        <v>1748</v>
      </c>
      <c r="B360" t="s">
        <v>1381</v>
      </c>
      <c r="C360" t="s">
        <v>627</v>
      </c>
      <c r="D360" t="s">
        <v>1048</v>
      </c>
      <c r="E360">
        <v>1</v>
      </c>
      <c r="F360">
        <f>_xlfn.XLOOKUP(Table1[[#This Row],[ProductID]],Products!A:A,Products!D:D,,0)</f>
        <v>120</v>
      </c>
      <c r="I360">
        <v>599</v>
      </c>
      <c r="J360">
        <v>539</v>
      </c>
      <c r="K360" t="s">
        <v>1107</v>
      </c>
      <c r="L360">
        <v>539</v>
      </c>
      <c r="M360" t="s">
        <v>1098</v>
      </c>
      <c r="N360" t="s">
        <v>1099</v>
      </c>
      <c r="O360">
        <f>Table1[[#This Row],[Unit_Price]]*Table1[[#This Row],[Quantity]]</f>
        <v>120</v>
      </c>
    </row>
    <row r="361" spans="1:15" x14ac:dyDescent="0.3">
      <c r="A361" t="s">
        <v>1749</v>
      </c>
      <c r="B361" t="s">
        <v>1672</v>
      </c>
      <c r="C361" t="s">
        <v>195</v>
      </c>
      <c r="D361" t="s">
        <v>1062</v>
      </c>
      <c r="E361">
        <v>2</v>
      </c>
      <c r="F361">
        <f>_xlfn.XLOOKUP(Table1[[#This Row],[ProductID]],Products!A:A,Products!D:D,,0)</f>
        <v>95</v>
      </c>
      <c r="I361">
        <v>349</v>
      </c>
      <c r="J361">
        <v>279</v>
      </c>
      <c r="K361" t="s">
        <v>1097</v>
      </c>
      <c r="L361">
        <v>558</v>
      </c>
      <c r="M361" t="s">
        <v>1098</v>
      </c>
      <c r="N361" t="s">
        <v>1099</v>
      </c>
      <c r="O361">
        <f>Table1[[#This Row],[Unit_Price]]*Table1[[#This Row],[Quantity]]</f>
        <v>190</v>
      </c>
    </row>
    <row r="362" spans="1:15" x14ac:dyDescent="0.3">
      <c r="A362" t="s">
        <v>1750</v>
      </c>
      <c r="B362" t="s">
        <v>1736</v>
      </c>
      <c r="C362" t="s">
        <v>623</v>
      </c>
      <c r="D362" t="s">
        <v>1075</v>
      </c>
      <c r="E362">
        <v>2</v>
      </c>
      <c r="F362">
        <f>_xlfn.XLOOKUP(Table1[[#This Row],[ProductID]],Products!A:A,Products!D:D,,0)</f>
        <v>80</v>
      </c>
      <c r="I362">
        <v>499</v>
      </c>
      <c r="J362">
        <v>449</v>
      </c>
      <c r="K362" t="s">
        <v>1107</v>
      </c>
      <c r="L362">
        <v>898</v>
      </c>
      <c r="M362" t="s">
        <v>1126</v>
      </c>
      <c r="N362" t="s">
        <v>1099</v>
      </c>
      <c r="O362">
        <f>Table1[[#This Row],[Unit_Price]]*Table1[[#This Row],[Quantity]]</f>
        <v>160</v>
      </c>
    </row>
    <row r="363" spans="1:15" x14ac:dyDescent="0.3">
      <c r="A363" t="s">
        <v>1751</v>
      </c>
      <c r="B363" t="s">
        <v>1752</v>
      </c>
      <c r="C363" t="s">
        <v>34</v>
      </c>
      <c r="D363" t="s">
        <v>1073</v>
      </c>
      <c r="E363">
        <v>2</v>
      </c>
      <c r="F363">
        <f>_xlfn.XLOOKUP(Table1[[#This Row],[ProductID]],Products!A:A,Products!D:D,,0)</f>
        <v>100</v>
      </c>
      <c r="I363">
        <v>349</v>
      </c>
      <c r="J363">
        <v>349</v>
      </c>
      <c r="K363" t="s">
        <v>1102</v>
      </c>
      <c r="L363">
        <v>698</v>
      </c>
      <c r="M363" t="s">
        <v>1098</v>
      </c>
      <c r="N363" t="s">
        <v>1099</v>
      </c>
      <c r="O363">
        <f>Table1[[#This Row],[Unit_Price]]*Table1[[#This Row],[Quantity]]</f>
        <v>200</v>
      </c>
    </row>
    <row r="364" spans="1:15" x14ac:dyDescent="0.3">
      <c r="A364" t="s">
        <v>1753</v>
      </c>
      <c r="B364" t="s">
        <v>1463</v>
      </c>
      <c r="C364" t="s">
        <v>409</v>
      </c>
      <c r="D364" t="s">
        <v>1048</v>
      </c>
      <c r="E364">
        <v>1</v>
      </c>
      <c r="F364">
        <f>_xlfn.XLOOKUP(Table1[[#This Row],[ProductID]],Products!A:A,Products!D:D,,0)</f>
        <v>120</v>
      </c>
      <c r="I364">
        <v>599</v>
      </c>
      <c r="J364">
        <v>479</v>
      </c>
      <c r="K364" t="s">
        <v>1097</v>
      </c>
      <c r="L364">
        <v>479</v>
      </c>
      <c r="M364" t="s">
        <v>1093</v>
      </c>
      <c r="N364" t="s">
        <v>1094</v>
      </c>
      <c r="O364">
        <f>Table1[[#This Row],[Unit_Price]]*Table1[[#This Row],[Quantity]]</f>
        <v>120</v>
      </c>
    </row>
    <row r="365" spans="1:15" x14ac:dyDescent="0.3">
      <c r="A365" t="s">
        <v>1754</v>
      </c>
      <c r="B365" t="s">
        <v>1755</v>
      </c>
      <c r="C365" t="s">
        <v>449</v>
      </c>
      <c r="D365" t="s">
        <v>1059</v>
      </c>
      <c r="E365">
        <v>1</v>
      </c>
      <c r="F365">
        <f>_xlfn.XLOOKUP(Table1[[#This Row],[ProductID]],Products!A:A,Products!D:D,,0)</f>
        <v>110</v>
      </c>
      <c r="I365">
        <v>399</v>
      </c>
      <c r="J365">
        <v>359</v>
      </c>
      <c r="K365" t="s">
        <v>1107</v>
      </c>
      <c r="L365">
        <v>359</v>
      </c>
      <c r="M365" t="s">
        <v>1093</v>
      </c>
      <c r="N365" t="s">
        <v>1094</v>
      </c>
      <c r="O365">
        <f>Table1[[#This Row],[Unit_Price]]*Table1[[#This Row],[Quantity]]</f>
        <v>110</v>
      </c>
    </row>
    <row r="366" spans="1:15" x14ac:dyDescent="0.3">
      <c r="A366" t="s">
        <v>1756</v>
      </c>
      <c r="B366" t="s">
        <v>1101</v>
      </c>
      <c r="C366" t="s">
        <v>369</v>
      </c>
      <c r="D366" t="s">
        <v>1048</v>
      </c>
      <c r="E366">
        <v>1</v>
      </c>
      <c r="F366">
        <f>_xlfn.XLOOKUP(Table1[[#This Row],[ProductID]],Products!A:A,Products!D:D,,0)</f>
        <v>120</v>
      </c>
      <c r="I366">
        <v>599</v>
      </c>
      <c r="J366">
        <v>599</v>
      </c>
      <c r="K366" t="s">
        <v>1102</v>
      </c>
      <c r="L366">
        <v>599</v>
      </c>
      <c r="M366" t="s">
        <v>1098</v>
      </c>
      <c r="N366" t="s">
        <v>1099</v>
      </c>
      <c r="O366">
        <f>Table1[[#This Row],[Unit_Price]]*Table1[[#This Row],[Quantity]]</f>
        <v>120</v>
      </c>
    </row>
    <row r="367" spans="1:15" x14ac:dyDescent="0.3">
      <c r="A367" t="s">
        <v>1757</v>
      </c>
      <c r="B367" t="s">
        <v>1414</v>
      </c>
      <c r="C367" t="s">
        <v>138</v>
      </c>
      <c r="D367" t="s">
        <v>1051</v>
      </c>
      <c r="E367">
        <v>3</v>
      </c>
      <c r="F367">
        <f>_xlfn.XLOOKUP(Table1[[#This Row],[ProductID]],Products!A:A,Products!D:D,,0)</f>
        <v>150</v>
      </c>
      <c r="I367">
        <v>499</v>
      </c>
      <c r="J367">
        <v>449</v>
      </c>
      <c r="K367" t="s">
        <v>1107</v>
      </c>
      <c r="L367">
        <v>1347</v>
      </c>
      <c r="M367" t="s">
        <v>1093</v>
      </c>
      <c r="N367" t="s">
        <v>1099</v>
      </c>
      <c r="O367">
        <f>Table1[[#This Row],[Unit_Price]]*Table1[[#This Row],[Quantity]]</f>
        <v>450</v>
      </c>
    </row>
    <row r="368" spans="1:15" x14ac:dyDescent="0.3">
      <c r="A368" t="s">
        <v>1758</v>
      </c>
      <c r="B368" t="s">
        <v>1759</v>
      </c>
      <c r="C368" t="s">
        <v>453</v>
      </c>
      <c r="D368" t="s">
        <v>1075</v>
      </c>
      <c r="E368">
        <v>1</v>
      </c>
      <c r="F368">
        <f>_xlfn.XLOOKUP(Table1[[#This Row],[ProductID]],Products!A:A,Products!D:D,,0)</f>
        <v>80</v>
      </c>
      <c r="I368">
        <v>499</v>
      </c>
      <c r="J368">
        <v>399</v>
      </c>
      <c r="K368" t="s">
        <v>1097</v>
      </c>
      <c r="L368">
        <v>399</v>
      </c>
      <c r="M368" t="s">
        <v>1098</v>
      </c>
      <c r="N368" t="s">
        <v>1099</v>
      </c>
      <c r="O368">
        <f>Table1[[#This Row],[Unit_Price]]*Table1[[#This Row],[Quantity]]</f>
        <v>80</v>
      </c>
    </row>
    <row r="369" spans="1:15" x14ac:dyDescent="0.3">
      <c r="A369" t="s">
        <v>1760</v>
      </c>
      <c r="B369" t="s">
        <v>1761</v>
      </c>
      <c r="C369" t="s">
        <v>891</v>
      </c>
      <c r="D369" t="s">
        <v>1048</v>
      </c>
      <c r="E369">
        <v>1</v>
      </c>
      <c r="F369">
        <f>_xlfn.XLOOKUP(Table1[[#This Row],[ProductID]],Products!A:A,Products!D:D,,0)</f>
        <v>120</v>
      </c>
      <c r="I369">
        <v>599</v>
      </c>
      <c r="J369">
        <v>479</v>
      </c>
      <c r="K369" t="s">
        <v>1097</v>
      </c>
      <c r="L369">
        <v>479</v>
      </c>
      <c r="M369" t="s">
        <v>1093</v>
      </c>
      <c r="N369" t="s">
        <v>1094</v>
      </c>
      <c r="O369">
        <f>Table1[[#This Row],[Unit_Price]]*Table1[[#This Row],[Quantity]]</f>
        <v>120</v>
      </c>
    </row>
    <row r="370" spans="1:15" x14ac:dyDescent="0.3">
      <c r="A370" t="s">
        <v>1762</v>
      </c>
      <c r="B370" t="s">
        <v>1763</v>
      </c>
      <c r="C370" t="s">
        <v>673</v>
      </c>
      <c r="D370" t="s">
        <v>1080</v>
      </c>
      <c r="E370">
        <v>1</v>
      </c>
      <c r="F370">
        <f>_xlfn.XLOOKUP(Table1[[#This Row],[ProductID]],Products!A:A,Products!D:D,,0)</f>
        <v>45</v>
      </c>
      <c r="I370">
        <v>249</v>
      </c>
      <c r="J370">
        <v>249</v>
      </c>
      <c r="K370" t="s">
        <v>1102</v>
      </c>
      <c r="L370">
        <v>249</v>
      </c>
      <c r="M370" t="s">
        <v>1118</v>
      </c>
      <c r="N370" t="s">
        <v>1099</v>
      </c>
      <c r="O370">
        <f>Table1[[#This Row],[Unit_Price]]*Table1[[#This Row],[Quantity]]</f>
        <v>45</v>
      </c>
    </row>
    <row r="371" spans="1:15" x14ac:dyDescent="0.3">
      <c r="A371" t="s">
        <v>1764</v>
      </c>
      <c r="B371" t="s">
        <v>1765</v>
      </c>
      <c r="C371" t="s">
        <v>923</v>
      </c>
      <c r="D371" t="s">
        <v>1075</v>
      </c>
      <c r="E371">
        <v>1</v>
      </c>
      <c r="F371">
        <f>_xlfn.XLOOKUP(Table1[[#This Row],[ProductID]],Products!A:A,Products!D:D,,0)</f>
        <v>80</v>
      </c>
      <c r="I371">
        <v>499</v>
      </c>
      <c r="J371">
        <v>449</v>
      </c>
      <c r="K371" t="s">
        <v>1107</v>
      </c>
      <c r="L371">
        <v>449</v>
      </c>
      <c r="M371" t="s">
        <v>1126</v>
      </c>
      <c r="N371" t="s">
        <v>1099</v>
      </c>
      <c r="O371">
        <f>Table1[[#This Row],[Unit_Price]]*Table1[[#This Row],[Quantity]]</f>
        <v>80</v>
      </c>
    </row>
    <row r="372" spans="1:15" x14ac:dyDescent="0.3">
      <c r="A372" t="s">
        <v>1766</v>
      </c>
      <c r="B372" t="s">
        <v>1761</v>
      </c>
      <c r="C372" t="s">
        <v>257</v>
      </c>
      <c r="D372" t="s">
        <v>1071</v>
      </c>
      <c r="E372">
        <v>1</v>
      </c>
      <c r="F372">
        <f>_xlfn.XLOOKUP(Table1[[#This Row],[ProductID]],Products!A:A,Products!D:D,,0)</f>
        <v>125</v>
      </c>
      <c r="I372">
        <v>399</v>
      </c>
      <c r="J372">
        <v>339</v>
      </c>
      <c r="K372" t="s">
        <v>1092</v>
      </c>
      <c r="L372">
        <v>339</v>
      </c>
      <c r="M372" t="s">
        <v>1093</v>
      </c>
      <c r="N372" t="s">
        <v>1094</v>
      </c>
      <c r="O372">
        <f>Table1[[#This Row],[Unit_Price]]*Table1[[#This Row],[Quantity]]</f>
        <v>125</v>
      </c>
    </row>
    <row r="373" spans="1:15" x14ac:dyDescent="0.3">
      <c r="A373" t="s">
        <v>1767</v>
      </c>
      <c r="B373" t="s">
        <v>1768</v>
      </c>
      <c r="C373" t="s">
        <v>909</v>
      </c>
      <c r="D373" t="s">
        <v>1068</v>
      </c>
      <c r="E373">
        <v>1</v>
      </c>
      <c r="F373">
        <f>_xlfn.XLOOKUP(Table1[[#This Row],[ProductID]],Products!A:A,Products!D:D,,0)</f>
        <v>180</v>
      </c>
      <c r="I373">
        <v>449</v>
      </c>
      <c r="J373">
        <v>359</v>
      </c>
      <c r="K373" t="s">
        <v>1097</v>
      </c>
      <c r="L373">
        <v>359</v>
      </c>
      <c r="M373" t="s">
        <v>1098</v>
      </c>
      <c r="N373" t="s">
        <v>1099</v>
      </c>
      <c r="O373">
        <f>Table1[[#This Row],[Unit_Price]]*Table1[[#This Row],[Quantity]]</f>
        <v>180</v>
      </c>
    </row>
    <row r="374" spans="1:15" x14ac:dyDescent="0.3">
      <c r="A374" t="s">
        <v>1769</v>
      </c>
      <c r="B374" t="s">
        <v>1770</v>
      </c>
      <c r="C374" t="s">
        <v>577</v>
      </c>
      <c r="D374" t="s">
        <v>1048</v>
      </c>
      <c r="E374">
        <v>1</v>
      </c>
      <c r="F374">
        <f>_xlfn.XLOOKUP(Table1[[#This Row],[ProductID]],Products!A:A,Products!D:D,,0)</f>
        <v>120</v>
      </c>
      <c r="I374">
        <v>599</v>
      </c>
      <c r="J374">
        <v>539</v>
      </c>
      <c r="K374" t="s">
        <v>1107</v>
      </c>
      <c r="L374">
        <v>539</v>
      </c>
      <c r="M374" t="s">
        <v>1098</v>
      </c>
      <c r="N374" t="s">
        <v>1099</v>
      </c>
      <c r="O374">
        <f>Table1[[#This Row],[Unit_Price]]*Table1[[#This Row],[Quantity]]</f>
        <v>120</v>
      </c>
    </row>
    <row r="375" spans="1:15" x14ac:dyDescent="0.3">
      <c r="A375" t="s">
        <v>1771</v>
      </c>
      <c r="B375" t="s">
        <v>1772</v>
      </c>
      <c r="C375" t="s">
        <v>459</v>
      </c>
      <c r="D375" t="s">
        <v>1048</v>
      </c>
      <c r="E375">
        <v>2</v>
      </c>
      <c r="F375">
        <f>_xlfn.XLOOKUP(Table1[[#This Row],[ProductID]],Products!A:A,Products!D:D,,0)</f>
        <v>120</v>
      </c>
      <c r="I375">
        <v>599</v>
      </c>
      <c r="J375">
        <v>479</v>
      </c>
      <c r="K375" t="s">
        <v>1097</v>
      </c>
      <c r="L375">
        <v>958</v>
      </c>
      <c r="M375" t="s">
        <v>1118</v>
      </c>
      <c r="N375" t="s">
        <v>1099</v>
      </c>
      <c r="O375">
        <f>Table1[[#This Row],[Unit_Price]]*Table1[[#This Row],[Quantity]]</f>
        <v>240</v>
      </c>
    </row>
    <row r="376" spans="1:15" x14ac:dyDescent="0.3">
      <c r="A376" t="s">
        <v>1773</v>
      </c>
      <c r="B376" t="s">
        <v>1774</v>
      </c>
      <c r="C376" t="s">
        <v>108</v>
      </c>
      <c r="D376" t="s">
        <v>1073</v>
      </c>
      <c r="E376">
        <v>2</v>
      </c>
      <c r="F376">
        <f>_xlfn.XLOOKUP(Table1[[#This Row],[ProductID]],Products!A:A,Products!D:D,,0)</f>
        <v>100</v>
      </c>
      <c r="I376">
        <v>349</v>
      </c>
      <c r="J376">
        <v>314</v>
      </c>
      <c r="K376" t="s">
        <v>1107</v>
      </c>
      <c r="L376">
        <v>628</v>
      </c>
      <c r="M376" t="s">
        <v>1126</v>
      </c>
      <c r="N376" t="s">
        <v>1099</v>
      </c>
      <c r="O376">
        <f>Table1[[#This Row],[Unit_Price]]*Table1[[#This Row],[Quantity]]</f>
        <v>200</v>
      </c>
    </row>
    <row r="377" spans="1:15" x14ac:dyDescent="0.3">
      <c r="A377" t="s">
        <v>1775</v>
      </c>
      <c r="B377" t="s">
        <v>1606</v>
      </c>
      <c r="C377" t="s">
        <v>83</v>
      </c>
      <c r="D377" t="s">
        <v>1053</v>
      </c>
      <c r="E377">
        <v>1</v>
      </c>
      <c r="F377">
        <f>_xlfn.XLOOKUP(Table1[[#This Row],[ProductID]],Products!A:A,Products!D:D,,0)</f>
        <v>200</v>
      </c>
      <c r="I377">
        <v>899</v>
      </c>
      <c r="J377">
        <v>764</v>
      </c>
      <c r="K377" t="s">
        <v>1092</v>
      </c>
      <c r="L377">
        <v>764</v>
      </c>
      <c r="M377" t="s">
        <v>1098</v>
      </c>
      <c r="N377" t="s">
        <v>1099</v>
      </c>
      <c r="O377">
        <f>Table1[[#This Row],[Unit_Price]]*Table1[[#This Row],[Quantity]]</f>
        <v>200</v>
      </c>
    </row>
    <row r="378" spans="1:15" x14ac:dyDescent="0.3">
      <c r="A378" t="s">
        <v>1776</v>
      </c>
      <c r="B378" t="s">
        <v>1537</v>
      </c>
      <c r="C378" t="s">
        <v>803</v>
      </c>
      <c r="D378" t="s">
        <v>1059</v>
      </c>
      <c r="E378">
        <v>1</v>
      </c>
      <c r="F378">
        <f>_xlfn.XLOOKUP(Table1[[#This Row],[ProductID]],Products!A:A,Products!D:D,,0)</f>
        <v>110</v>
      </c>
      <c r="I378">
        <v>399</v>
      </c>
      <c r="J378">
        <v>399</v>
      </c>
      <c r="K378" t="s">
        <v>1102</v>
      </c>
      <c r="L378">
        <v>399</v>
      </c>
      <c r="M378" t="s">
        <v>1093</v>
      </c>
      <c r="N378" t="s">
        <v>1123</v>
      </c>
      <c r="O378">
        <f>Table1[[#This Row],[Unit_Price]]*Table1[[#This Row],[Quantity]]</f>
        <v>110</v>
      </c>
    </row>
    <row r="379" spans="1:15" x14ac:dyDescent="0.3">
      <c r="A379" t="s">
        <v>1777</v>
      </c>
      <c r="B379" t="s">
        <v>1778</v>
      </c>
      <c r="C379" t="s">
        <v>813</v>
      </c>
      <c r="D379" t="s">
        <v>1048</v>
      </c>
      <c r="E379">
        <v>1</v>
      </c>
      <c r="F379">
        <f>_xlfn.XLOOKUP(Table1[[#This Row],[ProductID]],Products!A:A,Products!D:D,,0)</f>
        <v>120</v>
      </c>
      <c r="I379">
        <v>599</v>
      </c>
      <c r="J379">
        <v>509</v>
      </c>
      <c r="K379" t="s">
        <v>1092</v>
      </c>
      <c r="L379">
        <v>509</v>
      </c>
      <c r="M379" t="s">
        <v>1093</v>
      </c>
      <c r="N379" t="s">
        <v>1123</v>
      </c>
      <c r="O379">
        <f>Table1[[#This Row],[Unit_Price]]*Table1[[#This Row],[Quantity]]</f>
        <v>120</v>
      </c>
    </row>
    <row r="380" spans="1:15" x14ac:dyDescent="0.3">
      <c r="A380" t="s">
        <v>1779</v>
      </c>
      <c r="B380" t="s">
        <v>1780</v>
      </c>
      <c r="C380" t="s">
        <v>451</v>
      </c>
      <c r="D380" t="s">
        <v>1075</v>
      </c>
      <c r="E380">
        <v>1</v>
      </c>
      <c r="F380">
        <f>_xlfn.XLOOKUP(Table1[[#This Row],[ProductID]],Products!A:A,Products!D:D,,0)</f>
        <v>80</v>
      </c>
      <c r="I380">
        <v>499</v>
      </c>
      <c r="J380">
        <v>499</v>
      </c>
      <c r="K380" t="s">
        <v>1102</v>
      </c>
      <c r="L380">
        <v>499</v>
      </c>
      <c r="M380" t="s">
        <v>1093</v>
      </c>
      <c r="N380" t="s">
        <v>1099</v>
      </c>
      <c r="O380">
        <f>Table1[[#This Row],[Unit_Price]]*Table1[[#This Row],[Quantity]]</f>
        <v>80</v>
      </c>
    </row>
    <row r="381" spans="1:15" x14ac:dyDescent="0.3">
      <c r="A381" t="s">
        <v>1781</v>
      </c>
      <c r="B381" t="s">
        <v>1347</v>
      </c>
      <c r="C381" t="s">
        <v>559</v>
      </c>
      <c r="D381" t="s">
        <v>1059</v>
      </c>
      <c r="E381">
        <v>1</v>
      </c>
      <c r="F381">
        <f>_xlfn.XLOOKUP(Table1[[#This Row],[ProductID]],Products!A:A,Products!D:D,,0)</f>
        <v>110</v>
      </c>
      <c r="I381">
        <v>399</v>
      </c>
      <c r="J381">
        <v>359</v>
      </c>
      <c r="K381" t="s">
        <v>1107</v>
      </c>
      <c r="L381">
        <v>359</v>
      </c>
      <c r="M381" t="s">
        <v>1098</v>
      </c>
      <c r="N381" t="s">
        <v>1099</v>
      </c>
      <c r="O381">
        <f>Table1[[#This Row],[Unit_Price]]*Table1[[#This Row],[Quantity]]</f>
        <v>110</v>
      </c>
    </row>
    <row r="382" spans="1:15" x14ac:dyDescent="0.3">
      <c r="A382" t="s">
        <v>1782</v>
      </c>
      <c r="B382" t="s">
        <v>1604</v>
      </c>
      <c r="C382" t="s">
        <v>639</v>
      </c>
      <c r="D382" t="s">
        <v>1071</v>
      </c>
      <c r="E382">
        <v>1</v>
      </c>
      <c r="F382">
        <f>_xlfn.XLOOKUP(Table1[[#This Row],[ProductID]],Products!A:A,Products!D:D,,0)</f>
        <v>125</v>
      </c>
      <c r="I382">
        <v>399</v>
      </c>
      <c r="J382">
        <v>339</v>
      </c>
      <c r="K382" t="s">
        <v>1092</v>
      </c>
      <c r="L382">
        <v>339</v>
      </c>
      <c r="M382" t="s">
        <v>1098</v>
      </c>
      <c r="N382" t="s">
        <v>1099</v>
      </c>
      <c r="O382">
        <f>Table1[[#This Row],[Unit_Price]]*Table1[[#This Row],[Quantity]]</f>
        <v>125</v>
      </c>
    </row>
    <row r="383" spans="1:15" x14ac:dyDescent="0.3">
      <c r="A383" t="s">
        <v>1783</v>
      </c>
      <c r="B383" t="s">
        <v>1182</v>
      </c>
      <c r="C383" t="s">
        <v>625</v>
      </c>
      <c r="D383" t="s">
        <v>1068</v>
      </c>
      <c r="E383">
        <v>1</v>
      </c>
      <c r="F383">
        <f>_xlfn.XLOOKUP(Table1[[#This Row],[ProductID]],Products!A:A,Products!D:D,,0)</f>
        <v>180</v>
      </c>
      <c r="I383">
        <v>449</v>
      </c>
      <c r="J383">
        <v>359</v>
      </c>
      <c r="K383" t="s">
        <v>1097</v>
      </c>
      <c r="L383">
        <v>359</v>
      </c>
      <c r="M383" t="s">
        <v>1098</v>
      </c>
      <c r="N383" t="s">
        <v>1099</v>
      </c>
      <c r="O383">
        <f>Table1[[#This Row],[Unit_Price]]*Table1[[#This Row],[Quantity]]</f>
        <v>180</v>
      </c>
    </row>
    <row r="384" spans="1:15" x14ac:dyDescent="0.3">
      <c r="A384" t="s">
        <v>1784</v>
      </c>
      <c r="B384" t="s">
        <v>1785</v>
      </c>
      <c r="C384" t="s">
        <v>187</v>
      </c>
      <c r="D384" t="s">
        <v>1057</v>
      </c>
      <c r="E384">
        <v>1</v>
      </c>
      <c r="F384">
        <f>_xlfn.XLOOKUP(Table1[[#This Row],[ProductID]],Products!A:A,Products!D:D,,0)</f>
        <v>130</v>
      </c>
      <c r="I384">
        <v>549</v>
      </c>
      <c r="J384">
        <v>549</v>
      </c>
      <c r="K384" t="s">
        <v>1102</v>
      </c>
      <c r="L384">
        <v>549</v>
      </c>
      <c r="M384" t="s">
        <v>1098</v>
      </c>
      <c r="N384" t="s">
        <v>1099</v>
      </c>
      <c r="O384">
        <f>Table1[[#This Row],[Unit_Price]]*Table1[[#This Row],[Quantity]]</f>
        <v>130</v>
      </c>
    </row>
    <row r="385" spans="1:15" x14ac:dyDescent="0.3">
      <c r="A385" t="s">
        <v>1786</v>
      </c>
      <c r="B385" t="s">
        <v>1772</v>
      </c>
      <c r="C385" t="s">
        <v>785</v>
      </c>
      <c r="D385" t="s">
        <v>1055</v>
      </c>
      <c r="E385">
        <v>1</v>
      </c>
      <c r="F385">
        <f>_xlfn.XLOOKUP(Table1[[#This Row],[ProductID]],Products!A:A,Products!D:D,,0)</f>
        <v>75</v>
      </c>
      <c r="I385">
        <v>299</v>
      </c>
      <c r="J385">
        <v>254</v>
      </c>
      <c r="K385" t="s">
        <v>1092</v>
      </c>
      <c r="L385">
        <v>254</v>
      </c>
      <c r="M385" t="s">
        <v>1098</v>
      </c>
      <c r="N385" t="s">
        <v>1099</v>
      </c>
      <c r="O385">
        <f>Table1[[#This Row],[Unit_Price]]*Table1[[#This Row],[Quantity]]</f>
        <v>75</v>
      </c>
    </row>
    <row r="386" spans="1:15" x14ac:dyDescent="0.3">
      <c r="A386" t="s">
        <v>1787</v>
      </c>
      <c r="B386" t="s">
        <v>1170</v>
      </c>
      <c r="C386" t="s">
        <v>189</v>
      </c>
      <c r="D386" t="s">
        <v>1071</v>
      </c>
      <c r="E386">
        <v>3</v>
      </c>
      <c r="F386">
        <f>_xlfn.XLOOKUP(Table1[[#This Row],[ProductID]],Products!A:A,Products!D:D,,0)</f>
        <v>125</v>
      </c>
      <c r="I386">
        <v>399</v>
      </c>
      <c r="J386">
        <v>339</v>
      </c>
      <c r="K386" t="s">
        <v>1092</v>
      </c>
      <c r="L386">
        <v>1017</v>
      </c>
      <c r="M386" t="s">
        <v>1098</v>
      </c>
      <c r="N386" t="s">
        <v>1099</v>
      </c>
      <c r="O386">
        <f>Table1[[#This Row],[Unit_Price]]*Table1[[#This Row],[Quantity]]</f>
        <v>375</v>
      </c>
    </row>
    <row r="387" spans="1:15" x14ac:dyDescent="0.3">
      <c r="A387" t="s">
        <v>1788</v>
      </c>
      <c r="B387" t="s">
        <v>1341</v>
      </c>
      <c r="C387" t="s">
        <v>965</v>
      </c>
      <c r="D387" t="s">
        <v>1048</v>
      </c>
      <c r="E387">
        <v>2</v>
      </c>
      <c r="F387">
        <f>_xlfn.XLOOKUP(Table1[[#This Row],[ProductID]],Products!A:A,Products!D:D,,0)</f>
        <v>120</v>
      </c>
      <c r="I387">
        <v>599</v>
      </c>
      <c r="J387">
        <v>479</v>
      </c>
      <c r="K387" t="s">
        <v>1097</v>
      </c>
      <c r="L387">
        <v>958</v>
      </c>
      <c r="M387" t="s">
        <v>1093</v>
      </c>
      <c r="N387" t="s">
        <v>1094</v>
      </c>
      <c r="O387">
        <f>Table1[[#This Row],[Unit_Price]]*Table1[[#This Row],[Quantity]]</f>
        <v>240</v>
      </c>
    </row>
    <row r="388" spans="1:15" x14ac:dyDescent="0.3">
      <c r="A388" t="s">
        <v>1789</v>
      </c>
      <c r="B388" t="s">
        <v>1790</v>
      </c>
      <c r="C388" t="s">
        <v>693</v>
      </c>
      <c r="D388" t="s">
        <v>1073</v>
      </c>
      <c r="E388">
        <v>1</v>
      </c>
      <c r="F388">
        <f>_xlfn.XLOOKUP(Table1[[#This Row],[ProductID]],Products!A:A,Products!D:D,,0)</f>
        <v>100</v>
      </c>
      <c r="I388">
        <v>349</v>
      </c>
      <c r="J388">
        <v>279</v>
      </c>
      <c r="K388" t="s">
        <v>1097</v>
      </c>
      <c r="L388">
        <v>279</v>
      </c>
      <c r="M388" t="s">
        <v>1098</v>
      </c>
      <c r="N388" t="s">
        <v>1099</v>
      </c>
      <c r="O388">
        <f>Table1[[#This Row],[Unit_Price]]*Table1[[#This Row],[Quantity]]</f>
        <v>100</v>
      </c>
    </row>
    <row r="389" spans="1:15" x14ac:dyDescent="0.3">
      <c r="A389" t="s">
        <v>1791</v>
      </c>
      <c r="B389" t="s">
        <v>1242</v>
      </c>
      <c r="C389" t="s">
        <v>409</v>
      </c>
      <c r="D389" t="s">
        <v>1073</v>
      </c>
      <c r="E389">
        <v>2</v>
      </c>
      <c r="F389">
        <f>_xlfn.XLOOKUP(Table1[[#This Row],[ProductID]],Products!A:A,Products!D:D,,0)</f>
        <v>100</v>
      </c>
      <c r="I389">
        <v>349</v>
      </c>
      <c r="J389">
        <v>314</v>
      </c>
      <c r="K389" t="s">
        <v>1107</v>
      </c>
      <c r="L389">
        <v>628</v>
      </c>
      <c r="M389" t="s">
        <v>1126</v>
      </c>
      <c r="N389" t="s">
        <v>1099</v>
      </c>
      <c r="O389">
        <f>Table1[[#This Row],[Unit_Price]]*Table1[[#This Row],[Quantity]]</f>
        <v>200</v>
      </c>
    </row>
    <row r="390" spans="1:15" x14ac:dyDescent="0.3">
      <c r="A390" t="s">
        <v>1792</v>
      </c>
      <c r="B390" t="s">
        <v>1527</v>
      </c>
      <c r="C390" t="s">
        <v>185</v>
      </c>
      <c r="D390" t="s">
        <v>1078</v>
      </c>
      <c r="E390">
        <v>3</v>
      </c>
      <c r="F390">
        <f>_xlfn.XLOOKUP(Table1[[#This Row],[ProductID]],Products!A:A,Products!D:D,,0)</f>
        <v>80</v>
      </c>
      <c r="I390">
        <v>499</v>
      </c>
      <c r="J390">
        <v>399</v>
      </c>
      <c r="K390" t="s">
        <v>1097</v>
      </c>
      <c r="L390">
        <v>1197</v>
      </c>
      <c r="M390" t="s">
        <v>1098</v>
      </c>
      <c r="N390" t="s">
        <v>1099</v>
      </c>
      <c r="O390">
        <f>Table1[[#This Row],[Unit_Price]]*Table1[[#This Row],[Quantity]]</f>
        <v>240</v>
      </c>
    </row>
    <row r="391" spans="1:15" x14ac:dyDescent="0.3">
      <c r="A391" t="s">
        <v>1793</v>
      </c>
      <c r="B391" t="s">
        <v>1696</v>
      </c>
      <c r="C391" t="s">
        <v>743</v>
      </c>
      <c r="D391" t="s">
        <v>1051</v>
      </c>
      <c r="E391">
        <v>1</v>
      </c>
      <c r="F391">
        <f>_xlfn.XLOOKUP(Table1[[#This Row],[ProductID]],Products!A:A,Products!D:D,,0)</f>
        <v>150</v>
      </c>
      <c r="I391">
        <v>499</v>
      </c>
      <c r="J391">
        <v>399</v>
      </c>
      <c r="K391" t="s">
        <v>1097</v>
      </c>
      <c r="L391">
        <v>399</v>
      </c>
      <c r="M391" t="s">
        <v>1093</v>
      </c>
      <c r="N391" t="s">
        <v>1123</v>
      </c>
      <c r="O391">
        <f>Table1[[#This Row],[Unit_Price]]*Table1[[#This Row],[Quantity]]</f>
        <v>150</v>
      </c>
    </row>
    <row r="392" spans="1:15" x14ac:dyDescent="0.3">
      <c r="A392" t="s">
        <v>1794</v>
      </c>
      <c r="B392" t="s">
        <v>1795</v>
      </c>
      <c r="C392" t="s">
        <v>63</v>
      </c>
      <c r="D392" t="s">
        <v>1048</v>
      </c>
      <c r="E392">
        <v>1</v>
      </c>
      <c r="F392">
        <f>_xlfn.XLOOKUP(Table1[[#This Row],[ProductID]],Products!A:A,Products!D:D,,0)</f>
        <v>120</v>
      </c>
      <c r="I392">
        <v>599</v>
      </c>
      <c r="J392">
        <v>599</v>
      </c>
      <c r="K392" t="s">
        <v>1102</v>
      </c>
      <c r="L392">
        <v>599</v>
      </c>
      <c r="M392" t="s">
        <v>1093</v>
      </c>
      <c r="N392" t="s">
        <v>1094</v>
      </c>
      <c r="O392">
        <f>Table1[[#This Row],[Unit_Price]]*Table1[[#This Row],[Quantity]]</f>
        <v>120</v>
      </c>
    </row>
    <row r="393" spans="1:15" x14ac:dyDescent="0.3">
      <c r="A393" t="s">
        <v>1796</v>
      </c>
      <c r="B393" t="s">
        <v>1797</v>
      </c>
      <c r="C393" t="s">
        <v>124</v>
      </c>
      <c r="D393" t="s">
        <v>1075</v>
      </c>
      <c r="E393">
        <v>1</v>
      </c>
      <c r="F393">
        <f>_xlfn.XLOOKUP(Table1[[#This Row],[ProductID]],Products!A:A,Products!D:D,,0)</f>
        <v>80</v>
      </c>
      <c r="I393">
        <v>499</v>
      </c>
      <c r="J393">
        <v>499</v>
      </c>
      <c r="K393" t="s">
        <v>1102</v>
      </c>
      <c r="L393">
        <v>499</v>
      </c>
      <c r="M393" t="s">
        <v>1093</v>
      </c>
      <c r="N393" t="s">
        <v>1099</v>
      </c>
      <c r="O393">
        <f>Table1[[#This Row],[Unit_Price]]*Table1[[#This Row],[Quantity]]</f>
        <v>80</v>
      </c>
    </row>
    <row r="394" spans="1:15" x14ac:dyDescent="0.3">
      <c r="A394" t="s">
        <v>1798</v>
      </c>
      <c r="B394" t="s">
        <v>1799</v>
      </c>
      <c r="C394" t="s">
        <v>527</v>
      </c>
      <c r="D394" t="s">
        <v>1071</v>
      </c>
      <c r="E394">
        <v>1</v>
      </c>
      <c r="F394">
        <f>_xlfn.XLOOKUP(Table1[[#This Row],[ProductID]],Products!A:A,Products!D:D,,0)</f>
        <v>125</v>
      </c>
      <c r="I394">
        <v>399</v>
      </c>
      <c r="J394">
        <v>359</v>
      </c>
      <c r="K394" t="s">
        <v>1107</v>
      </c>
      <c r="L394">
        <v>359</v>
      </c>
      <c r="M394" t="s">
        <v>1093</v>
      </c>
      <c r="N394" t="s">
        <v>1123</v>
      </c>
      <c r="O394">
        <f>Table1[[#This Row],[Unit_Price]]*Table1[[#This Row],[Quantity]]</f>
        <v>125</v>
      </c>
    </row>
    <row r="395" spans="1:15" x14ac:dyDescent="0.3">
      <c r="A395" t="s">
        <v>1800</v>
      </c>
      <c r="B395" t="s">
        <v>1801</v>
      </c>
      <c r="C395" t="s">
        <v>447</v>
      </c>
      <c r="D395" t="s">
        <v>1059</v>
      </c>
      <c r="E395">
        <v>1</v>
      </c>
      <c r="F395">
        <f>_xlfn.XLOOKUP(Table1[[#This Row],[ProductID]],Products!A:A,Products!D:D,,0)</f>
        <v>110</v>
      </c>
      <c r="I395">
        <v>399</v>
      </c>
      <c r="J395">
        <v>399</v>
      </c>
      <c r="K395" t="s">
        <v>1102</v>
      </c>
      <c r="L395">
        <v>399</v>
      </c>
      <c r="M395" t="s">
        <v>1098</v>
      </c>
      <c r="N395" t="s">
        <v>1099</v>
      </c>
      <c r="O395">
        <f>Table1[[#This Row],[Unit_Price]]*Table1[[#This Row],[Quantity]]</f>
        <v>110</v>
      </c>
    </row>
    <row r="396" spans="1:15" x14ac:dyDescent="0.3">
      <c r="A396" t="s">
        <v>1802</v>
      </c>
      <c r="B396" t="s">
        <v>1803</v>
      </c>
      <c r="C396" t="s">
        <v>807</v>
      </c>
      <c r="D396" t="s">
        <v>1068</v>
      </c>
      <c r="E396">
        <v>1</v>
      </c>
      <c r="F396">
        <f>_xlfn.XLOOKUP(Table1[[#This Row],[ProductID]],Products!A:A,Products!D:D,,0)</f>
        <v>180</v>
      </c>
      <c r="I396">
        <v>449</v>
      </c>
      <c r="J396">
        <v>404</v>
      </c>
      <c r="K396" t="s">
        <v>1107</v>
      </c>
      <c r="L396">
        <v>404</v>
      </c>
      <c r="M396" t="s">
        <v>1098</v>
      </c>
      <c r="N396" t="s">
        <v>1099</v>
      </c>
      <c r="O396">
        <f>Table1[[#This Row],[Unit_Price]]*Table1[[#This Row],[Quantity]]</f>
        <v>180</v>
      </c>
    </row>
    <row r="397" spans="1:15" x14ac:dyDescent="0.3">
      <c r="A397" t="s">
        <v>1804</v>
      </c>
      <c r="B397" t="s">
        <v>1805</v>
      </c>
      <c r="C397" t="s">
        <v>191</v>
      </c>
      <c r="D397" t="s">
        <v>1057</v>
      </c>
      <c r="E397">
        <v>3</v>
      </c>
      <c r="F397">
        <f>_xlfn.XLOOKUP(Table1[[#This Row],[ProductID]],Products!A:A,Products!D:D,,0)</f>
        <v>130</v>
      </c>
      <c r="I397">
        <v>549</v>
      </c>
      <c r="J397">
        <v>549</v>
      </c>
      <c r="K397" t="s">
        <v>1102</v>
      </c>
      <c r="L397">
        <v>1647</v>
      </c>
      <c r="M397" t="s">
        <v>1093</v>
      </c>
      <c r="N397" t="s">
        <v>1099</v>
      </c>
      <c r="O397">
        <f>Table1[[#This Row],[Unit_Price]]*Table1[[#This Row],[Quantity]]</f>
        <v>390</v>
      </c>
    </row>
    <row r="398" spans="1:15" x14ac:dyDescent="0.3">
      <c r="A398" t="s">
        <v>1806</v>
      </c>
      <c r="B398" t="s">
        <v>1310</v>
      </c>
      <c r="C398" t="s">
        <v>739</v>
      </c>
      <c r="D398" t="s">
        <v>1066</v>
      </c>
      <c r="E398">
        <v>3</v>
      </c>
      <c r="F398">
        <f>_xlfn.XLOOKUP(Table1[[#This Row],[ProductID]],Products!A:A,Products!D:D,,0)</f>
        <v>140</v>
      </c>
      <c r="I398">
        <v>499</v>
      </c>
      <c r="J398">
        <v>424</v>
      </c>
      <c r="K398" t="s">
        <v>1092</v>
      </c>
      <c r="L398">
        <v>1272</v>
      </c>
      <c r="M398" t="s">
        <v>1098</v>
      </c>
      <c r="N398" t="s">
        <v>1099</v>
      </c>
      <c r="O398">
        <f>Table1[[#This Row],[Unit_Price]]*Table1[[#This Row],[Quantity]]</f>
        <v>420</v>
      </c>
    </row>
    <row r="399" spans="1:15" x14ac:dyDescent="0.3">
      <c r="A399" t="s">
        <v>1807</v>
      </c>
      <c r="B399" t="s">
        <v>1808</v>
      </c>
      <c r="C399" t="s">
        <v>927</v>
      </c>
      <c r="D399" t="s">
        <v>1053</v>
      </c>
      <c r="E399">
        <v>1</v>
      </c>
      <c r="F399">
        <f>_xlfn.XLOOKUP(Table1[[#This Row],[ProductID]],Products!A:A,Products!D:D,,0)</f>
        <v>200</v>
      </c>
      <c r="I399">
        <v>899</v>
      </c>
      <c r="J399">
        <v>764</v>
      </c>
      <c r="K399" t="s">
        <v>1092</v>
      </c>
      <c r="L399">
        <v>764</v>
      </c>
      <c r="M399" t="s">
        <v>1098</v>
      </c>
      <c r="N399" t="s">
        <v>1099</v>
      </c>
      <c r="O399">
        <f>Table1[[#This Row],[Unit_Price]]*Table1[[#This Row],[Quantity]]</f>
        <v>200</v>
      </c>
    </row>
    <row r="400" spans="1:15" x14ac:dyDescent="0.3">
      <c r="A400" t="s">
        <v>1809</v>
      </c>
      <c r="B400" t="s">
        <v>1329</v>
      </c>
      <c r="C400" t="s">
        <v>847</v>
      </c>
      <c r="D400" t="s">
        <v>1068</v>
      </c>
      <c r="E400">
        <v>2</v>
      </c>
      <c r="F400">
        <f>_xlfn.XLOOKUP(Table1[[#This Row],[ProductID]],Products!A:A,Products!D:D,,0)</f>
        <v>180</v>
      </c>
      <c r="I400">
        <v>449</v>
      </c>
      <c r="J400">
        <v>359</v>
      </c>
      <c r="K400" t="s">
        <v>1097</v>
      </c>
      <c r="L400">
        <v>718</v>
      </c>
      <c r="M400" t="s">
        <v>1126</v>
      </c>
      <c r="N400" t="s">
        <v>1123</v>
      </c>
      <c r="O400">
        <f>Table1[[#This Row],[Unit_Price]]*Table1[[#This Row],[Quantity]]</f>
        <v>360</v>
      </c>
    </row>
    <row r="401" spans="1:15" x14ac:dyDescent="0.3">
      <c r="A401" t="s">
        <v>1810</v>
      </c>
      <c r="B401" t="s">
        <v>1811</v>
      </c>
      <c r="C401" t="s">
        <v>455</v>
      </c>
      <c r="D401" t="s">
        <v>1048</v>
      </c>
      <c r="E401">
        <v>1</v>
      </c>
      <c r="F401">
        <f>_xlfn.XLOOKUP(Table1[[#This Row],[ProductID]],Products!A:A,Products!D:D,,0)</f>
        <v>120</v>
      </c>
      <c r="I401">
        <v>599</v>
      </c>
      <c r="J401">
        <v>539</v>
      </c>
      <c r="K401" t="s">
        <v>1107</v>
      </c>
      <c r="L401">
        <v>539</v>
      </c>
      <c r="M401" t="s">
        <v>1126</v>
      </c>
      <c r="N401" t="s">
        <v>1099</v>
      </c>
      <c r="O401">
        <f>Table1[[#This Row],[Unit_Price]]*Table1[[#This Row],[Quantity]]</f>
        <v>120</v>
      </c>
    </row>
    <row r="402" spans="1:15" x14ac:dyDescent="0.3">
      <c r="A402" t="s">
        <v>1812</v>
      </c>
      <c r="B402" t="s">
        <v>1813</v>
      </c>
      <c r="C402" t="s">
        <v>243</v>
      </c>
      <c r="D402" t="s">
        <v>1051</v>
      </c>
      <c r="E402">
        <v>2</v>
      </c>
      <c r="F402">
        <f>_xlfn.XLOOKUP(Table1[[#This Row],[ProductID]],Products!A:A,Products!D:D,,0)</f>
        <v>150</v>
      </c>
      <c r="I402">
        <v>499</v>
      </c>
      <c r="J402">
        <v>399</v>
      </c>
      <c r="K402" t="s">
        <v>1097</v>
      </c>
      <c r="L402">
        <v>798</v>
      </c>
      <c r="M402" t="s">
        <v>1093</v>
      </c>
      <c r="N402" t="s">
        <v>1099</v>
      </c>
      <c r="O402">
        <f>Table1[[#This Row],[Unit_Price]]*Table1[[#This Row],[Quantity]]</f>
        <v>300</v>
      </c>
    </row>
    <row r="403" spans="1:15" x14ac:dyDescent="0.3">
      <c r="A403" t="s">
        <v>1814</v>
      </c>
      <c r="B403" t="s">
        <v>1622</v>
      </c>
      <c r="C403" t="s">
        <v>507</v>
      </c>
      <c r="D403" t="s">
        <v>1071</v>
      </c>
      <c r="E403">
        <v>3</v>
      </c>
      <c r="F403">
        <f>_xlfn.XLOOKUP(Table1[[#This Row],[ProductID]],Products!A:A,Products!D:D,,0)</f>
        <v>125</v>
      </c>
      <c r="I403">
        <v>399</v>
      </c>
      <c r="J403">
        <v>399</v>
      </c>
      <c r="K403" t="s">
        <v>1102</v>
      </c>
      <c r="L403">
        <v>1197</v>
      </c>
      <c r="M403" t="s">
        <v>1098</v>
      </c>
      <c r="N403" t="s">
        <v>1123</v>
      </c>
      <c r="O403">
        <f>Table1[[#This Row],[Unit_Price]]*Table1[[#This Row],[Quantity]]</f>
        <v>375</v>
      </c>
    </row>
    <row r="404" spans="1:15" x14ac:dyDescent="0.3">
      <c r="A404" t="s">
        <v>1815</v>
      </c>
      <c r="B404" t="s">
        <v>1816</v>
      </c>
      <c r="C404" t="s">
        <v>347</v>
      </c>
      <c r="D404" t="s">
        <v>1068</v>
      </c>
      <c r="E404">
        <v>1</v>
      </c>
      <c r="F404">
        <f>_xlfn.XLOOKUP(Table1[[#This Row],[ProductID]],Products!A:A,Products!D:D,,0)</f>
        <v>180</v>
      </c>
      <c r="I404">
        <v>449</v>
      </c>
      <c r="J404">
        <v>382</v>
      </c>
      <c r="K404" t="s">
        <v>1092</v>
      </c>
      <c r="L404">
        <v>382</v>
      </c>
      <c r="M404" t="s">
        <v>1126</v>
      </c>
      <c r="N404" t="s">
        <v>1094</v>
      </c>
      <c r="O404">
        <f>Table1[[#This Row],[Unit_Price]]*Table1[[#This Row],[Quantity]]</f>
        <v>180</v>
      </c>
    </row>
    <row r="405" spans="1:15" x14ac:dyDescent="0.3">
      <c r="A405" t="s">
        <v>1817</v>
      </c>
      <c r="B405" t="s">
        <v>1818</v>
      </c>
      <c r="C405" t="s">
        <v>477</v>
      </c>
      <c r="D405" t="s">
        <v>1059</v>
      </c>
      <c r="E405">
        <v>1</v>
      </c>
      <c r="F405">
        <f>_xlfn.XLOOKUP(Table1[[#This Row],[ProductID]],Products!A:A,Products!D:D,,0)</f>
        <v>110</v>
      </c>
      <c r="I405">
        <v>399</v>
      </c>
      <c r="J405">
        <v>399</v>
      </c>
      <c r="K405" t="s">
        <v>1102</v>
      </c>
      <c r="L405">
        <v>399</v>
      </c>
      <c r="M405" t="s">
        <v>1098</v>
      </c>
      <c r="N405" t="s">
        <v>1099</v>
      </c>
      <c r="O405">
        <f>Table1[[#This Row],[Unit_Price]]*Table1[[#This Row],[Quantity]]</f>
        <v>110</v>
      </c>
    </row>
    <row r="406" spans="1:15" x14ac:dyDescent="0.3">
      <c r="A406" t="s">
        <v>1819</v>
      </c>
      <c r="B406" t="s">
        <v>1300</v>
      </c>
      <c r="C406" t="s">
        <v>431</v>
      </c>
      <c r="D406" t="s">
        <v>1055</v>
      </c>
      <c r="E406">
        <v>1</v>
      </c>
      <c r="F406">
        <f>_xlfn.XLOOKUP(Table1[[#This Row],[ProductID]],Products!A:A,Products!D:D,,0)</f>
        <v>75</v>
      </c>
      <c r="I406">
        <v>299</v>
      </c>
      <c r="J406">
        <v>299</v>
      </c>
      <c r="K406" t="s">
        <v>1102</v>
      </c>
      <c r="L406">
        <v>299</v>
      </c>
      <c r="M406" t="s">
        <v>1118</v>
      </c>
      <c r="N406" t="s">
        <v>1099</v>
      </c>
      <c r="O406">
        <f>Table1[[#This Row],[Unit_Price]]*Table1[[#This Row],[Quantity]]</f>
        <v>75</v>
      </c>
    </row>
    <row r="407" spans="1:15" x14ac:dyDescent="0.3">
      <c r="A407" t="s">
        <v>1820</v>
      </c>
      <c r="B407" t="s">
        <v>1591</v>
      </c>
      <c r="C407" t="s">
        <v>18</v>
      </c>
      <c r="D407" t="s">
        <v>1071</v>
      </c>
      <c r="E407">
        <v>2</v>
      </c>
      <c r="F407">
        <f>_xlfn.XLOOKUP(Table1[[#This Row],[ProductID]],Products!A:A,Products!D:D,,0)</f>
        <v>125</v>
      </c>
      <c r="I407">
        <v>399</v>
      </c>
      <c r="J407">
        <v>359</v>
      </c>
      <c r="K407" t="s">
        <v>1107</v>
      </c>
      <c r="L407">
        <v>718</v>
      </c>
      <c r="M407" t="s">
        <v>1093</v>
      </c>
      <c r="N407" t="s">
        <v>1099</v>
      </c>
      <c r="O407">
        <f>Table1[[#This Row],[Unit_Price]]*Table1[[#This Row],[Quantity]]</f>
        <v>250</v>
      </c>
    </row>
    <row r="408" spans="1:15" x14ac:dyDescent="0.3">
      <c r="A408" t="s">
        <v>1821</v>
      </c>
      <c r="B408" t="s">
        <v>1822</v>
      </c>
      <c r="C408" t="s">
        <v>949</v>
      </c>
      <c r="D408" t="s">
        <v>1066</v>
      </c>
      <c r="E408">
        <v>4</v>
      </c>
      <c r="F408">
        <f>_xlfn.XLOOKUP(Table1[[#This Row],[ProductID]],Products!A:A,Products!D:D,,0)</f>
        <v>140</v>
      </c>
      <c r="I408">
        <v>499</v>
      </c>
      <c r="J408">
        <v>399</v>
      </c>
      <c r="K408" t="s">
        <v>1097</v>
      </c>
      <c r="L408">
        <v>1596</v>
      </c>
      <c r="M408" t="s">
        <v>1093</v>
      </c>
      <c r="N408" t="s">
        <v>1099</v>
      </c>
      <c r="O408">
        <f>Table1[[#This Row],[Unit_Price]]*Table1[[#This Row],[Quantity]]</f>
        <v>560</v>
      </c>
    </row>
    <row r="409" spans="1:15" x14ac:dyDescent="0.3">
      <c r="A409" t="s">
        <v>1823</v>
      </c>
      <c r="B409" t="s">
        <v>1824</v>
      </c>
      <c r="C409" t="s">
        <v>837</v>
      </c>
      <c r="D409" t="s">
        <v>1080</v>
      </c>
      <c r="E409">
        <v>1</v>
      </c>
      <c r="F409">
        <f>_xlfn.XLOOKUP(Table1[[#This Row],[ProductID]],Products!A:A,Products!D:D,,0)</f>
        <v>45</v>
      </c>
      <c r="I409">
        <v>249</v>
      </c>
      <c r="J409">
        <v>212</v>
      </c>
      <c r="K409" t="s">
        <v>1092</v>
      </c>
      <c r="L409">
        <v>212</v>
      </c>
      <c r="M409" t="s">
        <v>1093</v>
      </c>
      <c r="N409" t="s">
        <v>1094</v>
      </c>
      <c r="O409">
        <f>Table1[[#This Row],[Unit_Price]]*Table1[[#This Row],[Quantity]]</f>
        <v>45</v>
      </c>
    </row>
    <row r="410" spans="1:15" x14ac:dyDescent="0.3">
      <c r="A410" t="s">
        <v>1825</v>
      </c>
      <c r="B410" t="s">
        <v>1826</v>
      </c>
      <c r="C410" t="s">
        <v>407</v>
      </c>
      <c r="D410" t="s">
        <v>1080</v>
      </c>
      <c r="E410">
        <v>1</v>
      </c>
      <c r="F410">
        <f>_xlfn.XLOOKUP(Table1[[#This Row],[ProductID]],Products!A:A,Products!D:D,,0)</f>
        <v>45</v>
      </c>
      <c r="I410">
        <v>249</v>
      </c>
      <c r="J410">
        <v>224</v>
      </c>
      <c r="K410" t="s">
        <v>1107</v>
      </c>
      <c r="L410">
        <v>224</v>
      </c>
      <c r="M410" t="s">
        <v>1093</v>
      </c>
      <c r="N410" t="s">
        <v>1099</v>
      </c>
      <c r="O410">
        <f>Table1[[#This Row],[Unit_Price]]*Table1[[#This Row],[Quantity]]</f>
        <v>45</v>
      </c>
    </row>
    <row r="411" spans="1:15" x14ac:dyDescent="0.3">
      <c r="A411" t="s">
        <v>1827</v>
      </c>
      <c r="B411" t="s">
        <v>1828</v>
      </c>
      <c r="C411" t="s">
        <v>679</v>
      </c>
      <c r="D411" t="s">
        <v>1053</v>
      </c>
      <c r="E411">
        <v>1</v>
      </c>
      <c r="F411">
        <f>_xlfn.XLOOKUP(Table1[[#This Row],[ProductID]],Products!A:A,Products!D:D,,0)</f>
        <v>200</v>
      </c>
      <c r="I411">
        <v>899</v>
      </c>
      <c r="J411">
        <v>809</v>
      </c>
      <c r="K411" t="s">
        <v>1107</v>
      </c>
      <c r="L411">
        <v>809</v>
      </c>
      <c r="M411" t="s">
        <v>1093</v>
      </c>
      <c r="N411" t="s">
        <v>1099</v>
      </c>
      <c r="O411">
        <f>Table1[[#This Row],[Unit_Price]]*Table1[[#This Row],[Quantity]]</f>
        <v>200</v>
      </c>
    </row>
    <row r="412" spans="1:15" x14ac:dyDescent="0.3">
      <c r="A412" t="s">
        <v>1829</v>
      </c>
      <c r="B412" t="s">
        <v>1830</v>
      </c>
      <c r="C412" t="s">
        <v>317</v>
      </c>
      <c r="D412" t="s">
        <v>1055</v>
      </c>
      <c r="E412">
        <v>1</v>
      </c>
      <c r="F412">
        <f>_xlfn.XLOOKUP(Table1[[#This Row],[ProductID]],Products!A:A,Products!D:D,,0)</f>
        <v>75</v>
      </c>
      <c r="I412">
        <v>299</v>
      </c>
      <c r="J412">
        <v>269</v>
      </c>
      <c r="K412" t="s">
        <v>1107</v>
      </c>
      <c r="L412">
        <v>269</v>
      </c>
      <c r="M412" t="s">
        <v>1093</v>
      </c>
      <c r="N412" t="s">
        <v>1099</v>
      </c>
      <c r="O412">
        <f>Table1[[#This Row],[Unit_Price]]*Table1[[#This Row],[Quantity]]</f>
        <v>75</v>
      </c>
    </row>
    <row r="413" spans="1:15" x14ac:dyDescent="0.3">
      <c r="A413" t="s">
        <v>1831</v>
      </c>
      <c r="B413" t="s">
        <v>1626</v>
      </c>
      <c r="C413" t="s">
        <v>697</v>
      </c>
      <c r="D413" t="s">
        <v>1080</v>
      </c>
      <c r="E413">
        <v>1</v>
      </c>
      <c r="F413">
        <f>_xlfn.XLOOKUP(Table1[[#This Row],[ProductID]],Products!A:A,Products!D:D,,0)</f>
        <v>45</v>
      </c>
      <c r="I413">
        <v>249</v>
      </c>
      <c r="J413">
        <v>224</v>
      </c>
      <c r="K413" t="s">
        <v>1107</v>
      </c>
      <c r="L413">
        <v>224</v>
      </c>
      <c r="M413" t="s">
        <v>1093</v>
      </c>
      <c r="N413" t="s">
        <v>1123</v>
      </c>
      <c r="O413">
        <f>Table1[[#This Row],[Unit_Price]]*Table1[[#This Row],[Quantity]]</f>
        <v>45</v>
      </c>
    </row>
    <row r="414" spans="1:15" x14ac:dyDescent="0.3">
      <c r="A414" t="s">
        <v>1832</v>
      </c>
      <c r="B414" t="s">
        <v>1833</v>
      </c>
      <c r="C414" t="s">
        <v>243</v>
      </c>
      <c r="D414" t="s">
        <v>1075</v>
      </c>
      <c r="E414">
        <v>1</v>
      </c>
      <c r="F414">
        <f>_xlfn.XLOOKUP(Table1[[#This Row],[ProductID]],Products!A:A,Products!D:D,,0)</f>
        <v>80</v>
      </c>
      <c r="I414">
        <v>499</v>
      </c>
      <c r="J414">
        <v>449</v>
      </c>
      <c r="K414" t="s">
        <v>1107</v>
      </c>
      <c r="L414">
        <v>449</v>
      </c>
      <c r="M414" t="s">
        <v>1098</v>
      </c>
      <c r="N414" t="s">
        <v>1099</v>
      </c>
      <c r="O414">
        <f>Table1[[#This Row],[Unit_Price]]*Table1[[#This Row],[Quantity]]</f>
        <v>80</v>
      </c>
    </row>
    <row r="415" spans="1:15" x14ac:dyDescent="0.3">
      <c r="A415" t="s">
        <v>1834</v>
      </c>
      <c r="B415" t="s">
        <v>1835</v>
      </c>
      <c r="C415" t="s">
        <v>387</v>
      </c>
      <c r="D415" t="s">
        <v>1071</v>
      </c>
      <c r="E415">
        <v>4</v>
      </c>
      <c r="F415">
        <f>_xlfn.XLOOKUP(Table1[[#This Row],[ProductID]],Products!A:A,Products!D:D,,0)</f>
        <v>125</v>
      </c>
      <c r="I415">
        <v>399</v>
      </c>
      <c r="J415">
        <v>359</v>
      </c>
      <c r="K415" t="s">
        <v>1107</v>
      </c>
      <c r="L415">
        <v>1436</v>
      </c>
      <c r="M415" t="s">
        <v>1093</v>
      </c>
      <c r="N415" t="s">
        <v>1099</v>
      </c>
      <c r="O415">
        <f>Table1[[#This Row],[Unit_Price]]*Table1[[#This Row],[Quantity]]</f>
        <v>500</v>
      </c>
    </row>
    <row r="416" spans="1:15" x14ac:dyDescent="0.3">
      <c r="A416" t="s">
        <v>1836</v>
      </c>
      <c r="B416" t="s">
        <v>1404</v>
      </c>
      <c r="C416" t="s">
        <v>337</v>
      </c>
      <c r="D416" t="s">
        <v>1055</v>
      </c>
      <c r="E416">
        <v>3</v>
      </c>
      <c r="F416">
        <f>_xlfn.XLOOKUP(Table1[[#This Row],[ProductID]],Products!A:A,Products!D:D,,0)</f>
        <v>75</v>
      </c>
      <c r="I416">
        <v>299</v>
      </c>
      <c r="J416">
        <v>299</v>
      </c>
      <c r="K416" t="s">
        <v>1102</v>
      </c>
      <c r="L416">
        <v>897</v>
      </c>
      <c r="M416" t="s">
        <v>1126</v>
      </c>
      <c r="N416" t="s">
        <v>1099</v>
      </c>
      <c r="O416">
        <f>Table1[[#This Row],[Unit_Price]]*Table1[[#This Row],[Quantity]]</f>
        <v>225</v>
      </c>
    </row>
    <row r="417" spans="1:15" x14ac:dyDescent="0.3">
      <c r="A417" t="s">
        <v>1837</v>
      </c>
      <c r="B417" t="s">
        <v>1202</v>
      </c>
      <c r="C417" t="s">
        <v>1039</v>
      </c>
      <c r="D417" t="s">
        <v>1064</v>
      </c>
      <c r="E417">
        <v>1</v>
      </c>
      <c r="F417">
        <f>_xlfn.XLOOKUP(Table1[[#This Row],[ProductID]],Products!A:A,Products!D:D,,0)</f>
        <v>160</v>
      </c>
      <c r="I417">
        <v>699</v>
      </c>
      <c r="J417">
        <v>629</v>
      </c>
      <c r="K417" t="s">
        <v>1107</v>
      </c>
      <c r="L417">
        <v>629</v>
      </c>
      <c r="M417" t="s">
        <v>1098</v>
      </c>
      <c r="N417" t="s">
        <v>1099</v>
      </c>
      <c r="O417">
        <f>Table1[[#This Row],[Unit_Price]]*Table1[[#This Row],[Quantity]]</f>
        <v>160</v>
      </c>
    </row>
    <row r="418" spans="1:15" x14ac:dyDescent="0.3">
      <c r="A418" t="s">
        <v>1838</v>
      </c>
      <c r="B418" t="s">
        <v>1839</v>
      </c>
      <c r="C418" t="s">
        <v>899</v>
      </c>
      <c r="D418" t="s">
        <v>1062</v>
      </c>
      <c r="E418">
        <v>1</v>
      </c>
      <c r="F418">
        <f>_xlfn.XLOOKUP(Table1[[#This Row],[ProductID]],Products!A:A,Products!D:D,,0)</f>
        <v>95</v>
      </c>
      <c r="I418">
        <v>349</v>
      </c>
      <c r="J418">
        <v>314</v>
      </c>
      <c r="K418" t="s">
        <v>1107</v>
      </c>
      <c r="L418">
        <v>314</v>
      </c>
      <c r="M418" t="s">
        <v>1093</v>
      </c>
      <c r="N418" t="s">
        <v>1099</v>
      </c>
      <c r="O418">
        <f>Table1[[#This Row],[Unit_Price]]*Table1[[#This Row],[Quantity]]</f>
        <v>95</v>
      </c>
    </row>
    <row r="419" spans="1:15" x14ac:dyDescent="0.3">
      <c r="A419" t="s">
        <v>1840</v>
      </c>
      <c r="B419" t="s">
        <v>1120</v>
      </c>
      <c r="C419" t="s">
        <v>841</v>
      </c>
      <c r="D419" t="s">
        <v>1059</v>
      </c>
      <c r="E419">
        <v>1</v>
      </c>
      <c r="F419">
        <f>_xlfn.XLOOKUP(Table1[[#This Row],[ProductID]],Products!A:A,Products!D:D,,0)</f>
        <v>110</v>
      </c>
      <c r="I419">
        <v>399</v>
      </c>
      <c r="J419">
        <v>359</v>
      </c>
      <c r="K419" t="s">
        <v>1107</v>
      </c>
      <c r="L419">
        <v>359</v>
      </c>
      <c r="M419" t="s">
        <v>1098</v>
      </c>
      <c r="N419" t="s">
        <v>1099</v>
      </c>
      <c r="O419">
        <f>Table1[[#This Row],[Unit_Price]]*Table1[[#This Row],[Quantity]]</f>
        <v>110</v>
      </c>
    </row>
    <row r="420" spans="1:15" x14ac:dyDescent="0.3">
      <c r="A420" t="s">
        <v>1841</v>
      </c>
      <c r="B420" t="s">
        <v>1842</v>
      </c>
      <c r="C420" t="s">
        <v>67</v>
      </c>
      <c r="D420" t="s">
        <v>1080</v>
      </c>
      <c r="E420">
        <v>1</v>
      </c>
      <c r="F420">
        <f>_xlfn.XLOOKUP(Table1[[#This Row],[ProductID]],Products!A:A,Products!D:D,,0)</f>
        <v>45</v>
      </c>
      <c r="I420">
        <v>249</v>
      </c>
      <c r="J420">
        <v>212</v>
      </c>
      <c r="K420" t="s">
        <v>1092</v>
      </c>
      <c r="L420">
        <v>212</v>
      </c>
      <c r="M420" t="s">
        <v>1093</v>
      </c>
      <c r="N420" t="s">
        <v>1099</v>
      </c>
      <c r="O420">
        <f>Table1[[#This Row],[Unit_Price]]*Table1[[#This Row],[Quantity]]</f>
        <v>45</v>
      </c>
    </row>
    <row r="421" spans="1:15" x14ac:dyDescent="0.3">
      <c r="A421" t="s">
        <v>1843</v>
      </c>
      <c r="B421" t="s">
        <v>1441</v>
      </c>
      <c r="C421" t="s">
        <v>158</v>
      </c>
      <c r="D421" t="s">
        <v>1068</v>
      </c>
      <c r="E421">
        <v>1</v>
      </c>
      <c r="F421">
        <f>_xlfn.XLOOKUP(Table1[[#This Row],[ProductID]],Products!A:A,Products!D:D,,0)</f>
        <v>180</v>
      </c>
      <c r="I421">
        <v>449</v>
      </c>
      <c r="J421">
        <v>382</v>
      </c>
      <c r="K421" t="s">
        <v>1092</v>
      </c>
      <c r="L421">
        <v>382</v>
      </c>
      <c r="M421" t="s">
        <v>1098</v>
      </c>
      <c r="N421" t="s">
        <v>1099</v>
      </c>
      <c r="O421">
        <f>Table1[[#This Row],[Unit_Price]]*Table1[[#This Row],[Quantity]]</f>
        <v>180</v>
      </c>
    </row>
    <row r="422" spans="1:15" x14ac:dyDescent="0.3">
      <c r="A422" t="s">
        <v>1844</v>
      </c>
      <c r="B422" t="s">
        <v>1845</v>
      </c>
      <c r="C422" t="s">
        <v>905</v>
      </c>
      <c r="D422" t="s">
        <v>1073</v>
      </c>
      <c r="E422">
        <v>1</v>
      </c>
      <c r="F422">
        <f>_xlfn.XLOOKUP(Table1[[#This Row],[ProductID]],Products!A:A,Products!D:D,,0)</f>
        <v>100</v>
      </c>
      <c r="I422">
        <v>349</v>
      </c>
      <c r="J422">
        <v>279</v>
      </c>
      <c r="K422" t="s">
        <v>1097</v>
      </c>
      <c r="L422">
        <v>279</v>
      </c>
      <c r="M422" t="s">
        <v>1098</v>
      </c>
      <c r="N422" t="s">
        <v>1099</v>
      </c>
      <c r="O422">
        <f>Table1[[#This Row],[Unit_Price]]*Table1[[#This Row],[Quantity]]</f>
        <v>100</v>
      </c>
    </row>
    <row r="423" spans="1:15" x14ac:dyDescent="0.3">
      <c r="A423" t="s">
        <v>1846</v>
      </c>
      <c r="B423" t="s">
        <v>1847</v>
      </c>
      <c r="C423" t="s">
        <v>631</v>
      </c>
      <c r="D423" t="s">
        <v>1075</v>
      </c>
      <c r="E423">
        <v>2</v>
      </c>
      <c r="F423">
        <f>_xlfn.XLOOKUP(Table1[[#This Row],[ProductID]],Products!A:A,Products!D:D,,0)</f>
        <v>80</v>
      </c>
      <c r="I423">
        <v>499</v>
      </c>
      <c r="J423">
        <v>399</v>
      </c>
      <c r="K423" t="s">
        <v>1097</v>
      </c>
      <c r="L423">
        <v>798</v>
      </c>
      <c r="M423" t="s">
        <v>1093</v>
      </c>
      <c r="N423" t="s">
        <v>1099</v>
      </c>
      <c r="O423">
        <f>Table1[[#This Row],[Unit_Price]]*Table1[[#This Row],[Quantity]]</f>
        <v>160</v>
      </c>
    </row>
    <row r="424" spans="1:15" x14ac:dyDescent="0.3">
      <c r="A424" t="s">
        <v>1848</v>
      </c>
      <c r="B424" t="s">
        <v>1150</v>
      </c>
      <c r="C424" t="s">
        <v>661</v>
      </c>
      <c r="D424" t="s">
        <v>1066</v>
      </c>
      <c r="E424">
        <v>1</v>
      </c>
      <c r="F424">
        <f>_xlfn.XLOOKUP(Table1[[#This Row],[ProductID]],Products!A:A,Products!D:D,,0)</f>
        <v>140</v>
      </c>
      <c r="I424">
        <v>499</v>
      </c>
      <c r="J424">
        <v>499</v>
      </c>
      <c r="K424" t="s">
        <v>1102</v>
      </c>
      <c r="L424">
        <v>499</v>
      </c>
      <c r="M424" t="s">
        <v>1098</v>
      </c>
      <c r="N424" t="s">
        <v>1123</v>
      </c>
      <c r="O424">
        <f>Table1[[#This Row],[Unit_Price]]*Table1[[#This Row],[Quantity]]</f>
        <v>140</v>
      </c>
    </row>
    <row r="425" spans="1:15" x14ac:dyDescent="0.3">
      <c r="A425" t="s">
        <v>1849</v>
      </c>
      <c r="B425" t="s">
        <v>1478</v>
      </c>
      <c r="C425" t="s">
        <v>709</v>
      </c>
      <c r="D425" t="s">
        <v>1073</v>
      </c>
      <c r="E425">
        <v>2</v>
      </c>
      <c r="F425">
        <f>_xlfn.XLOOKUP(Table1[[#This Row],[ProductID]],Products!A:A,Products!D:D,,0)</f>
        <v>100</v>
      </c>
      <c r="I425">
        <v>349</v>
      </c>
      <c r="J425">
        <v>314</v>
      </c>
      <c r="K425" t="s">
        <v>1107</v>
      </c>
      <c r="L425">
        <v>628</v>
      </c>
      <c r="M425" t="s">
        <v>1126</v>
      </c>
      <c r="N425" t="s">
        <v>1099</v>
      </c>
      <c r="O425">
        <f>Table1[[#This Row],[Unit_Price]]*Table1[[#This Row],[Quantity]]</f>
        <v>200</v>
      </c>
    </row>
    <row r="426" spans="1:15" x14ac:dyDescent="0.3">
      <c r="A426" t="s">
        <v>1850</v>
      </c>
      <c r="B426" t="s">
        <v>1851</v>
      </c>
      <c r="C426" t="s">
        <v>795</v>
      </c>
      <c r="D426" t="s">
        <v>1051</v>
      </c>
      <c r="E426">
        <v>2</v>
      </c>
      <c r="F426">
        <f>_xlfn.XLOOKUP(Table1[[#This Row],[ProductID]],Products!A:A,Products!D:D,,0)</f>
        <v>150</v>
      </c>
      <c r="I426">
        <v>499</v>
      </c>
      <c r="J426">
        <v>424</v>
      </c>
      <c r="K426" t="s">
        <v>1092</v>
      </c>
      <c r="L426">
        <v>848</v>
      </c>
      <c r="M426" t="s">
        <v>1093</v>
      </c>
      <c r="N426" t="s">
        <v>1099</v>
      </c>
      <c r="O426">
        <f>Table1[[#This Row],[Unit_Price]]*Table1[[#This Row],[Quantity]]</f>
        <v>300</v>
      </c>
    </row>
    <row r="427" spans="1:15" x14ac:dyDescent="0.3">
      <c r="A427" t="s">
        <v>1852</v>
      </c>
      <c r="B427" t="s">
        <v>1853</v>
      </c>
      <c r="C427" t="s">
        <v>847</v>
      </c>
      <c r="D427" t="s">
        <v>1062</v>
      </c>
      <c r="E427">
        <v>1</v>
      </c>
      <c r="F427">
        <f>_xlfn.XLOOKUP(Table1[[#This Row],[ProductID]],Products!A:A,Products!D:D,,0)</f>
        <v>95</v>
      </c>
      <c r="I427">
        <v>349</v>
      </c>
      <c r="J427">
        <v>349</v>
      </c>
      <c r="K427" t="s">
        <v>1102</v>
      </c>
      <c r="L427">
        <v>349</v>
      </c>
      <c r="M427" t="s">
        <v>1093</v>
      </c>
      <c r="N427" t="s">
        <v>1099</v>
      </c>
      <c r="O427">
        <f>Table1[[#This Row],[Unit_Price]]*Table1[[#This Row],[Quantity]]</f>
        <v>95</v>
      </c>
    </row>
    <row r="428" spans="1:15" x14ac:dyDescent="0.3">
      <c r="A428" t="s">
        <v>1854</v>
      </c>
      <c r="B428" t="s">
        <v>1855</v>
      </c>
      <c r="C428" t="s">
        <v>883</v>
      </c>
      <c r="D428" t="s">
        <v>1048</v>
      </c>
      <c r="E428">
        <v>2</v>
      </c>
      <c r="F428">
        <f>_xlfn.XLOOKUP(Table1[[#This Row],[ProductID]],Products!A:A,Products!D:D,,0)</f>
        <v>120</v>
      </c>
      <c r="I428">
        <v>599</v>
      </c>
      <c r="J428">
        <v>599</v>
      </c>
      <c r="K428" t="s">
        <v>1102</v>
      </c>
      <c r="L428">
        <v>1198</v>
      </c>
      <c r="M428" t="s">
        <v>1093</v>
      </c>
      <c r="N428" t="s">
        <v>1099</v>
      </c>
      <c r="O428">
        <f>Table1[[#This Row],[Unit_Price]]*Table1[[#This Row],[Quantity]]</f>
        <v>240</v>
      </c>
    </row>
    <row r="429" spans="1:15" x14ac:dyDescent="0.3">
      <c r="A429" t="s">
        <v>1856</v>
      </c>
      <c r="B429" t="s">
        <v>1394</v>
      </c>
      <c r="C429" t="s">
        <v>689</v>
      </c>
      <c r="D429" t="s">
        <v>1048</v>
      </c>
      <c r="E429">
        <v>3</v>
      </c>
      <c r="F429">
        <f>_xlfn.XLOOKUP(Table1[[#This Row],[ProductID]],Products!A:A,Products!D:D,,0)</f>
        <v>120</v>
      </c>
      <c r="I429">
        <v>599</v>
      </c>
      <c r="J429">
        <v>479</v>
      </c>
      <c r="K429" t="s">
        <v>1097</v>
      </c>
      <c r="L429">
        <v>1437</v>
      </c>
      <c r="M429" t="s">
        <v>1093</v>
      </c>
      <c r="N429" t="s">
        <v>1099</v>
      </c>
      <c r="O429">
        <f>Table1[[#This Row],[Unit_Price]]*Table1[[#This Row],[Quantity]]</f>
        <v>360</v>
      </c>
    </row>
    <row r="430" spans="1:15" x14ac:dyDescent="0.3">
      <c r="A430" t="s">
        <v>1857</v>
      </c>
      <c r="B430" t="s">
        <v>1258</v>
      </c>
      <c r="C430" t="s">
        <v>37</v>
      </c>
      <c r="D430" t="s">
        <v>1068</v>
      </c>
      <c r="E430">
        <v>2</v>
      </c>
      <c r="F430">
        <f>_xlfn.XLOOKUP(Table1[[#This Row],[ProductID]],Products!A:A,Products!D:D,,0)</f>
        <v>180</v>
      </c>
      <c r="I430">
        <v>449</v>
      </c>
      <c r="J430">
        <v>382</v>
      </c>
      <c r="K430" t="s">
        <v>1092</v>
      </c>
      <c r="L430">
        <v>764</v>
      </c>
      <c r="M430" t="s">
        <v>1098</v>
      </c>
      <c r="N430" t="s">
        <v>1099</v>
      </c>
      <c r="O430">
        <f>Table1[[#This Row],[Unit_Price]]*Table1[[#This Row],[Quantity]]</f>
        <v>360</v>
      </c>
    </row>
    <row r="431" spans="1:15" x14ac:dyDescent="0.3">
      <c r="A431" t="s">
        <v>1858</v>
      </c>
      <c r="B431" t="s">
        <v>1859</v>
      </c>
      <c r="C431" t="s">
        <v>319</v>
      </c>
      <c r="D431" t="s">
        <v>1073</v>
      </c>
      <c r="E431">
        <v>1</v>
      </c>
      <c r="F431">
        <f>_xlfn.XLOOKUP(Table1[[#This Row],[ProductID]],Products!A:A,Products!D:D,,0)</f>
        <v>100</v>
      </c>
      <c r="I431">
        <v>349</v>
      </c>
      <c r="J431">
        <v>314</v>
      </c>
      <c r="K431" t="s">
        <v>1107</v>
      </c>
      <c r="L431">
        <v>314</v>
      </c>
      <c r="M431" t="s">
        <v>1093</v>
      </c>
      <c r="N431" t="s">
        <v>1099</v>
      </c>
      <c r="O431">
        <f>Table1[[#This Row],[Unit_Price]]*Table1[[#This Row],[Quantity]]</f>
        <v>100</v>
      </c>
    </row>
    <row r="432" spans="1:15" x14ac:dyDescent="0.3">
      <c r="A432" t="s">
        <v>1860</v>
      </c>
      <c r="B432" t="s">
        <v>1254</v>
      </c>
      <c r="C432" t="s">
        <v>803</v>
      </c>
      <c r="D432" t="s">
        <v>1051</v>
      </c>
      <c r="E432">
        <v>4</v>
      </c>
      <c r="F432">
        <f>_xlfn.XLOOKUP(Table1[[#This Row],[ProductID]],Products!A:A,Products!D:D,,0)</f>
        <v>150</v>
      </c>
      <c r="I432">
        <v>499</v>
      </c>
      <c r="J432">
        <v>499</v>
      </c>
      <c r="K432" t="s">
        <v>1102</v>
      </c>
      <c r="L432">
        <v>1996</v>
      </c>
      <c r="M432" t="s">
        <v>1093</v>
      </c>
      <c r="N432" t="s">
        <v>1099</v>
      </c>
      <c r="O432">
        <f>Table1[[#This Row],[Unit_Price]]*Table1[[#This Row],[Quantity]]</f>
        <v>600</v>
      </c>
    </row>
    <row r="433" spans="1:15" x14ac:dyDescent="0.3">
      <c r="A433" t="s">
        <v>1861</v>
      </c>
      <c r="B433" t="s">
        <v>1862</v>
      </c>
      <c r="C433" t="s">
        <v>873</v>
      </c>
      <c r="D433" t="s">
        <v>1080</v>
      </c>
      <c r="E433">
        <v>1</v>
      </c>
      <c r="F433">
        <f>_xlfn.XLOOKUP(Table1[[#This Row],[ProductID]],Products!A:A,Products!D:D,,0)</f>
        <v>45</v>
      </c>
      <c r="I433">
        <v>249</v>
      </c>
      <c r="J433">
        <v>249</v>
      </c>
      <c r="K433" t="s">
        <v>1102</v>
      </c>
      <c r="L433">
        <v>249</v>
      </c>
      <c r="M433" t="s">
        <v>1098</v>
      </c>
      <c r="N433" t="s">
        <v>1099</v>
      </c>
      <c r="O433">
        <f>Table1[[#This Row],[Unit_Price]]*Table1[[#This Row],[Quantity]]</f>
        <v>45</v>
      </c>
    </row>
    <row r="434" spans="1:15" x14ac:dyDescent="0.3">
      <c r="A434" t="s">
        <v>1863</v>
      </c>
      <c r="B434" t="s">
        <v>1455</v>
      </c>
      <c r="C434" t="s">
        <v>753</v>
      </c>
      <c r="D434" t="s">
        <v>1080</v>
      </c>
      <c r="E434">
        <v>1</v>
      </c>
      <c r="F434">
        <f>_xlfn.XLOOKUP(Table1[[#This Row],[ProductID]],Products!A:A,Products!D:D,,0)</f>
        <v>45</v>
      </c>
      <c r="I434">
        <v>249</v>
      </c>
      <c r="J434">
        <v>224</v>
      </c>
      <c r="K434" t="s">
        <v>1107</v>
      </c>
      <c r="L434">
        <v>224</v>
      </c>
      <c r="M434" t="s">
        <v>1093</v>
      </c>
      <c r="N434" t="s">
        <v>1099</v>
      </c>
      <c r="O434">
        <f>Table1[[#This Row],[Unit_Price]]*Table1[[#This Row],[Quantity]]</f>
        <v>45</v>
      </c>
    </row>
    <row r="435" spans="1:15" x14ac:dyDescent="0.3">
      <c r="A435" t="s">
        <v>1864</v>
      </c>
      <c r="B435" t="s">
        <v>1865</v>
      </c>
      <c r="C435" t="s">
        <v>249</v>
      </c>
      <c r="D435" t="s">
        <v>1062</v>
      </c>
      <c r="E435">
        <v>1</v>
      </c>
      <c r="F435">
        <f>_xlfn.XLOOKUP(Table1[[#This Row],[ProductID]],Products!A:A,Products!D:D,,0)</f>
        <v>95</v>
      </c>
      <c r="I435">
        <v>349</v>
      </c>
      <c r="J435">
        <v>297</v>
      </c>
      <c r="K435" t="s">
        <v>1092</v>
      </c>
      <c r="L435">
        <v>297</v>
      </c>
      <c r="M435" t="s">
        <v>1098</v>
      </c>
      <c r="N435" t="s">
        <v>1099</v>
      </c>
      <c r="O435">
        <f>Table1[[#This Row],[Unit_Price]]*Table1[[#This Row],[Quantity]]</f>
        <v>95</v>
      </c>
    </row>
    <row r="436" spans="1:15" x14ac:dyDescent="0.3">
      <c r="A436" t="s">
        <v>1866</v>
      </c>
      <c r="B436" t="s">
        <v>1867</v>
      </c>
      <c r="C436" t="s">
        <v>801</v>
      </c>
      <c r="D436" t="s">
        <v>1057</v>
      </c>
      <c r="E436">
        <v>1</v>
      </c>
      <c r="F436">
        <f>_xlfn.XLOOKUP(Table1[[#This Row],[ProductID]],Products!A:A,Products!D:D,,0)</f>
        <v>130</v>
      </c>
      <c r="I436">
        <v>549</v>
      </c>
      <c r="J436">
        <v>439</v>
      </c>
      <c r="K436" t="s">
        <v>1097</v>
      </c>
      <c r="L436">
        <v>439</v>
      </c>
      <c r="M436" t="s">
        <v>1093</v>
      </c>
      <c r="N436" t="s">
        <v>1094</v>
      </c>
      <c r="O436">
        <f>Table1[[#This Row],[Unit_Price]]*Table1[[#This Row],[Quantity]]</f>
        <v>130</v>
      </c>
    </row>
    <row r="437" spans="1:15" x14ac:dyDescent="0.3">
      <c r="A437" t="s">
        <v>1868</v>
      </c>
      <c r="B437" t="s">
        <v>1317</v>
      </c>
      <c r="C437" t="s">
        <v>617</v>
      </c>
      <c r="D437" t="s">
        <v>1062</v>
      </c>
      <c r="E437">
        <v>1</v>
      </c>
      <c r="F437">
        <f>_xlfn.XLOOKUP(Table1[[#This Row],[ProductID]],Products!A:A,Products!D:D,,0)</f>
        <v>95</v>
      </c>
      <c r="I437">
        <v>349</v>
      </c>
      <c r="J437">
        <v>279</v>
      </c>
      <c r="K437" t="s">
        <v>1097</v>
      </c>
      <c r="L437">
        <v>279</v>
      </c>
      <c r="M437" t="s">
        <v>1093</v>
      </c>
      <c r="N437" t="s">
        <v>1094</v>
      </c>
      <c r="O437">
        <f>Table1[[#This Row],[Unit_Price]]*Table1[[#This Row],[Quantity]]</f>
        <v>95</v>
      </c>
    </row>
    <row r="438" spans="1:15" x14ac:dyDescent="0.3">
      <c r="A438" t="s">
        <v>1869</v>
      </c>
      <c r="B438" t="s">
        <v>1870</v>
      </c>
      <c r="C438" t="s">
        <v>449</v>
      </c>
      <c r="D438" t="s">
        <v>1075</v>
      </c>
      <c r="E438">
        <v>1</v>
      </c>
      <c r="F438">
        <f>_xlfn.XLOOKUP(Table1[[#This Row],[ProductID]],Products!A:A,Products!D:D,,0)</f>
        <v>80</v>
      </c>
      <c r="I438">
        <v>499</v>
      </c>
      <c r="J438">
        <v>399</v>
      </c>
      <c r="K438" t="s">
        <v>1097</v>
      </c>
      <c r="L438">
        <v>399</v>
      </c>
      <c r="M438" t="s">
        <v>1093</v>
      </c>
      <c r="N438" t="s">
        <v>1099</v>
      </c>
      <c r="O438">
        <f>Table1[[#This Row],[Unit_Price]]*Table1[[#This Row],[Quantity]]</f>
        <v>80</v>
      </c>
    </row>
    <row r="439" spans="1:15" x14ac:dyDescent="0.3">
      <c r="A439" t="s">
        <v>1871</v>
      </c>
      <c r="B439" t="s">
        <v>1872</v>
      </c>
      <c r="C439" t="s">
        <v>251</v>
      </c>
      <c r="D439" t="s">
        <v>1064</v>
      </c>
      <c r="E439">
        <v>1</v>
      </c>
      <c r="F439">
        <f>_xlfn.XLOOKUP(Table1[[#This Row],[ProductID]],Products!A:A,Products!D:D,,0)</f>
        <v>160</v>
      </c>
      <c r="I439">
        <v>699</v>
      </c>
      <c r="J439">
        <v>629</v>
      </c>
      <c r="K439" t="s">
        <v>1107</v>
      </c>
      <c r="L439">
        <v>629</v>
      </c>
      <c r="M439" t="s">
        <v>1098</v>
      </c>
      <c r="N439" t="s">
        <v>1099</v>
      </c>
      <c r="O439">
        <f>Table1[[#This Row],[Unit_Price]]*Table1[[#This Row],[Quantity]]</f>
        <v>160</v>
      </c>
    </row>
    <row r="440" spans="1:15" x14ac:dyDescent="0.3">
      <c r="A440" t="s">
        <v>1873</v>
      </c>
      <c r="B440" t="s">
        <v>1730</v>
      </c>
      <c r="C440" t="s">
        <v>415</v>
      </c>
      <c r="D440" t="s">
        <v>1068</v>
      </c>
      <c r="E440">
        <v>1</v>
      </c>
      <c r="F440">
        <f>_xlfn.XLOOKUP(Table1[[#This Row],[ProductID]],Products!A:A,Products!D:D,,0)</f>
        <v>180</v>
      </c>
      <c r="I440">
        <v>449</v>
      </c>
      <c r="J440">
        <v>382</v>
      </c>
      <c r="K440" t="s">
        <v>1092</v>
      </c>
      <c r="L440">
        <v>382</v>
      </c>
      <c r="M440" t="s">
        <v>1098</v>
      </c>
      <c r="N440" t="s">
        <v>1099</v>
      </c>
      <c r="O440">
        <f>Table1[[#This Row],[Unit_Price]]*Table1[[#This Row],[Quantity]]</f>
        <v>180</v>
      </c>
    </row>
    <row r="441" spans="1:15" x14ac:dyDescent="0.3">
      <c r="A441" t="s">
        <v>1874</v>
      </c>
      <c r="B441" t="s">
        <v>1875</v>
      </c>
      <c r="C441" t="s">
        <v>383</v>
      </c>
      <c r="D441" t="s">
        <v>1059</v>
      </c>
      <c r="E441">
        <v>2</v>
      </c>
      <c r="F441">
        <f>_xlfn.XLOOKUP(Table1[[#This Row],[ProductID]],Products!A:A,Products!D:D,,0)</f>
        <v>110</v>
      </c>
      <c r="I441">
        <v>399</v>
      </c>
      <c r="J441">
        <v>359</v>
      </c>
      <c r="K441" t="s">
        <v>1107</v>
      </c>
      <c r="L441">
        <v>718</v>
      </c>
      <c r="M441" t="s">
        <v>1098</v>
      </c>
      <c r="N441" t="s">
        <v>1099</v>
      </c>
      <c r="O441">
        <f>Table1[[#This Row],[Unit_Price]]*Table1[[#This Row],[Quantity]]</f>
        <v>220</v>
      </c>
    </row>
    <row r="442" spans="1:15" x14ac:dyDescent="0.3">
      <c r="A442" t="s">
        <v>1876</v>
      </c>
      <c r="B442" t="s">
        <v>1144</v>
      </c>
      <c r="C442" t="s">
        <v>767</v>
      </c>
      <c r="D442" t="s">
        <v>1053</v>
      </c>
      <c r="E442">
        <v>1</v>
      </c>
      <c r="F442">
        <f>_xlfn.XLOOKUP(Table1[[#This Row],[ProductID]],Products!A:A,Products!D:D,,0)</f>
        <v>200</v>
      </c>
      <c r="I442">
        <v>899</v>
      </c>
      <c r="J442">
        <v>719</v>
      </c>
      <c r="K442" t="s">
        <v>1097</v>
      </c>
      <c r="L442">
        <v>719</v>
      </c>
      <c r="M442" t="s">
        <v>1093</v>
      </c>
      <c r="N442" t="s">
        <v>1099</v>
      </c>
      <c r="O442">
        <f>Table1[[#This Row],[Unit_Price]]*Table1[[#This Row],[Quantity]]</f>
        <v>200</v>
      </c>
    </row>
    <row r="443" spans="1:15" x14ac:dyDescent="0.3">
      <c r="A443" t="s">
        <v>1877</v>
      </c>
      <c r="B443" t="s">
        <v>1490</v>
      </c>
      <c r="C443" t="s">
        <v>154</v>
      </c>
      <c r="D443" t="s">
        <v>1071</v>
      </c>
      <c r="E443">
        <v>1</v>
      </c>
      <c r="F443">
        <f>_xlfn.XLOOKUP(Table1[[#This Row],[ProductID]],Products!A:A,Products!D:D,,0)</f>
        <v>125</v>
      </c>
      <c r="I443">
        <v>399</v>
      </c>
      <c r="J443">
        <v>399</v>
      </c>
      <c r="K443" t="s">
        <v>1102</v>
      </c>
      <c r="L443">
        <v>399</v>
      </c>
      <c r="M443" t="s">
        <v>1093</v>
      </c>
      <c r="N443" t="s">
        <v>1094</v>
      </c>
      <c r="O443">
        <f>Table1[[#This Row],[Unit_Price]]*Table1[[#This Row],[Quantity]]</f>
        <v>125</v>
      </c>
    </row>
    <row r="444" spans="1:15" x14ac:dyDescent="0.3">
      <c r="A444" t="s">
        <v>1878</v>
      </c>
      <c r="B444" t="s">
        <v>1294</v>
      </c>
      <c r="C444" t="s">
        <v>769</v>
      </c>
      <c r="D444" t="s">
        <v>1078</v>
      </c>
      <c r="E444">
        <v>3</v>
      </c>
      <c r="F444">
        <f>_xlfn.XLOOKUP(Table1[[#This Row],[ProductID]],Products!A:A,Products!D:D,,0)</f>
        <v>80</v>
      </c>
      <c r="I444">
        <v>499</v>
      </c>
      <c r="J444">
        <v>424</v>
      </c>
      <c r="K444" t="s">
        <v>1092</v>
      </c>
      <c r="L444">
        <v>1272</v>
      </c>
      <c r="M444" t="s">
        <v>1093</v>
      </c>
      <c r="N444" t="s">
        <v>1094</v>
      </c>
      <c r="O444">
        <f>Table1[[#This Row],[Unit_Price]]*Table1[[#This Row],[Quantity]]</f>
        <v>240</v>
      </c>
    </row>
    <row r="445" spans="1:15" x14ac:dyDescent="0.3">
      <c r="A445" t="s">
        <v>1879</v>
      </c>
      <c r="B445" t="s">
        <v>1880</v>
      </c>
      <c r="C445" t="s">
        <v>969</v>
      </c>
      <c r="D445" t="s">
        <v>1059</v>
      </c>
      <c r="E445">
        <v>1</v>
      </c>
      <c r="F445">
        <f>_xlfn.XLOOKUP(Table1[[#This Row],[ProductID]],Products!A:A,Products!D:D,,0)</f>
        <v>110</v>
      </c>
      <c r="I445">
        <v>399</v>
      </c>
      <c r="J445">
        <v>359</v>
      </c>
      <c r="K445" t="s">
        <v>1107</v>
      </c>
      <c r="L445">
        <v>359</v>
      </c>
      <c r="M445" t="s">
        <v>1093</v>
      </c>
      <c r="N445" t="s">
        <v>1099</v>
      </c>
      <c r="O445">
        <f>Table1[[#This Row],[Unit_Price]]*Table1[[#This Row],[Quantity]]</f>
        <v>110</v>
      </c>
    </row>
    <row r="446" spans="1:15" x14ac:dyDescent="0.3">
      <c r="A446" t="s">
        <v>1881</v>
      </c>
      <c r="B446" t="s">
        <v>1882</v>
      </c>
      <c r="C446" t="s">
        <v>175</v>
      </c>
      <c r="D446" t="s">
        <v>1053</v>
      </c>
      <c r="E446">
        <v>1</v>
      </c>
      <c r="F446">
        <f>_xlfn.XLOOKUP(Table1[[#This Row],[ProductID]],Products!A:A,Products!D:D,,0)</f>
        <v>200</v>
      </c>
      <c r="I446">
        <v>899</v>
      </c>
      <c r="J446">
        <v>899</v>
      </c>
      <c r="K446" t="s">
        <v>1102</v>
      </c>
      <c r="L446">
        <v>899</v>
      </c>
      <c r="M446" t="s">
        <v>1093</v>
      </c>
      <c r="N446" t="s">
        <v>1094</v>
      </c>
      <c r="O446">
        <f>Table1[[#This Row],[Unit_Price]]*Table1[[#This Row],[Quantity]]</f>
        <v>200</v>
      </c>
    </row>
    <row r="447" spans="1:15" x14ac:dyDescent="0.3">
      <c r="A447" t="s">
        <v>1883</v>
      </c>
      <c r="B447" t="s">
        <v>1543</v>
      </c>
      <c r="C447" t="s">
        <v>257</v>
      </c>
      <c r="D447" t="s">
        <v>1057</v>
      </c>
      <c r="E447">
        <v>2</v>
      </c>
      <c r="F447">
        <f>_xlfn.XLOOKUP(Table1[[#This Row],[ProductID]],Products!A:A,Products!D:D,,0)</f>
        <v>130</v>
      </c>
      <c r="I447">
        <v>549</v>
      </c>
      <c r="J447">
        <v>549</v>
      </c>
      <c r="K447" t="s">
        <v>1102</v>
      </c>
      <c r="L447">
        <v>1098</v>
      </c>
      <c r="M447" t="s">
        <v>1093</v>
      </c>
      <c r="N447" t="s">
        <v>1094</v>
      </c>
      <c r="O447">
        <f>Table1[[#This Row],[Unit_Price]]*Table1[[#This Row],[Quantity]]</f>
        <v>260</v>
      </c>
    </row>
    <row r="448" spans="1:15" x14ac:dyDescent="0.3">
      <c r="A448" t="s">
        <v>1884</v>
      </c>
      <c r="B448" t="s">
        <v>1258</v>
      </c>
      <c r="C448" t="s">
        <v>207</v>
      </c>
      <c r="D448" t="s">
        <v>1080</v>
      </c>
      <c r="E448">
        <v>1</v>
      </c>
      <c r="F448">
        <f>_xlfn.XLOOKUP(Table1[[#This Row],[ProductID]],Products!A:A,Products!D:D,,0)</f>
        <v>45</v>
      </c>
      <c r="I448">
        <v>249</v>
      </c>
      <c r="J448">
        <v>199</v>
      </c>
      <c r="K448" t="s">
        <v>1097</v>
      </c>
      <c r="L448">
        <v>199</v>
      </c>
      <c r="M448" t="s">
        <v>1093</v>
      </c>
      <c r="N448" t="s">
        <v>1099</v>
      </c>
      <c r="O448">
        <f>Table1[[#This Row],[Unit_Price]]*Table1[[#This Row],[Quantity]]</f>
        <v>45</v>
      </c>
    </row>
    <row r="449" spans="1:15" x14ac:dyDescent="0.3">
      <c r="A449" t="s">
        <v>1885</v>
      </c>
      <c r="B449" t="s">
        <v>1692</v>
      </c>
      <c r="C449" t="s">
        <v>549</v>
      </c>
      <c r="D449" t="s">
        <v>1055</v>
      </c>
      <c r="E449">
        <v>1</v>
      </c>
      <c r="F449">
        <f>_xlfn.XLOOKUP(Table1[[#This Row],[ProductID]],Products!A:A,Products!D:D,,0)</f>
        <v>75</v>
      </c>
      <c r="I449">
        <v>299</v>
      </c>
      <c r="J449">
        <v>299</v>
      </c>
      <c r="K449" t="s">
        <v>1102</v>
      </c>
      <c r="L449">
        <v>299</v>
      </c>
      <c r="M449" t="s">
        <v>1098</v>
      </c>
      <c r="N449" t="s">
        <v>1099</v>
      </c>
      <c r="O449">
        <f>Table1[[#This Row],[Unit_Price]]*Table1[[#This Row],[Quantity]]</f>
        <v>75</v>
      </c>
    </row>
    <row r="450" spans="1:15" x14ac:dyDescent="0.3">
      <c r="A450" t="s">
        <v>1886</v>
      </c>
      <c r="B450" t="s">
        <v>1264</v>
      </c>
      <c r="C450" t="s">
        <v>405</v>
      </c>
      <c r="D450" t="s">
        <v>1066</v>
      </c>
      <c r="E450">
        <v>1</v>
      </c>
      <c r="F450">
        <f>_xlfn.XLOOKUP(Table1[[#This Row],[ProductID]],Products!A:A,Products!D:D,,0)</f>
        <v>140</v>
      </c>
      <c r="I450">
        <v>499</v>
      </c>
      <c r="J450">
        <v>449</v>
      </c>
      <c r="K450" t="s">
        <v>1107</v>
      </c>
      <c r="L450">
        <v>449</v>
      </c>
      <c r="M450" t="s">
        <v>1126</v>
      </c>
      <c r="N450" t="s">
        <v>1099</v>
      </c>
      <c r="O450">
        <f>Table1[[#This Row],[Unit_Price]]*Table1[[#This Row],[Quantity]]</f>
        <v>140</v>
      </c>
    </row>
    <row r="451" spans="1:15" x14ac:dyDescent="0.3">
      <c r="A451" t="s">
        <v>1887</v>
      </c>
      <c r="B451" t="s">
        <v>1851</v>
      </c>
      <c r="C451" t="s">
        <v>375</v>
      </c>
      <c r="D451" t="s">
        <v>1051</v>
      </c>
      <c r="E451">
        <v>2</v>
      </c>
      <c r="F451">
        <f>_xlfn.XLOOKUP(Table1[[#This Row],[ProductID]],Products!A:A,Products!D:D,,0)</f>
        <v>150</v>
      </c>
      <c r="I451">
        <v>499</v>
      </c>
      <c r="J451">
        <v>499</v>
      </c>
      <c r="K451" t="s">
        <v>1102</v>
      </c>
      <c r="L451">
        <v>998</v>
      </c>
      <c r="M451" t="s">
        <v>1098</v>
      </c>
      <c r="N451" t="s">
        <v>1099</v>
      </c>
      <c r="O451">
        <f>Table1[[#This Row],[Unit_Price]]*Table1[[#This Row],[Quantity]]</f>
        <v>300</v>
      </c>
    </row>
    <row r="452" spans="1:15" x14ac:dyDescent="0.3">
      <c r="A452" t="s">
        <v>1888</v>
      </c>
      <c r="B452" t="s">
        <v>1889</v>
      </c>
      <c r="C452" t="s">
        <v>791</v>
      </c>
      <c r="D452" t="s">
        <v>1055</v>
      </c>
      <c r="E452">
        <v>3</v>
      </c>
      <c r="F452">
        <f>_xlfn.XLOOKUP(Table1[[#This Row],[ProductID]],Products!A:A,Products!D:D,,0)</f>
        <v>75</v>
      </c>
      <c r="I452">
        <v>299</v>
      </c>
      <c r="J452">
        <v>269</v>
      </c>
      <c r="K452" t="s">
        <v>1107</v>
      </c>
      <c r="L452">
        <v>807</v>
      </c>
      <c r="M452" t="s">
        <v>1093</v>
      </c>
      <c r="N452" t="s">
        <v>1123</v>
      </c>
      <c r="O452">
        <f>Table1[[#This Row],[Unit_Price]]*Table1[[#This Row],[Quantity]]</f>
        <v>225</v>
      </c>
    </row>
    <row r="453" spans="1:15" x14ac:dyDescent="0.3">
      <c r="A453" t="s">
        <v>1890</v>
      </c>
      <c r="B453" t="s">
        <v>1891</v>
      </c>
      <c r="C453" t="s">
        <v>425</v>
      </c>
      <c r="D453" t="s">
        <v>1064</v>
      </c>
      <c r="E453">
        <v>2</v>
      </c>
      <c r="F453">
        <f>_xlfn.XLOOKUP(Table1[[#This Row],[ProductID]],Products!A:A,Products!D:D,,0)</f>
        <v>160</v>
      </c>
      <c r="I453">
        <v>699</v>
      </c>
      <c r="J453">
        <v>629</v>
      </c>
      <c r="K453" t="s">
        <v>1107</v>
      </c>
      <c r="L453">
        <v>1258</v>
      </c>
      <c r="M453" t="s">
        <v>1098</v>
      </c>
      <c r="N453" t="s">
        <v>1099</v>
      </c>
      <c r="O453">
        <f>Table1[[#This Row],[Unit_Price]]*Table1[[#This Row],[Quantity]]</f>
        <v>320</v>
      </c>
    </row>
    <row r="454" spans="1:15" x14ac:dyDescent="0.3">
      <c r="A454" t="s">
        <v>1892</v>
      </c>
      <c r="B454" t="s">
        <v>1115</v>
      </c>
      <c r="C454" t="s">
        <v>713</v>
      </c>
      <c r="D454" t="s">
        <v>1078</v>
      </c>
      <c r="E454">
        <v>1</v>
      </c>
      <c r="F454">
        <f>_xlfn.XLOOKUP(Table1[[#This Row],[ProductID]],Products!A:A,Products!D:D,,0)</f>
        <v>80</v>
      </c>
      <c r="I454">
        <v>499</v>
      </c>
      <c r="J454">
        <v>449</v>
      </c>
      <c r="K454" t="s">
        <v>1107</v>
      </c>
      <c r="L454">
        <v>449</v>
      </c>
      <c r="M454" t="s">
        <v>1093</v>
      </c>
      <c r="N454" t="s">
        <v>1094</v>
      </c>
      <c r="O454">
        <f>Table1[[#This Row],[Unit_Price]]*Table1[[#This Row],[Quantity]]</f>
        <v>80</v>
      </c>
    </row>
    <row r="455" spans="1:15" x14ac:dyDescent="0.3">
      <c r="A455" t="s">
        <v>1893</v>
      </c>
      <c r="B455" t="s">
        <v>1117</v>
      </c>
      <c r="C455" t="s">
        <v>303</v>
      </c>
      <c r="D455" t="s">
        <v>1068</v>
      </c>
      <c r="E455">
        <v>2</v>
      </c>
      <c r="F455">
        <f>_xlfn.XLOOKUP(Table1[[#This Row],[ProductID]],Products!A:A,Products!D:D,,0)</f>
        <v>180</v>
      </c>
      <c r="I455">
        <v>449</v>
      </c>
      <c r="J455">
        <v>404</v>
      </c>
      <c r="K455" t="s">
        <v>1107</v>
      </c>
      <c r="L455">
        <v>808</v>
      </c>
      <c r="M455" t="s">
        <v>1093</v>
      </c>
      <c r="N455" t="s">
        <v>1094</v>
      </c>
      <c r="O455">
        <f>Table1[[#This Row],[Unit_Price]]*Table1[[#This Row],[Quantity]]</f>
        <v>360</v>
      </c>
    </row>
    <row r="456" spans="1:15" x14ac:dyDescent="0.3">
      <c r="A456" t="s">
        <v>1894</v>
      </c>
      <c r="B456" t="s">
        <v>1895</v>
      </c>
      <c r="C456" t="s">
        <v>491</v>
      </c>
      <c r="D456" t="s">
        <v>1064</v>
      </c>
      <c r="E456">
        <v>2</v>
      </c>
      <c r="F456">
        <f>_xlfn.XLOOKUP(Table1[[#This Row],[ProductID]],Products!A:A,Products!D:D,,0)</f>
        <v>160</v>
      </c>
      <c r="I456">
        <v>699</v>
      </c>
      <c r="J456">
        <v>629</v>
      </c>
      <c r="K456" t="s">
        <v>1107</v>
      </c>
      <c r="L456">
        <v>1258</v>
      </c>
      <c r="M456" t="s">
        <v>1098</v>
      </c>
      <c r="N456" t="s">
        <v>1099</v>
      </c>
      <c r="O456">
        <f>Table1[[#This Row],[Unit_Price]]*Table1[[#This Row],[Quantity]]</f>
        <v>320</v>
      </c>
    </row>
    <row r="457" spans="1:15" x14ac:dyDescent="0.3">
      <c r="A457" t="s">
        <v>1896</v>
      </c>
      <c r="B457" t="s">
        <v>1451</v>
      </c>
      <c r="C457" t="s">
        <v>99</v>
      </c>
      <c r="D457" t="s">
        <v>1053</v>
      </c>
      <c r="E457">
        <v>1</v>
      </c>
      <c r="F457">
        <f>_xlfn.XLOOKUP(Table1[[#This Row],[ProductID]],Products!A:A,Products!D:D,,0)</f>
        <v>200</v>
      </c>
      <c r="I457">
        <v>899</v>
      </c>
      <c r="J457">
        <v>719</v>
      </c>
      <c r="K457" t="s">
        <v>1097</v>
      </c>
      <c r="L457">
        <v>719</v>
      </c>
      <c r="M457" t="s">
        <v>1118</v>
      </c>
      <c r="N457" t="s">
        <v>1099</v>
      </c>
      <c r="O457">
        <f>Table1[[#This Row],[Unit_Price]]*Table1[[#This Row],[Quantity]]</f>
        <v>200</v>
      </c>
    </row>
    <row r="458" spans="1:15" x14ac:dyDescent="0.3">
      <c r="A458" t="s">
        <v>1897</v>
      </c>
      <c r="B458" t="s">
        <v>1898</v>
      </c>
      <c r="C458" t="s">
        <v>391</v>
      </c>
      <c r="D458" t="s">
        <v>1080</v>
      </c>
      <c r="E458">
        <v>1</v>
      </c>
      <c r="F458">
        <f>_xlfn.XLOOKUP(Table1[[#This Row],[ProductID]],Products!A:A,Products!D:D,,0)</f>
        <v>45</v>
      </c>
      <c r="I458">
        <v>249</v>
      </c>
      <c r="J458">
        <v>199</v>
      </c>
      <c r="K458" t="s">
        <v>1097</v>
      </c>
      <c r="L458">
        <v>199</v>
      </c>
      <c r="M458" t="s">
        <v>1093</v>
      </c>
      <c r="N458" t="s">
        <v>1099</v>
      </c>
      <c r="O458">
        <f>Table1[[#This Row],[Unit_Price]]*Table1[[#This Row],[Quantity]]</f>
        <v>45</v>
      </c>
    </row>
    <row r="459" spans="1:15" x14ac:dyDescent="0.3">
      <c r="A459" t="s">
        <v>1899</v>
      </c>
      <c r="B459" t="s">
        <v>1900</v>
      </c>
      <c r="C459" t="s">
        <v>811</v>
      </c>
      <c r="D459" t="s">
        <v>1057</v>
      </c>
      <c r="E459">
        <v>1</v>
      </c>
      <c r="F459">
        <f>_xlfn.XLOOKUP(Table1[[#This Row],[ProductID]],Products!A:A,Products!D:D,,0)</f>
        <v>130</v>
      </c>
      <c r="I459">
        <v>549</v>
      </c>
      <c r="J459">
        <v>467</v>
      </c>
      <c r="K459" t="s">
        <v>1092</v>
      </c>
      <c r="L459">
        <v>467</v>
      </c>
      <c r="M459" t="s">
        <v>1093</v>
      </c>
      <c r="N459" t="s">
        <v>1099</v>
      </c>
      <c r="O459">
        <f>Table1[[#This Row],[Unit_Price]]*Table1[[#This Row],[Quantity]]</f>
        <v>130</v>
      </c>
    </row>
    <row r="460" spans="1:15" x14ac:dyDescent="0.3">
      <c r="A460" t="s">
        <v>1901</v>
      </c>
      <c r="B460" t="s">
        <v>1902</v>
      </c>
      <c r="C460" t="s">
        <v>745</v>
      </c>
      <c r="D460" t="s">
        <v>1057</v>
      </c>
      <c r="E460">
        <v>3</v>
      </c>
      <c r="F460">
        <f>_xlfn.XLOOKUP(Table1[[#This Row],[ProductID]],Products!A:A,Products!D:D,,0)</f>
        <v>130</v>
      </c>
      <c r="I460">
        <v>549</v>
      </c>
      <c r="J460">
        <v>494</v>
      </c>
      <c r="K460" t="s">
        <v>1107</v>
      </c>
      <c r="L460">
        <v>1482</v>
      </c>
      <c r="M460" t="s">
        <v>1098</v>
      </c>
      <c r="N460" t="s">
        <v>1099</v>
      </c>
      <c r="O460">
        <f>Table1[[#This Row],[Unit_Price]]*Table1[[#This Row],[Quantity]]</f>
        <v>390</v>
      </c>
    </row>
    <row r="461" spans="1:15" x14ac:dyDescent="0.3">
      <c r="A461" t="s">
        <v>1903</v>
      </c>
      <c r="B461" t="s">
        <v>1900</v>
      </c>
      <c r="C461" t="s">
        <v>211</v>
      </c>
      <c r="D461" t="s">
        <v>1071</v>
      </c>
      <c r="E461">
        <v>3</v>
      </c>
      <c r="F461">
        <f>_xlfn.XLOOKUP(Table1[[#This Row],[ProductID]],Products!A:A,Products!D:D,,0)</f>
        <v>125</v>
      </c>
      <c r="I461">
        <v>399</v>
      </c>
      <c r="J461">
        <v>399</v>
      </c>
      <c r="K461" t="s">
        <v>1102</v>
      </c>
      <c r="L461">
        <v>1197</v>
      </c>
      <c r="M461" t="s">
        <v>1098</v>
      </c>
      <c r="N461" t="s">
        <v>1099</v>
      </c>
      <c r="O461">
        <f>Table1[[#This Row],[Unit_Price]]*Table1[[#This Row],[Quantity]]</f>
        <v>375</v>
      </c>
    </row>
    <row r="462" spans="1:15" x14ac:dyDescent="0.3">
      <c r="A462" t="s">
        <v>1904</v>
      </c>
      <c r="B462" t="s">
        <v>1905</v>
      </c>
      <c r="C462" t="s">
        <v>807</v>
      </c>
      <c r="D462" t="s">
        <v>1059</v>
      </c>
      <c r="E462">
        <v>4</v>
      </c>
      <c r="F462">
        <f>_xlfn.XLOOKUP(Table1[[#This Row],[ProductID]],Products!A:A,Products!D:D,,0)</f>
        <v>110</v>
      </c>
      <c r="I462">
        <v>399</v>
      </c>
      <c r="J462">
        <v>399</v>
      </c>
      <c r="K462" t="s">
        <v>1102</v>
      </c>
      <c r="L462">
        <v>1596</v>
      </c>
      <c r="M462" t="s">
        <v>1098</v>
      </c>
      <c r="N462" t="s">
        <v>1099</v>
      </c>
      <c r="O462">
        <f>Table1[[#This Row],[Unit_Price]]*Table1[[#This Row],[Quantity]]</f>
        <v>440</v>
      </c>
    </row>
    <row r="463" spans="1:15" x14ac:dyDescent="0.3">
      <c r="A463" t="s">
        <v>1906</v>
      </c>
      <c r="B463" t="s">
        <v>1445</v>
      </c>
      <c r="C463" t="s">
        <v>995</v>
      </c>
      <c r="D463" t="s">
        <v>1055</v>
      </c>
      <c r="E463">
        <v>2</v>
      </c>
      <c r="F463">
        <f>_xlfn.XLOOKUP(Table1[[#This Row],[ProductID]],Products!A:A,Products!D:D,,0)</f>
        <v>75</v>
      </c>
      <c r="I463">
        <v>299</v>
      </c>
      <c r="J463">
        <v>269</v>
      </c>
      <c r="K463" t="s">
        <v>1107</v>
      </c>
      <c r="L463">
        <v>538</v>
      </c>
      <c r="M463" t="s">
        <v>1093</v>
      </c>
      <c r="N463" t="s">
        <v>1094</v>
      </c>
      <c r="O463">
        <f>Table1[[#This Row],[Unit_Price]]*Table1[[#This Row],[Quantity]]</f>
        <v>150</v>
      </c>
    </row>
    <row r="464" spans="1:15" x14ac:dyDescent="0.3">
      <c r="A464" t="s">
        <v>1907</v>
      </c>
      <c r="B464" t="s">
        <v>1694</v>
      </c>
      <c r="C464" t="s">
        <v>25</v>
      </c>
      <c r="D464" t="s">
        <v>1053</v>
      </c>
      <c r="E464">
        <v>1</v>
      </c>
      <c r="F464">
        <f>_xlfn.XLOOKUP(Table1[[#This Row],[ProductID]],Products!A:A,Products!D:D,,0)</f>
        <v>200</v>
      </c>
      <c r="I464">
        <v>899</v>
      </c>
      <c r="J464">
        <v>899</v>
      </c>
      <c r="K464" t="s">
        <v>1102</v>
      </c>
      <c r="L464">
        <v>899</v>
      </c>
      <c r="M464" t="s">
        <v>1098</v>
      </c>
      <c r="N464" t="s">
        <v>1123</v>
      </c>
      <c r="O464">
        <f>Table1[[#This Row],[Unit_Price]]*Table1[[#This Row],[Quantity]]</f>
        <v>200</v>
      </c>
    </row>
    <row r="465" spans="1:15" x14ac:dyDescent="0.3">
      <c r="A465" t="s">
        <v>1908</v>
      </c>
      <c r="B465" t="s">
        <v>1909</v>
      </c>
      <c r="C465" t="s">
        <v>313</v>
      </c>
      <c r="D465" t="s">
        <v>1071</v>
      </c>
      <c r="E465">
        <v>1</v>
      </c>
      <c r="F465">
        <f>_xlfn.XLOOKUP(Table1[[#This Row],[ProductID]],Products!A:A,Products!D:D,,0)</f>
        <v>125</v>
      </c>
      <c r="I465">
        <v>399</v>
      </c>
      <c r="J465">
        <v>339</v>
      </c>
      <c r="K465" t="s">
        <v>1092</v>
      </c>
      <c r="L465">
        <v>339</v>
      </c>
      <c r="M465" t="s">
        <v>1093</v>
      </c>
      <c r="N465" t="s">
        <v>1094</v>
      </c>
      <c r="O465">
        <f>Table1[[#This Row],[Unit_Price]]*Table1[[#This Row],[Quantity]]</f>
        <v>125</v>
      </c>
    </row>
    <row r="466" spans="1:15" x14ac:dyDescent="0.3">
      <c r="A466" t="s">
        <v>1910</v>
      </c>
      <c r="B466" t="s">
        <v>1911</v>
      </c>
      <c r="C466" t="s">
        <v>927</v>
      </c>
      <c r="D466" t="s">
        <v>1078</v>
      </c>
      <c r="E466">
        <v>4</v>
      </c>
      <c r="F466">
        <f>_xlfn.XLOOKUP(Table1[[#This Row],[ProductID]],Products!A:A,Products!D:D,,0)</f>
        <v>80</v>
      </c>
      <c r="I466">
        <v>499</v>
      </c>
      <c r="J466">
        <v>499</v>
      </c>
      <c r="K466" t="s">
        <v>1102</v>
      </c>
      <c r="L466">
        <v>1996</v>
      </c>
      <c r="M466" t="s">
        <v>1093</v>
      </c>
      <c r="N466" t="s">
        <v>1099</v>
      </c>
      <c r="O466">
        <f>Table1[[#This Row],[Unit_Price]]*Table1[[#This Row],[Quantity]]</f>
        <v>320</v>
      </c>
    </row>
    <row r="467" spans="1:15" x14ac:dyDescent="0.3">
      <c r="A467" t="s">
        <v>1912</v>
      </c>
      <c r="B467" t="s">
        <v>1913</v>
      </c>
      <c r="C467" t="s">
        <v>1005</v>
      </c>
      <c r="D467" t="s">
        <v>1053</v>
      </c>
      <c r="E467">
        <v>1</v>
      </c>
      <c r="F467">
        <f>_xlfn.XLOOKUP(Table1[[#This Row],[ProductID]],Products!A:A,Products!D:D,,0)</f>
        <v>200</v>
      </c>
      <c r="I467">
        <v>899</v>
      </c>
      <c r="J467">
        <v>719</v>
      </c>
      <c r="K467" t="s">
        <v>1097</v>
      </c>
      <c r="L467">
        <v>719</v>
      </c>
      <c r="M467" t="s">
        <v>1093</v>
      </c>
      <c r="N467" t="s">
        <v>1099</v>
      </c>
      <c r="O467">
        <f>Table1[[#This Row],[Unit_Price]]*Table1[[#This Row],[Quantity]]</f>
        <v>200</v>
      </c>
    </row>
    <row r="468" spans="1:15" x14ac:dyDescent="0.3">
      <c r="A468" t="s">
        <v>1914</v>
      </c>
      <c r="B468" t="s">
        <v>1519</v>
      </c>
      <c r="C468" t="s">
        <v>853</v>
      </c>
      <c r="D468" t="s">
        <v>1064</v>
      </c>
      <c r="E468">
        <v>2</v>
      </c>
      <c r="F468">
        <f>_xlfn.XLOOKUP(Table1[[#This Row],[ProductID]],Products!A:A,Products!D:D,,0)</f>
        <v>160</v>
      </c>
      <c r="I468">
        <v>699</v>
      </c>
      <c r="J468">
        <v>559</v>
      </c>
      <c r="K468" t="s">
        <v>1097</v>
      </c>
      <c r="L468">
        <v>1118</v>
      </c>
      <c r="M468" t="s">
        <v>1093</v>
      </c>
      <c r="N468" t="s">
        <v>1099</v>
      </c>
      <c r="O468">
        <f>Table1[[#This Row],[Unit_Price]]*Table1[[#This Row],[Quantity]]</f>
        <v>320</v>
      </c>
    </row>
    <row r="469" spans="1:15" x14ac:dyDescent="0.3">
      <c r="A469" t="s">
        <v>1915</v>
      </c>
      <c r="B469" t="s">
        <v>1916</v>
      </c>
      <c r="C469" t="s">
        <v>253</v>
      </c>
      <c r="D469" t="s">
        <v>1048</v>
      </c>
      <c r="E469">
        <v>4</v>
      </c>
      <c r="F469">
        <f>_xlfn.XLOOKUP(Table1[[#This Row],[ProductID]],Products!A:A,Products!D:D,,0)</f>
        <v>120</v>
      </c>
      <c r="I469">
        <v>599</v>
      </c>
      <c r="J469">
        <v>599</v>
      </c>
      <c r="K469" t="s">
        <v>1102</v>
      </c>
      <c r="L469">
        <v>2396</v>
      </c>
      <c r="M469" t="s">
        <v>1098</v>
      </c>
      <c r="N469" t="s">
        <v>1099</v>
      </c>
      <c r="O469">
        <f>Table1[[#This Row],[Unit_Price]]*Table1[[#This Row],[Quantity]]</f>
        <v>480</v>
      </c>
    </row>
    <row r="470" spans="1:15" x14ac:dyDescent="0.3">
      <c r="A470" t="s">
        <v>1917</v>
      </c>
      <c r="B470" t="s">
        <v>1918</v>
      </c>
      <c r="C470" t="s">
        <v>1023</v>
      </c>
      <c r="D470" t="s">
        <v>1066</v>
      </c>
      <c r="E470">
        <v>1</v>
      </c>
      <c r="F470">
        <f>_xlfn.XLOOKUP(Table1[[#This Row],[ProductID]],Products!A:A,Products!D:D,,0)</f>
        <v>140</v>
      </c>
      <c r="I470">
        <v>499</v>
      </c>
      <c r="J470">
        <v>499</v>
      </c>
      <c r="K470" t="s">
        <v>1102</v>
      </c>
      <c r="L470">
        <v>499</v>
      </c>
      <c r="M470" t="s">
        <v>1098</v>
      </c>
      <c r="N470" t="s">
        <v>1099</v>
      </c>
      <c r="O470">
        <f>Table1[[#This Row],[Unit_Price]]*Table1[[#This Row],[Quantity]]</f>
        <v>140</v>
      </c>
    </row>
    <row r="471" spans="1:15" x14ac:dyDescent="0.3">
      <c r="A471" t="s">
        <v>1919</v>
      </c>
      <c r="B471" t="s">
        <v>1920</v>
      </c>
      <c r="C471" t="s">
        <v>449</v>
      </c>
      <c r="D471" t="s">
        <v>1055</v>
      </c>
      <c r="E471">
        <v>1</v>
      </c>
      <c r="F471">
        <f>_xlfn.XLOOKUP(Table1[[#This Row],[ProductID]],Products!A:A,Products!D:D,,0)</f>
        <v>75</v>
      </c>
      <c r="I471">
        <v>299</v>
      </c>
      <c r="J471">
        <v>239</v>
      </c>
      <c r="K471" t="s">
        <v>1097</v>
      </c>
      <c r="L471">
        <v>239</v>
      </c>
      <c r="M471" t="s">
        <v>1098</v>
      </c>
      <c r="N471" t="s">
        <v>1099</v>
      </c>
      <c r="O471">
        <f>Table1[[#This Row],[Unit_Price]]*Table1[[#This Row],[Quantity]]</f>
        <v>75</v>
      </c>
    </row>
    <row r="472" spans="1:15" x14ac:dyDescent="0.3">
      <c r="A472" t="s">
        <v>1921</v>
      </c>
      <c r="B472" t="s">
        <v>1602</v>
      </c>
      <c r="C472" t="s">
        <v>653</v>
      </c>
      <c r="D472" t="s">
        <v>1071</v>
      </c>
      <c r="E472">
        <v>1</v>
      </c>
      <c r="F472">
        <f>_xlfn.XLOOKUP(Table1[[#This Row],[ProductID]],Products!A:A,Products!D:D,,0)</f>
        <v>125</v>
      </c>
      <c r="I472">
        <v>399</v>
      </c>
      <c r="J472">
        <v>359</v>
      </c>
      <c r="K472" t="s">
        <v>1107</v>
      </c>
      <c r="L472">
        <v>359</v>
      </c>
      <c r="M472" t="s">
        <v>1093</v>
      </c>
      <c r="N472" t="s">
        <v>1094</v>
      </c>
      <c r="O472">
        <f>Table1[[#This Row],[Unit_Price]]*Table1[[#This Row],[Quantity]]</f>
        <v>125</v>
      </c>
    </row>
    <row r="473" spans="1:15" x14ac:dyDescent="0.3">
      <c r="A473" t="s">
        <v>1922</v>
      </c>
      <c r="B473" t="s">
        <v>1608</v>
      </c>
      <c r="C473" t="s">
        <v>737</v>
      </c>
      <c r="D473" t="s">
        <v>1048</v>
      </c>
      <c r="E473">
        <v>1</v>
      </c>
      <c r="F473">
        <f>_xlfn.XLOOKUP(Table1[[#This Row],[ProductID]],Products!A:A,Products!D:D,,0)</f>
        <v>120</v>
      </c>
      <c r="I473">
        <v>599</v>
      </c>
      <c r="J473">
        <v>539</v>
      </c>
      <c r="K473" t="s">
        <v>1107</v>
      </c>
      <c r="L473">
        <v>539</v>
      </c>
      <c r="M473" t="s">
        <v>1093</v>
      </c>
      <c r="N473" t="s">
        <v>1094</v>
      </c>
      <c r="O473">
        <f>Table1[[#This Row],[Unit_Price]]*Table1[[#This Row],[Quantity]]</f>
        <v>120</v>
      </c>
    </row>
    <row r="474" spans="1:15" x14ac:dyDescent="0.3">
      <c r="A474" t="s">
        <v>1923</v>
      </c>
      <c r="B474" t="s">
        <v>1924</v>
      </c>
      <c r="C474" t="s">
        <v>255</v>
      </c>
      <c r="D474" t="s">
        <v>1071</v>
      </c>
      <c r="E474">
        <v>1</v>
      </c>
      <c r="F474">
        <f>_xlfn.XLOOKUP(Table1[[#This Row],[ProductID]],Products!A:A,Products!D:D,,0)</f>
        <v>125</v>
      </c>
      <c r="I474">
        <v>399</v>
      </c>
      <c r="J474">
        <v>339</v>
      </c>
      <c r="K474" t="s">
        <v>1092</v>
      </c>
      <c r="L474">
        <v>339</v>
      </c>
      <c r="M474" t="s">
        <v>1098</v>
      </c>
      <c r="N474" t="s">
        <v>1099</v>
      </c>
      <c r="O474">
        <f>Table1[[#This Row],[Unit_Price]]*Table1[[#This Row],[Quantity]]</f>
        <v>125</v>
      </c>
    </row>
    <row r="475" spans="1:15" x14ac:dyDescent="0.3">
      <c r="A475" t="s">
        <v>1925</v>
      </c>
      <c r="B475" t="s">
        <v>1091</v>
      </c>
      <c r="C475" t="s">
        <v>1019</v>
      </c>
      <c r="D475" t="s">
        <v>1055</v>
      </c>
      <c r="E475">
        <v>1</v>
      </c>
      <c r="F475">
        <f>_xlfn.XLOOKUP(Table1[[#This Row],[ProductID]],Products!A:A,Products!D:D,,0)</f>
        <v>75</v>
      </c>
      <c r="I475">
        <v>299</v>
      </c>
      <c r="J475">
        <v>239</v>
      </c>
      <c r="K475" t="s">
        <v>1097</v>
      </c>
      <c r="L475">
        <v>239</v>
      </c>
      <c r="M475" t="s">
        <v>1093</v>
      </c>
      <c r="N475" t="s">
        <v>1099</v>
      </c>
      <c r="O475">
        <f>Table1[[#This Row],[Unit_Price]]*Table1[[#This Row],[Quantity]]</f>
        <v>75</v>
      </c>
    </row>
    <row r="476" spans="1:15" x14ac:dyDescent="0.3">
      <c r="A476" t="s">
        <v>1926</v>
      </c>
      <c r="B476" t="s">
        <v>1278</v>
      </c>
      <c r="C476" t="s">
        <v>195</v>
      </c>
      <c r="D476" t="s">
        <v>1073</v>
      </c>
      <c r="E476">
        <v>1</v>
      </c>
      <c r="F476">
        <f>_xlfn.XLOOKUP(Table1[[#This Row],[ProductID]],Products!A:A,Products!D:D,,0)</f>
        <v>100</v>
      </c>
      <c r="I476">
        <v>349</v>
      </c>
      <c r="J476">
        <v>349</v>
      </c>
      <c r="K476" t="s">
        <v>1102</v>
      </c>
      <c r="L476">
        <v>349</v>
      </c>
      <c r="M476" t="s">
        <v>1098</v>
      </c>
      <c r="N476" t="s">
        <v>1099</v>
      </c>
      <c r="O476">
        <f>Table1[[#This Row],[Unit_Price]]*Table1[[#This Row],[Quantity]]</f>
        <v>100</v>
      </c>
    </row>
    <row r="477" spans="1:15" x14ac:dyDescent="0.3">
      <c r="A477" t="s">
        <v>1927</v>
      </c>
      <c r="B477" t="s">
        <v>1743</v>
      </c>
      <c r="C477" t="s">
        <v>1039</v>
      </c>
      <c r="D477" t="s">
        <v>1066</v>
      </c>
      <c r="E477">
        <v>1</v>
      </c>
      <c r="F477">
        <f>_xlfn.XLOOKUP(Table1[[#This Row],[ProductID]],Products!A:A,Products!D:D,,0)</f>
        <v>140</v>
      </c>
      <c r="I477">
        <v>499</v>
      </c>
      <c r="J477">
        <v>449</v>
      </c>
      <c r="K477" t="s">
        <v>1107</v>
      </c>
      <c r="L477">
        <v>449</v>
      </c>
      <c r="M477" t="s">
        <v>1098</v>
      </c>
      <c r="N477" t="s">
        <v>1099</v>
      </c>
      <c r="O477">
        <f>Table1[[#This Row],[Unit_Price]]*Table1[[#This Row],[Quantity]]</f>
        <v>140</v>
      </c>
    </row>
    <row r="478" spans="1:15" x14ac:dyDescent="0.3">
      <c r="A478" t="s">
        <v>1928</v>
      </c>
      <c r="B478" t="s">
        <v>1929</v>
      </c>
      <c r="C478" t="s">
        <v>643</v>
      </c>
      <c r="D478" t="s">
        <v>1068</v>
      </c>
      <c r="E478">
        <v>1</v>
      </c>
      <c r="F478">
        <f>_xlfn.XLOOKUP(Table1[[#This Row],[ProductID]],Products!A:A,Products!D:D,,0)</f>
        <v>180</v>
      </c>
      <c r="I478">
        <v>449</v>
      </c>
      <c r="J478">
        <v>382</v>
      </c>
      <c r="K478" t="s">
        <v>1092</v>
      </c>
      <c r="L478">
        <v>382</v>
      </c>
      <c r="M478" t="s">
        <v>1098</v>
      </c>
      <c r="N478" t="s">
        <v>1099</v>
      </c>
      <c r="O478">
        <f>Table1[[#This Row],[Unit_Price]]*Table1[[#This Row],[Quantity]]</f>
        <v>180</v>
      </c>
    </row>
    <row r="479" spans="1:15" x14ac:dyDescent="0.3">
      <c r="A479" t="s">
        <v>1930</v>
      </c>
      <c r="B479" t="s">
        <v>1931</v>
      </c>
      <c r="C479" t="s">
        <v>343</v>
      </c>
      <c r="D479" t="s">
        <v>1071</v>
      </c>
      <c r="E479">
        <v>1</v>
      </c>
      <c r="F479">
        <f>_xlfn.XLOOKUP(Table1[[#This Row],[ProductID]],Products!A:A,Products!D:D,,0)</f>
        <v>125</v>
      </c>
      <c r="I479">
        <v>399</v>
      </c>
      <c r="J479">
        <v>359</v>
      </c>
      <c r="K479" t="s">
        <v>1107</v>
      </c>
      <c r="L479">
        <v>359</v>
      </c>
      <c r="M479" t="s">
        <v>1093</v>
      </c>
      <c r="N479" t="s">
        <v>1099</v>
      </c>
      <c r="O479">
        <f>Table1[[#This Row],[Unit_Price]]*Table1[[#This Row],[Quantity]]</f>
        <v>125</v>
      </c>
    </row>
    <row r="480" spans="1:15" x14ac:dyDescent="0.3">
      <c r="A480" t="s">
        <v>1932</v>
      </c>
      <c r="B480" t="s">
        <v>1933</v>
      </c>
      <c r="C480" t="s">
        <v>217</v>
      </c>
      <c r="D480" t="s">
        <v>1051</v>
      </c>
      <c r="E480">
        <v>2</v>
      </c>
      <c r="F480">
        <f>_xlfn.XLOOKUP(Table1[[#This Row],[ProductID]],Products!A:A,Products!D:D,,0)</f>
        <v>150</v>
      </c>
      <c r="I480">
        <v>499</v>
      </c>
      <c r="J480">
        <v>449</v>
      </c>
      <c r="K480" t="s">
        <v>1107</v>
      </c>
      <c r="L480">
        <v>898</v>
      </c>
      <c r="M480" t="s">
        <v>1126</v>
      </c>
      <c r="N480" t="s">
        <v>1099</v>
      </c>
      <c r="O480">
        <f>Table1[[#This Row],[Unit_Price]]*Table1[[#This Row],[Quantity]]</f>
        <v>300</v>
      </c>
    </row>
    <row r="481" spans="1:15" x14ac:dyDescent="0.3">
      <c r="A481" t="s">
        <v>1934</v>
      </c>
      <c r="B481" t="s">
        <v>1935</v>
      </c>
      <c r="C481" t="s">
        <v>47</v>
      </c>
      <c r="D481" t="s">
        <v>1055</v>
      </c>
      <c r="E481">
        <v>1</v>
      </c>
      <c r="F481">
        <f>_xlfn.XLOOKUP(Table1[[#This Row],[ProductID]],Products!A:A,Products!D:D,,0)</f>
        <v>75</v>
      </c>
      <c r="I481">
        <v>299</v>
      </c>
      <c r="J481">
        <v>269</v>
      </c>
      <c r="K481" t="s">
        <v>1107</v>
      </c>
      <c r="L481">
        <v>269</v>
      </c>
      <c r="M481" t="s">
        <v>1093</v>
      </c>
      <c r="N481" t="s">
        <v>1099</v>
      </c>
      <c r="O481">
        <f>Table1[[#This Row],[Unit_Price]]*Table1[[#This Row],[Quantity]]</f>
        <v>75</v>
      </c>
    </row>
    <row r="482" spans="1:15" x14ac:dyDescent="0.3">
      <c r="A482" t="s">
        <v>1936</v>
      </c>
      <c r="B482" t="s">
        <v>1345</v>
      </c>
      <c r="C482" t="s">
        <v>585</v>
      </c>
      <c r="D482" t="s">
        <v>1055</v>
      </c>
      <c r="E482">
        <v>4</v>
      </c>
      <c r="F482">
        <f>_xlfn.XLOOKUP(Table1[[#This Row],[ProductID]],Products!A:A,Products!D:D,,0)</f>
        <v>75</v>
      </c>
      <c r="I482">
        <v>299</v>
      </c>
      <c r="J482">
        <v>239</v>
      </c>
      <c r="K482" t="s">
        <v>1097</v>
      </c>
      <c r="L482">
        <v>956</v>
      </c>
      <c r="M482" t="s">
        <v>1093</v>
      </c>
      <c r="N482" t="s">
        <v>1094</v>
      </c>
      <c r="O482">
        <f>Table1[[#This Row],[Unit_Price]]*Table1[[#This Row],[Quantity]]</f>
        <v>300</v>
      </c>
    </row>
    <row r="483" spans="1:15" x14ac:dyDescent="0.3">
      <c r="A483" t="s">
        <v>1937</v>
      </c>
      <c r="B483" t="s">
        <v>1938</v>
      </c>
      <c r="C483" t="s">
        <v>83</v>
      </c>
      <c r="D483" t="s">
        <v>1057</v>
      </c>
      <c r="E483">
        <v>2</v>
      </c>
      <c r="F483">
        <f>_xlfn.XLOOKUP(Table1[[#This Row],[ProductID]],Products!A:A,Products!D:D,,0)</f>
        <v>130</v>
      </c>
      <c r="I483">
        <v>549</v>
      </c>
      <c r="J483">
        <v>549</v>
      </c>
      <c r="K483" t="s">
        <v>1102</v>
      </c>
      <c r="L483">
        <v>1098</v>
      </c>
      <c r="M483" t="s">
        <v>1098</v>
      </c>
      <c r="N483" t="s">
        <v>1099</v>
      </c>
      <c r="O483">
        <f>Table1[[#This Row],[Unit_Price]]*Table1[[#This Row],[Quantity]]</f>
        <v>260</v>
      </c>
    </row>
    <row r="484" spans="1:15" x14ac:dyDescent="0.3">
      <c r="A484" t="s">
        <v>1939</v>
      </c>
      <c r="B484" t="s">
        <v>1529</v>
      </c>
      <c r="C484" t="s">
        <v>289</v>
      </c>
      <c r="D484" t="s">
        <v>1078</v>
      </c>
      <c r="E484">
        <v>1</v>
      </c>
      <c r="F484">
        <f>_xlfn.XLOOKUP(Table1[[#This Row],[ProductID]],Products!A:A,Products!D:D,,0)</f>
        <v>80</v>
      </c>
      <c r="I484">
        <v>499</v>
      </c>
      <c r="J484">
        <v>449</v>
      </c>
      <c r="K484" t="s">
        <v>1107</v>
      </c>
      <c r="L484">
        <v>449</v>
      </c>
      <c r="M484" t="s">
        <v>1098</v>
      </c>
      <c r="N484" t="s">
        <v>1099</v>
      </c>
      <c r="O484">
        <f>Table1[[#This Row],[Unit_Price]]*Table1[[#This Row],[Quantity]]</f>
        <v>80</v>
      </c>
    </row>
    <row r="485" spans="1:15" x14ac:dyDescent="0.3">
      <c r="A485" t="s">
        <v>1940</v>
      </c>
      <c r="B485" t="s">
        <v>1234</v>
      </c>
      <c r="C485" t="s">
        <v>913</v>
      </c>
      <c r="D485" t="s">
        <v>1059</v>
      </c>
      <c r="E485">
        <v>1</v>
      </c>
      <c r="F485">
        <f>_xlfn.XLOOKUP(Table1[[#This Row],[ProductID]],Products!A:A,Products!D:D,,0)</f>
        <v>110</v>
      </c>
      <c r="I485">
        <v>399</v>
      </c>
      <c r="J485">
        <v>319</v>
      </c>
      <c r="K485" t="s">
        <v>1097</v>
      </c>
      <c r="L485">
        <v>319</v>
      </c>
      <c r="M485" t="s">
        <v>1098</v>
      </c>
      <c r="N485" t="s">
        <v>1099</v>
      </c>
      <c r="O485">
        <f>Table1[[#This Row],[Unit_Price]]*Table1[[#This Row],[Quantity]]</f>
        <v>110</v>
      </c>
    </row>
    <row r="486" spans="1:15" x14ac:dyDescent="0.3">
      <c r="A486" t="s">
        <v>1941</v>
      </c>
      <c r="B486" t="s">
        <v>1900</v>
      </c>
      <c r="C486" t="s">
        <v>981</v>
      </c>
      <c r="D486" t="s">
        <v>1066</v>
      </c>
      <c r="E486">
        <v>1</v>
      </c>
      <c r="F486">
        <f>_xlfn.XLOOKUP(Table1[[#This Row],[ProductID]],Products!A:A,Products!D:D,,0)</f>
        <v>140</v>
      </c>
      <c r="I486">
        <v>499</v>
      </c>
      <c r="J486">
        <v>424</v>
      </c>
      <c r="K486" t="s">
        <v>1092</v>
      </c>
      <c r="L486">
        <v>424</v>
      </c>
      <c r="M486" t="s">
        <v>1093</v>
      </c>
      <c r="N486" t="s">
        <v>1099</v>
      </c>
      <c r="O486">
        <f>Table1[[#This Row],[Unit_Price]]*Table1[[#This Row],[Quantity]]</f>
        <v>140</v>
      </c>
    </row>
    <row r="487" spans="1:15" x14ac:dyDescent="0.3">
      <c r="A487" t="s">
        <v>1942</v>
      </c>
      <c r="B487" t="s">
        <v>1258</v>
      </c>
      <c r="C487" t="s">
        <v>691</v>
      </c>
      <c r="D487" t="s">
        <v>1080</v>
      </c>
      <c r="E487">
        <v>1</v>
      </c>
      <c r="F487">
        <f>_xlfn.XLOOKUP(Table1[[#This Row],[ProductID]],Products!A:A,Products!D:D,,0)</f>
        <v>45</v>
      </c>
      <c r="I487">
        <v>249</v>
      </c>
      <c r="J487">
        <v>199</v>
      </c>
      <c r="K487" t="s">
        <v>1097</v>
      </c>
      <c r="L487">
        <v>199</v>
      </c>
      <c r="M487" t="s">
        <v>1098</v>
      </c>
      <c r="N487" t="s">
        <v>1099</v>
      </c>
      <c r="O487">
        <f>Table1[[#This Row],[Unit_Price]]*Table1[[#This Row],[Quantity]]</f>
        <v>45</v>
      </c>
    </row>
    <row r="488" spans="1:15" x14ac:dyDescent="0.3">
      <c r="A488" t="s">
        <v>1943</v>
      </c>
      <c r="B488" t="s">
        <v>1944</v>
      </c>
      <c r="C488" t="s">
        <v>965</v>
      </c>
      <c r="D488" t="s">
        <v>1053</v>
      </c>
      <c r="E488">
        <v>2</v>
      </c>
      <c r="F488">
        <f>_xlfn.XLOOKUP(Table1[[#This Row],[ProductID]],Products!A:A,Products!D:D,,0)</f>
        <v>200</v>
      </c>
      <c r="I488">
        <v>899</v>
      </c>
      <c r="J488">
        <v>809</v>
      </c>
      <c r="K488" t="s">
        <v>1107</v>
      </c>
      <c r="L488">
        <v>1618</v>
      </c>
      <c r="M488" t="s">
        <v>1098</v>
      </c>
      <c r="N488" t="s">
        <v>1099</v>
      </c>
      <c r="O488">
        <f>Table1[[#This Row],[Unit_Price]]*Table1[[#This Row],[Quantity]]</f>
        <v>400</v>
      </c>
    </row>
    <row r="489" spans="1:15" x14ac:dyDescent="0.3">
      <c r="A489" t="s">
        <v>1945</v>
      </c>
      <c r="B489" t="s">
        <v>1690</v>
      </c>
      <c r="C489" t="s">
        <v>995</v>
      </c>
      <c r="D489" t="s">
        <v>1068</v>
      </c>
      <c r="E489">
        <v>1</v>
      </c>
      <c r="F489">
        <f>_xlfn.XLOOKUP(Table1[[#This Row],[ProductID]],Products!A:A,Products!D:D,,0)</f>
        <v>180</v>
      </c>
      <c r="I489">
        <v>449</v>
      </c>
      <c r="J489">
        <v>404</v>
      </c>
      <c r="K489" t="s">
        <v>1107</v>
      </c>
      <c r="L489">
        <v>404</v>
      </c>
      <c r="M489" t="s">
        <v>1126</v>
      </c>
      <c r="N489" t="s">
        <v>1099</v>
      </c>
      <c r="O489">
        <f>Table1[[#This Row],[Unit_Price]]*Table1[[#This Row],[Quantity]]</f>
        <v>180</v>
      </c>
    </row>
    <row r="490" spans="1:15" x14ac:dyDescent="0.3">
      <c r="A490" t="s">
        <v>1946</v>
      </c>
      <c r="B490" t="s">
        <v>1947</v>
      </c>
      <c r="C490" t="s">
        <v>851</v>
      </c>
      <c r="D490" t="s">
        <v>1051</v>
      </c>
      <c r="E490">
        <v>2</v>
      </c>
      <c r="F490">
        <f>_xlfn.XLOOKUP(Table1[[#This Row],[ProductID]],Products!A:A,Products!D:D,,0)</f>
        <v>150</v>
      </c>
      <c r="I490">
        <v>499</v>
      </c>
      <c r="J490">
        <v>399</v>
      </c>
      <c r="K490" t="s">
        <v>1097</v>
      </c>
      <c r="L490">
        <v>798</v>
      </c>
      <c r="M490" t="s">
        <v>1093</v>
      </c>
      <c r="N490" t="s">
        <v>1099</v>
      </c>
      <c r="O490">
        <f>Table1[[#This Row],[Unit_Price]]*Table1[[#This Row],[Quantity]]</f>
        <v>300</v>
      </c>
    </row>
    <row r="491" spans="1:15" x14ac:dyDescent="0.3">
      <c r="A491" t="s">
        <v>1948</v>
      </c>
      <c r="B491" t="s">
        <v>1949</v>
      </c>
      <c r="C491" t="s">
        <v>391</v>
      </c>
      <c r="D491" t="s">
        <v>1080</v>
      </c>
      <c r="E491">
        <v>1</v>
      </c>
      <c r="F491">
        <f>_xlfn.XLOOKUP(Table1[[#This Row],[ProductID]],Products!A:A,Products!D:D,,0)</f>
        <v>45</v>
      </c>
      <c r="I491">
        <v>249</v>
      </c>
      <c r="J491">
        <v>249</v>
      </c>
      <c r="K491" t="s">
        <v>1102</v>
      </c>
      <c r="L491">
        <v>249</v>
      </c>
      <c r="M491" t="s">
        <v>1126</v>
      </c>
      <c r="N491" t="s">
        <v>1099</v>
      </c>
      <c r="O491">
        <f>Table1[[#This Row],[Unit_Price]]*Table1[[#This Row],[Quantity]]</f>
        <v>45</v>
      </c>
    </row>
    <row r="492" spans="1:15" x14ac:dyDescent="0.3">
      <c r="A492" t="s">
        <v>1950</v>
      </c>
      <c r="B492" t="s">
        <v>1266</v>
      </c>
      <c r="C492" t="s">
        <v>751</v>
      </c>
      <c r="D492" t="s">
        <v>1080</v>
      </c>
      <c r="E492">
        <v>1</v>
      </c>
      <c r="F492">
        <f>_xlfn.XLOOKUP(Table1[[#This Row],[ProductID]],Products!A:A,Products!D:D,,0)</f>
        <v>45</v>
      </c>
      <c r="I492">
        <v>249</v>
      </c>
      <c r="J492">
        <v>224</v>
      </c>
      <c r="K492" t="s">
        <v>1107</v>
      </c>
      <c r="L492">
        <v>224</v>
      </c>
      <c r="M492" t="s">
        <v>1098</v>
      </c>
      <c r="N492" t="s">
        <v>1099</v>
      </c>
      <c r="O492">
        <f>Table1[[#This Row],[Unit_Price]]*Table1[[#This Row],[Quantity]]</f>
        <v>45</v>
      </c>
    </row>
    <row r="493" spans="1:15" x14ac:dyDescent="0.3">
      <c r="A493" t="s">
        <v>1951</v>
      </c>
      <c r="B493" t="s">
        <v>1288</v>
      </c>
      <c r="C493" t="s">
        <v>901</v>
      </c>
      <c r="D493" t="s">
        <v>1055</v>
      </c>
      <c r="E493">
        <v>1</v>
      </c>
      <c r="F493">
        <f>_xlfn.XLOOKUP(Table1[[#This Row],[ProductID]],Products!A:A,Products!D:D,,0)</f>
        <v>75</v>
      </c>
      <c r="I493">
        <v>299</v>
      </c>
      <c r="J493">
        <v>299</v>
      </c>
      <c r="K493" t="s">
        <v>1102</v>
      </c>
      <c r="L493">
        <v>299</v>
      </c>
      <c r="M493" t="s">
        <v>1098</v>
      </c>
      <c r="N493" t="s">
        <v>1099</v>
      </c>
      <c r="O493">
        <f>Table1[[#This Row],[Unit_Price]]*Table1[[#This Row],[Quantity]]</f>
        <v>75</v>
      </c>
    </row>
    <row r="494" spans="1:15" x14ac:dyDescent="0.3">
      <c r="A494" t="s">
        <v>1952</v>
      </c>
      <c r="B494" t="s">
        <v>1953</v>
      </c>
      <c r="C494" t="s">
        <v>799</v>
      </c>
      <c r="D494" t="s">
        <v>1068</v>
      </c>
      <c r="E494">
        <v>1</v>
      </c>
      <c r="F494">
        <f>_xlfn.XLOOKUP(Table1[[#This Row],[ProductID]],Products!A:A,Products!D:D,,0)</f>
        <v>180</v>
      </c>
      <c r="I494">
        <v>449</v>
      </c>
      <c r="J494">
        <v>359</v>
      </c>
      <c r="K494" t="s">
        <v>1097</v>
      </c>
      <c r="L494">
        <v>359</v>
      </c>
      <c r="M494" t="s">
        <v>1093</v>
      </c>
      <c r="N494" t="s">
        <v>1099</v>
      </c>
      <c r="O494">
        <f>Table1[[#This Row],[Unit_Price]]*Table1[[#This Row],[Quantity]]</f>
        <v>180</v>
      </c>
    </row>
    <row r="495" spans="1:15" x14ac:dyDescent="0.3">
      <c r="A495" t="s">
        <v>1954</v>
      </c>
      <c r="B495" t="s">
        <v>1321</v>
      </c>
      <c r="C495" t="s">
        <v>325</v>
      </c>
      <c r="D495" t="s">
        <v>1062</v>
      </c>
      <c r="E495">
        <v>1</v>
      </c>
      <c r="F495">
        <f>_xlfn.XLOOKUP(Table1[[#This Row],[ProductID]],Products!A:A,Products!D:D,,0)</f>
        <v>95</v>
      </c>
      <c r="I495">
        <v>349</v>
      </c>
      <c r="J495">
        <v>297</v>
      </c>
      <c r="K495" t="s">
        <v>1092</v>
      </c>
      <c r="L495">
        <v>297</v>
      </c>
      <c r="M495" t="s">
        <v>1118</v>
      </c>
      <c r="N495" t="s">
        <v>1099</v>
      </c>
      <c r="O495">
        <f>Table1[[#This Row],[Unit_Price]]*Table1[[#This Row],[Quantity]]</f>
        <v>95</v>
      </c>
    </row>
    <row r="496" spans="1:15" x14ac:dyDescent="0.3">
      <c r="A496" t="s">
        <v>1955</v>
      </c>
      <c r="B496" t="s">
        <v>1956</v>
      </c>
      <c r="C496" t="s">
        <v>613</v>
      </c>
      <c r="D496" t="s">
        <v>1048</v>
      </c>
      <c r="E496">
        <v>1</v>
      </c>
      <c r="F496">
        <f>_xlfn.XLOOKUP(Table1[[#This Row],[ProductID]],Products!A:A,Products!D:D,,0)</f>
        <v>120</v>
      </c>
      <c r="I496">
        <v>599</v>
      </c>
      <c r="J496">
        <v>539</v>
      </c>
      <c r="K496" t="s">
        <v>1107</v>
      </c>
      <c r="L496">
        <v>539</v>
      </c>
      <c r="M496" t="s">
        <v>1098</v>
      </c>
      <c r="N496" t="s">
        <v>1099</v>
      </c>
      <c r="O496">
        <f>Table1[[#This Row],[Unit_Price]]*Table1[[#This Row],[Quantity]]</f>
        <v>120</v>
      </c>
    </row>
    <row r="497" spans="1:15" x14ac:dyDescent="0.3">
      <c r="A497" t="s">
        <v>1957</v>
      </c>
      <c r="B497" t="s">
        <v>1958</v>
      </c>
      <c r="C497" t="s">
        <v>465</v>
      </c>
      <c r="D497" t="s">
        <v>1071</v>
      </c>
      <c r="E497">
        <v>1</v>
      </c>
      <c r="F497">
        <f>_xlfn.XLOOKUP(Table1[[#This Row],[ProductID]],Products!A:A,Products!D:D,,0)</f>
        <v>125</v>
      </c>
      <c r="I497">
        <v>399</v>
      </c>
      <c r="J497">
        <v>359</v>
      </c>
      <c r="K497" t="s">
        <v>1107</v>
      </c>
      <c r="L497">
        <v>359</v>
      </c>
      <c r="M497" t="s">
        <v>1093</v>
      </c>
      <c r="N497" t="s">
        <v>1099</v>
      </c>
      <c r="O497">
        <f>Table1[[#This Row],[Unit_Price]]*Table1[[#This Row],[Quantity]]</f>
        <v>125</v>
      </c>
    </row>
    <row r="498" spans="1:15" x14ac:dyDescent="0.3">
      <c r="A498" t="s">
        <v>1959</v>
      </c>
      <c r="B498" t="s">
        <v>1645</v>
      </c>
      <c r="C498" t="s">
        <v>1003</v>
      </c>
      <c r="D498" t="s">
        <v>1048</v>
      </c>
      <c r="E498">
        <v>1</v>
      </c>
      <c r="F498">
        <f>_xlfn.XLOOKUP(Table1[[#This Row],[ProductID]],Products!A:A,Products!D:D,,0)</f>
        <v>120</v>
      </c>
      <c r="I498">
        <v>599</v>
      </c>
      <c r="J498">
        <v>599</v>
      </c>
      <c r="K498" t="s">
        <v>1102</v>
      </c>
      <c r="L498">
        <v>599</v>
      </c>
      <c r="M498" t="s">
        <v>1098</v>
      </c>
      <c r="N498" t="s">
        <v>1099</v>
      </c>
      <c r="O498">
        <f>Table1[[#This Row],[Unit_Price]]*Table1[[#This Row],[Quantity]]</f>
        <v>120</v>
      </c>
    </row>
    <row r="499" spans="1:15" x14ac:dyDescent="0.3">
      <c r="A499" t="s">
        <v>1960</v>
      </c>
      <c r="B499" t="s">
        <v>1412</v>
      </c>
      <c r="C499" t="s">
        <v>281</v>
      </c>
      <c r="D499" t="s">
        <v>1078</v>
      </c>
      <c r="E499">
        <v>2</v>
      </c>
      <c r="F499">
        <f>_xlfn.XLOOKUP(Table1[[#This Row],[ProductID]],Products!A:A,Products!D:D,,0)</f>
        <v>80</v>
      </c>
      <c r="I499">
        <v>499</v>
      </c>
      <c r="J499">
        <v>399</v>
      </c>
      <c r="K499" t="s">
        <v>1097</v>
      </c>
      <c r="L499">
        <v>798</v>
      </c>
      <c r="M499" t="s">
        <v>1093</v>
      </c>
      <c r="N499" t="s">
        <v>1099</v>
      </c>
      <c r="O499">
        <f>Table1[[#This Row],[Unit_Price]]*Table1[[#This Row],[Quantity]]</f>
        <v>160</v>
      </c>
    </row>
    <row r="500" spans="1:15" x14ac:dyDescent="0.3">
      <c r="A500" t="s">
        <v>1961</v>
      </c>
      <c r="B500" t="s">
        <v>1383</v>
      </c>
      <c r="C500" t="s">
        <v>757</v>
      </c>
      <c r="D500" t="s">
        <v>1048</v>
      </c>
      <c r="E500">
        <v>1</v>
      </c>
      <c r="F500">
        <f>_xlfn.XLOOKUP(Table1[[#This Row],[ProductID]],Products!A:A,Products!D:D,,0)</f>
        <v>120</v>
      </c>
      <c r="I500">
        <v>599</v>
      </c>
      <c r="J500">
        <v>599</v>
      </c>
      <c r="K500" t="s">
        <v>1102</v>
      </c>
      <c r="L500">
        <v>599</v>
      </c>
      <c r="M500" t="s">
        <v>1098</v>
      </c>
      <c r="N500" t="s">
        <v>1099</v>
      </c>
      <c r="O500">
        <f>Table1[[#This Row],[Unit_Price]]*Table1[[#This Row],[Quantity]]</f>
        <v>120</v>
      </c>
    </row>
    <row r="501" spans="1:15" x14ac:dyDescent="0.3">
      <c r="A501" t="s">
        <v>1962</v>
      </c>
      <c r="B501" t="s">
        <v>1963</v>
      </c>
      <c r="C501" t="s">
        <v>759</v>
      </c>
      <c r="D501" t="s">
        <v>1057</v>
      </c>
      <c r="E501">
        <v>1</v>
      </c>
      <c r="F501">
        <f>_xlfn.XLOOKUP(Table1[[#This Row],[ProductID]],Products!A:A,Products!D:D,,0)</f>
        <v>130</v>
      </c>
      <c r="I501">
        <v>549</v>
      </c>
      <c r="J501">
        <v>549</v>
      </c>
      <c r="K501" t="s">
        <v>1102</v>
      </c>
      <c r="L501">
        <v>549</v>
      </c>
      <c r="M501" t="s">
        <v>1126</v>
      </c>
      <c r="N501" t="s">
        <v>1099</v>
      </c>
      <c r="O501">
        <f>Table1[[#This Row],[Unit_Price]]*Table1[[#This Row],[Quantity]]</f>
        <v>130</v>
      </c>
    </row>
    <row r="502" spans="1:15" x14ac:dyDescent="0.3">
      <c r="A502" t="s">
        <v>1964</v>
      </c>
      <c r="B502" t="s">
        <v>1965</v>
      </c>
      <c r="C502" t="s">
        <v>291</v>
      </c>
      <c r="D502" t="s">
        <v>1073</v>
      </c>
      <c r="E502">
        <v>3</v>
      </c>
      <c r="F502">
        <f>_xlfn.XLOOKUP(Table1[[#This Row],[ProductID]],Products!A:A,Products!D:D,,0)</f>
        <v>100</v>
      </c>
      <c r="I502">
        <v>349</v>
      </c>
      <c r="J502">
        <v>279</v>
      </c>
      <c r="K502" t="s">
        <v>1097</v>
      </c>
      <c r="L502">
        <v>837</v>
      </c>
      <c r="M502" t="s">
        <v>1098</v>
      </c>
      <c r="N502" t="s">
        <v>1094</v>
      </c>
      <c r="O502">
        <f>Table1[[#This Row],[Unit_Price]]*Table1[[#This Row],[Quantity]]</f>
        <v>300</v>
      </c>
    </row>
    <row r="503" spans="1:15" x14ac:dyDescent="0.3">
      <c r="A503" t="s">
        <v>1966</v>
      </c>
      <c r="B503" t="s">
        <v>1692</v>
      </c>
      <c r="C503" t="s">
        <v>991</v>
      </c>
      <c r="D503" t="s">
        <v>1080</v>
      </c>
      <c r="E503">
        <v>1</v>
      </c>
      <c r="F503">
        <f>_xlfn.XLOOKUP(Table1[[#This Row],[ProductID]],Products!A:A,Products!D:D,,0)</f>
        <v>45</v>
      </c>
      <c r="I503">
        <v>249</v>
      </c>
      <c r="J503">
        <v>249</v>
      </c>
      <c r="K503" t="s">
        <v>1102</v>
      </c>
      <c r="L503">
        <v>249</v>
      </c>
      <c r="M503" t="s">
        <v>1093</v>
      </c>
      <c r="N503" t="s">
        <v>1099</v>
      </c>
      <c r="O503">
        <f>Table1[[#This Row],[Unit_Price]]*Table1[[#This Row],[Quantity]]</f>
        <v>45</v>
      </c>
    </row>
    <row r="504" spans="1:15" x14ac:dyDescent="0.3">
      <c r="A504" t="s">
        <v>1967</v>
      </c>
      <c r="B504" t="s">
        <v>1523</v>
      </c>
      <c r="C504" t="s">
        <v>473</v>
      </c>
      <c r="D504" t="s">
        <v>1062</v>
      </c>
      <c r="E504">
        <v>1</v>
      </c>
      <c r="F504">
        <f>_xlfn.XLOOKUP(Table1[[#This Row],[ProductID]],Products!A:A,Products!D:D,,0)</f>
        <v>95</v>
      </c>
      <c r="I504">
        <v>349</v>
      </c>
      <c r="J504">
        <v>297</v>
      </c>
      <c r="K504" t="s">
        <v>1092</v>
      </c>
      <c r="L504">
        <v>297</v>
      </c>
      <c r="M504" t="s">
        <v>1118</v>
      </c>
      <c r="N504" t="s">
        <v>1099</v>
      </c>
      <c r="O504">
        <f>Table1[[#This Row],[Unit_Price]]*Table1[[#This Row],[Quantity]]</f>
        <v>95</v>
      </c>
    </row>
    <row r="505" spans="1:15" x14ac:dyDescent="0.3">
      <c r="A505" t="s">
        <v>1968</v>
      </c>
      <c r="B505" t="s">
        <v>1969</v>
      </c>
      <c r="C505" t="s">
        <v>739</v>
      </c>
      <c r="D505" t="s">
        <v>1075</v>
      </c>
      <c r="E505">
        <v>3</v>
      </c>
      <c r="F505">
        <f>_xlfn.XLOOKUP(Table1[[#This Row],[ProductID]],Products!A:A,Products!D:D,,0)</f>
        <v>80</v>
      </c>
      <c r="I505">
        <v>499</v>
      </c>
      <c r="J505">
        <v>424</v>
      </c>
      <c r="K505" t="s">
        <v>1092</v>
      </c>
      <c r="L505">
        <v>1272</v>
      </c>
      <c r="M505" t="s">
        <v>1126</v>
      </c>
      <c r="N505" t="s">
        <v>1099</v>
      </c>
      <c r="O505">
        <f>Table1[[#This Row],[Unit_Price]]*Table1[[#This Row],[Quantity]]</f>
        <v>240</v>
      </c>
    </row>
    <row r="506" spans="1:15" x14ac:dyDescent="0.3">
      <c r="A506" t="s">
        <v>1970</v>
      </c>
      <c r="B506" t="s">
        <v>1971</v>
      </c>
      <c r="C506" t="s">
        <v>887</v>
      </c>
      <c r="D506" t="s">
        <v>1078</v>
      </c>
      <c r="E506">
        <v>1</v>
      </c>
      <c r="F506">
        <f>_xlfn.XLOOKUP(Table1[[#This Row],[ProductID]],Products!A:A,Products!D:D,,0)</f>
        <v>80</v>
      </c>
      <c r="I506">
        <v>499</v>
      </c>
      <c r="J506">
        <v>499</v>
      </c>
      <c r="K506" t="s">
        <v>1102</v>
      </c>
      <c r="L506">
        <v>499</v>
      </c>
      <c r="M506" t="s">
        <v>1098</v>
      </c>
      <c r="N506" t="s">
        <v>1123</v>
      </c>
      <c r="O506">
        <f>Table1[[#This Row],[Unit_Price]]*Table1[[#This Row],[Quantity]]</f>
        <v>80</v>
      </c>
    </row>
    <row r="507" spans="1:15" x14ac:dyDescent="0.3">
      <c r="A507" t="s">
        <v>1972</v>
      </c>
      <c r="B507" t="s">
        <v>1973</v>
      </c>
      <c r="C507" t="s">
        <v>515</v>
      </c>
      <c r="D507" t="s">
        <v>1055</v>
      </c>
      <c r="E507">
        <v>1</v>
      </c>
      <c r="F507">
        <f>_xlfn.XLOOKUP(Table1[[#This Row],[ProductID]],Products!A:A,Products!D:D,,0)</f>
        <v>75</v>
      </c>
      <c r="I507">
        <v>299</v>
      </c>
      <c r="J507">
        <v>269</v>
      </c>
      <c r="K507" t="s">
        <v>1107</v>
      </c>
      <c r="L507">
        <v>269</v>
      </c>
      <c r="M507" t="s">
        <v>1098</v>
      </c>
      <c r="N507" t="s">
        <v>1099</v>
      </c>
      <c r="O507">
        <f>Table1[[#This Row],[Unit_Price]]*Table1[[#This Row],[Quantity]]</f>
        <v>75</v>
      </c>
    </row>
    <row r="508" spans="1:15" x14ac:dyDescent="0.3">
      <c r="A508" t="s">
        <v>1974</v>
      </c>
      <c r="B508" t="s">
        <v>1176</v>
      </c>
      <c r="C508" t="s">
        <v>473</v>
      </c>
      <c r="D508" t="s">
        <v>1051</v>
      </c>
      <c r="E508">
        <v>2</v>
      </c>
      <c r="F508">
        <f>_xlfn.XLOOKUP(Table1[[#This Row],[ProductID]],Products!A:A,Products!D:D,,0)</f>
        <v>150</v>
      </c>
      <c r="I508">
        <v>499</v>
      </c>
      <c r="J508">
        <v>499</v>
      </c>
      <c r="K508" t="s">
        <v>1102</v>
      </c>
      <c r="L508">
        <v>998</v>
      </c>
      <c r="M508" t="s">
        <v>1126</v>
      </c>
      <c r="N508" t="s">
        <v>1099</v>
      </c>
      <c r="O508">
        <f>Table1[[#This Row],[Unit_Price]]*Table1[[#This Row],[Quantity]]</f>
        <v>300</v>
      </c>
    </row>
    <row r="509" spans="1:15" x14ac:dyDescent="0.3">
      <c r="A509" t="s">
        <v>1975</v>
      </c>
      <c r="B509" t="s">
        <v>1898</v>
      </c>
      <c r="C509" t="s">
        <v>581</v>
      </c>
      <c r="D509" t="s">
        <v>1051</v>
      </c>
      <c r="E509">
        <v>1</v>
      </c>
      <c r="F509">
        <f>_xlfn.XLOOKUP(Table1[[#This Row],[ProductID]],Products!A:A,Products!D:D,,0)</f>
        <v>150</v>
      </c>
      <c r="I509">
        <v>499</v>
      </c>
      <c r="J509">
        <v>449</v>
      </c>
      <c r="K509" t="s">
        <v>1107</v>
      </c>
      <c r="L509">
        <v>449</v>
      </c>
      <c r="M509" t="s">
        <v>1126</v>
      </c>
      <c r="N509" t="s">
        <v>1099</v>
      </c>
      <c r="O509">
        <f>Table1[[#This Row],[Unit_Price]]*Table1[[#This Row],[Quantity]]</f>
        <v>150</v>
      </c>
    </row>
    <row r="510" spans="1:15" x14ac:dyDescent="0.3">
      <c r="A510" t="s">
        <v>1976</v>
      </c>
      <c r="B510" t="s">
        <v>1977</v>
      </c>
      <c r="C510" t="s">
        <v>605</v>
      </c>
      <c r="D510" t="s">
        <v>1075</v>
      </c>
      <c r="E510">
        <v>1</v>
      </c>
      <c r="F510">
        <f>_xlfn.XLOOKUP(Table1[[#This Row],[ProductID]],Products!A:A,Products!D:D,,0)</f>
        <v>80</v>
      </c>
      <c r="I510">
        <v>499</v>
      </c>
      <c r="J510">
        <v>399</v>
      </c>
      <c r="K510" t="s">
        <v>1097</v>
      </c>
      <c r="L510">
        <v>399</v>
      </c>
      <c r="M510" t="s">
        <v>1093</v>
      </c>
      <c r="N510" t="s">
        <v>1099</v>
      </c>
      <c r="O510">
        <f>Table1[[#This Row],[Unit_Price]]*Table1[[#This Row],[Quantity]]</f>
        <v>80</v>
      </c>
    </row>
    <row r="511" spans="1:15" x14ac:dyDescent="0.3">
      <c r="A511" t="s">
        <v>1978</v>
      </c>
      <c r="B511" t="s">
        <v>1125</v>
      </c>
      <c r="C511" t="s">
        <v>367</v>
      </c>
      <c r="D511" t="s">
        <v>1073</v>
      </c>
      <c r="E511">
        <v>1</v>
      </c>
      <c r="F511">
        <f>_xlfn.XLOOKUP(Table1[[#This Row],[ProductID]],Products!A:A,Products!D:D,,0)</f>
        <v>100</v>
      </c>
      <c r="I511">
        <v>349</v>
      </c>
      <c r="J511">
        <v>297</v>
      </c>
      <c r="K511" t="s">
        <v>1092</v>
      </c>
      <c r="L511">
        <v>297</v>
      </c>
      <c r="M511" t="s">
        <v>1098</v>
      </c>
      <c r="N511" t="s">
        <v>1099</v>
      </c>
      <c r="O511">
        <f>Table1[[#This Row],[Unit_Price]]*Table1[[#This Row],[Quantity]]</f>
        <v>100</v>
      </c>
    </row>
    <row r="512" spans="1:15" x14ac:dyDescent="0.3">
      <c r="A512" t="s">
        <v>1979</v>
      </c>
      <c r="B512" t="s">
        <v>1870</v>
      </c>
      <c r="C512" t="s">
        <v>649</v>
      </c>
      <c r="D512" t="s">
        <v>1055</v>
      </c>
      <c r="E512">
        <v>1</v>
      </c>
      <c r="F512">
        <f>_xlfn.XLOOKUP(Table1[[#This Row],[ProductID]],Products!A:A,Products!D:D,,0)</f>
        <v>75</v>
      </c>
      <c r="I512">
        <v>299</v>
      </c>
      <c r="J512">
        <v>269</v>
      </c>
      <c r="K512" t="s">
        <v>1107</v>
      </c>
      <c r="L512">
        <v>269</v>
      </c>
      <c r="M512" t="s">
        <v>1098</v>
      </c>
      <c r="N512" t="s">
        <v>1099</v>
      </c>
      <c r="O512">
        <f>Table1[[#This Row],[Unit_Price]]*Table1[[#This Row],[Quantity]]</f>
        <v>75</v>
      </c>
    </row>
    <row r="513" spans="1:15" x14ac:dyDescent="0.3">
      <c r="A513" t="s">
        <v>1980</v>
      </c>
      <c r="B513" t="s">
        <v>1359</v>
      </c>
      <c r="C513" t="s">
        <v>1007</v>
      </c>
      <c r="D513" t="s">
        <v>1073</v>
      </c>
      <c r="E513">
        <v>3</v>
      </c>
      <c r="F513">
        <f>_xlfn.XLOOKUP(Table1[[#This Row],[ProductID]],Products!A:A,Products!D:D,,0)</f>
        <v>100</v>
      </c>
      <c r="I513">
        <v>349</v>
      </c>
      <c r="J513">
        <v>314</v>
      </c>
      <c r="K513" t="s">
        <v>1107</v>
      </c>
      <c r="L513">
        <v>942</v>
      </c>
      <c r="M513" t="s">
        <v>1126</v>
      </c>
      <c r="N513" t="s">
        <v>1099</v>
      </c>
      <c r="O513">
        <f>Table1[[#This Row],[Unit_Price]]*Table1[[#This Row],[Quantity]]</f>
        <v>300</v>
      </c>
    </row>
    <row r="514" spans="1:15" x14ac:dyDescent="0.3">
      <c r="A514" t="s">
        <v>1981</v>
      </c>
      <c r="B514" t="s">
        <v>1480</v>
      </c>
      <c r="C514" t="s">
        <v>617</v>
      </c>
      <c r="D514" t="s">
        <v>1057</v>
      </c>
      <c r="E514">
        <v>1</v>
      </c>
      <c r="F514">
        <f>_xlfn.XLOOKUP(Table1[[#This Row],[ProductID]],Products!A:A,Products!D:D,,0)</f>
        <v>130</v>
      </c>
      <c r="I514">
        <v>549</v>
      </c>
      <c r="J514">
        <v>549</v>
      </c>
      <c r="K514" t="s">
        <v>1102</v>
      </c>
      <c r="L514">
        <v>549</v>
      </c>
      <c r="M514" t="s">
        <v>1098</v>
      </c>
      <c r="N514" t="s">
        <v>1099</v>
      </c>
      <c r="O514">
        <f>Table1[[#This Row],[Unit_Price]]*Table1[[#This Row],[Quantity]]</f>
        <v>130</v>
      </c>
    </row>
    <row r="515" spans="1:15" x14ac:dyDescent="0.3">
      <c r="A515" t="s">
        <v>1982</v>
      </c>
      <c r="B515" t="s">
        <v>1983</v>
      </c>
      <c r="C515" t="s">
        <v>449</v>
      </c>
      <c r="D515" t="s">
        <v>1071</v>
      </c>
      <c r="E515">
        <v>1</v>
      </c>
      <c r="F515">
        <f>_xlfn.XLOOKUP(Table1[[#This Row],[ProductID]],Products!A:A,Products!D:D,,0)</f>
        <v>125</v>
      </c>
      <c r="I515">
        <v>399</v>
      </c>
      <c r="J515">
        <v>359</v>
      </c>
      <c r="K515" t="s">
        <v>1107</v>
      </c>
      <c r="L515">
        <v>359</v>
      </c>
      <c r="M515" t="s">
        <v>1093</v>
      </c>
      <c r="N515" t="s">
        <v>1099</v>
      </c>
      <c r="O515">
        <f>Table1[[#This Row],[Unit_Price]]*Table1[[#This Row],[Quantity]]</f>
        <v>125</v>
      </c>
    </row>
    <row r="516" spans="1:15" x14ac:dyDescent="0.3">
      <c r="A516" t="s">
        <v>1984</v>
      </c>
      <c r="B516" t="s">
        <v>1985</v>
      </c>
      <c r="C516" t="s">
        <v>567</v>
      </c>
      <c r="D516" t="s">
        <v>1048</v>
      </c>
      <c r="E516">
        <v>1</v>
      </c>
      <c r="F516">
        <f>_xlfn.XLOOKUP(Table1[[#This Row],[ProductID]],Products!A:A,Products!D:D,,0)</f>
        <v>120</v>
      </c>
      <c r="I516">
        <v>599</v>
      </c>
      <c r="J516">
        <v>509</v>
      </c>
      <c r="K516" t="s">
        <v>1092</v>
      </c>
      <c r="L516">
        <v>509</v>
      </c>
      <c r="M516" t="s">
        <v>1098</v>
      </c>
      <c r="N516" t="s">
        <v>1099</v>
      </c>
      <c r="O516">
        <f>Table1[[#This Row],[Unit_Price]]*Table1[[#This Row],[Quantity]]</f>
        <v>120</v>
      </c>
    </row>
    <row r="517" spans="1:15" x14ac:dyDescent="0.3">
      <c r="A517" t="s">
        <v>1986</v>
      </c>
      <c r="B517" t="s">
        <v>1987</v>
      </c>
      <c r="C517" t="s">
        <v>893</v>
      </c>
      <c r="D517" t="s">
        <v>1080</v>
      </c>
      <c r="E517">
        <v>1</v>
      </c>
      <c r="F517">
        <f>_xlfn.XLOOKUP(Table1[[#This Row],[ProductID]],Products!A:A,Products!D:D,,0)</f>
        <v>45</v>
      </c>
      <c r="I517">
        <v>249</v>
      </c>
      <c r="J517">
        <v>199</v>
      </c>
      <c r="K517" t="s">
        <v>1097</v>
      </c>
      <c r="L517">
        <v>199</v>
      </c>
      <c r="M517" t="s">
        <v>1093</v>
      </c>
      <c r="N517" t="s">
        <v>1099</v>
      </c>
      <c r="O517">
        <f>Table1[[#This Row],[Unit_Price]]*Table1[[#This Row],[Quantity]]</f>
        <v>45</v>
      </c>
    </row>
    <row r="518" spans="1:15" x14ac:dyDescent="0.3">
      <c r="A518" t="s">
        <v>1988</v>
      </c>
      <c r="B518" t="s">
        <v>1288</v>
      </c>
      <c r="C518" t="s">
        <v>52</v>
      </c>
      <c r="D518" t="s">
        <v>1053</v>
      </c>
      <c r="E518">
        <v>1</v>
      </c>
      <c r="F518">
        <f>_xlfn.XLOOKUP(Table1[[#This Row],[ProductID]],Products!A:A,Products!D:D,,0)</f>
        <v>200</v>
      </c>
      <c r="I518">
        <v>899</v>
      </c>
      <c r="J518">
        <v>809</v>
      </c>
      <c r="K518" t="s">
        <v>1107</v>
      </c>
      <c r="L518">
        <v>809</v>
      </c>
      <c r="M518" t="s">
        <v>1098</v>
      </c>
      <c r="N518" t="s">
        <v>1099</v>
      </c>
      <c r="O518">
        <f>Table1[[#This Row],[Unit_Price]]*Table1[[#This Row],[Quantity]]</f>
        <v>200</v>
      </c>
    </row>
    <row r="519" spans="1:15" x14ac:dyDescent="0.3">
      <c r="A519" t="s">
        <v>1989</v>
      </c>
      <c r="B519" t="s">
        <v>1990</v>
      </c>
      <c r="C519" t="s">
        <v>305</v>
      </c>
      <c r="D519" t="s">
        <v>1051</v>
      </c>
      <c r="E519">
        <v>1</v>
      </c>
      <c r="F519">
        <f>_xlfn.XLOOKUP(Table1[[#This Row],[ProductID]],Products!A:A,Products!D:D,,0)</f>
        <v>150</v>
      </c>
      <c r="I519">
        <v>499</v>
      </c>
      <c r="J519">
        <v>449</v>
      </c>
      <c r="K519" t="s">
        <v>1107</v>
      </c>
      <c r="L519">
        <v>449</v>
      </c>
      <c r="M519" t="s">
        <v>1093</v>
      </c>
      <c r="N519" t="s">
        <v>1099</v>
      </c>
      <c r="O519">
        <f>Table1[[#This Row],[Unit_Price]]*Table1[[#This Row],[Quantity]]</f>
        <v>150</v>
      </c>
    </row>
    <row r="520" spans="1:15" x14ac:dyDescent="0.3">
      <c r="A520" t="s">
        <v>1991</v>
      </c>
      <c r="B520" t="s">
        <v>1441</v>
      </c>
      <c r="C520" t="s">
        <v>581</v>
      </c>
      <c r="D520" t="s">
        <v>1066</v>
      </c>
      <c r="E520">
        <v>2</v>
      </c>
      <c r="F520">
        <f>_xlfn.XLOOKUP(Table1[[#This Row],[ProductID]],Products!A:A,Products!D:D,,0)</f>
        <v>140</v>
      </c>
      <c r="I520">
        <v>499</v>
      </c>
      <c r="J520">
        <v>399</v>
      </c>
      <c r="K520" t="s">
        <v>1097</v>
      </c>
      <c r="L520">
        <v>798</v>
      </c>
      <c r="M520" t="s">
        <v>1093</v>
      </c>
      <c r="N520" t="s">
        <v>1123</v>
      </c>
      <c r="O520">
        <f>Table1[[#This Row],[Unit_Price]]*Table1[[#This Row],[Quantity]]</f>
        <v>280</v>
      </c>
    </row>
    <row r="521" spans="1:15" x14ac:dyDescent="0.3">
      <c r="A521" t="s">
        <v>1992</v>
      </c>
      <c r="B521" t="s">
        <v>1993</v>
      </c>
      <c r="C521" t="s">
        <v>899</v>
      </c>
      <c r="D521" t="s">
        <v>1071</v>
      </c>
      <c r="E521">
        <v>4</v>
      </c>
      <c r="F521">
        <f>_xlfn.XLOOKUP(Table1[[#This Row],[ProductID]],Products!A:A,Products!D:D,,0)</f>
        <v>125</v>
      </c>
      <c r="I521">
        <v>399</v>
      </c>
      <c r="J521">
        <v>359</v>
      </c>
      <c r="K521" t="s">
        <v>1107</v>
      </c>
      <c r="L521">
        <v>1436</v>
      </c>
      <c r="M521" t="s">
        <v>1126</v>
      </c>
      <c r="N521" t="s">
        <v>1099</v>
      </c>
      <c r="O521">
        <f>Table1[[#This Row],[Unit_Price]]*Table1[[#This Row],[Quantity]]</f>
        <v>500</v>
      </c>
    </row>
    <row r="522" spans="1:15" x14ac:dyDescent="0.3">
      <c r="A522" t="s">
        <v>1994</v>
      </c>
      <c r="B522" t="s">
        <v>1995</v>
      </c>
      <c r="C522" t="s">
        <v>693</v>
      </c>
      <c r="D522" t="s">
        <v>1080</v>
      </c>
      <c r="E522">
        <v>3</v>
      </c>
      <c r="F522">
        <f>_xlfn.XLOOKUP(Table1[[#This Row],[ProductID]],Products!A:A,Products!D:D,,0)</f>
        <v>45</v>
      </c>
      <c r="I522">
        <v>249</v>
      </c>
      <c r="J522">
        <v>212</v>
      </c>
      <c r="K522" t="s">
        <v>1092</v>
      </c>
      <c r="L522">
        <v>636</v>
      </c>
      <c r="M522" t="s">
        <v>1098</v>
      </c>
      <c r="N522" t="s">
        <v>1099</v>
      </c>
      <c r="O522">
        <f>Table1[[#This Row],[Unit_Price]]*Table1[[#This Row],[Quantity]]</f>
        <v>135</v>
      </c>
    </row>
    <row r="523" spans="1:15" x14ac:dyDescent="0.3">
      <c r="A523" t="s">
        <v>1996</v>
      </c>
      <c r="B523" t="s">
        <v>1997</v>
      </c>
      <c r="C523" t="s">
        <v>503</v>
      </c>
      <c r="D523" t="s">
        <v>1064</v>
      </c>
      <c r="E523">
        <v>1</v>
      </c>
      <c r="F523">
        <f>_xlfn.XLOOKUP(Table1[[#This Row],[ProductID]],Products!A:A,Products!D:D,,0)</f>
        <v>160</v>
      </c>
      <c r="I523">
        <v>699</v>
      </c>
      <c r="J523">
        <v>629</v>
      </c>
      <c r="K523" t="s">
        <v>1107</v>
      </c>
      <c r="L523">
        <v>629</v>
      </c>
      <c r="M523" t="s">
        <v>1098</v>
      </c>
      <c r="N523" t="s">
        <v>1099</v>
      </c>
      <c r="O523">
        <f>Table1[[#This Row],[Unit_Price]]*Table1[[#This Row],[Quantity]]</f>
        <v>160</v>
      </c>
    </row>
    <row r="524" spans="1:15" x14ac:dyDescent="0.3">
      <c r="A524" t="s">
        <v>1998</v>
      </c>
      <c r="B524" t="s">
        <v>1999</v>
      </c>
      <c r="C524" t="s">
        <v>775</v>
      </c>
      <c r="D524" t="s">
        <v>1048</v>
      </c>
      <c r="E524">
        <v>1</v>
      </c>
      <c r="F524">
        <f>_xlfn.XLOOKUP(Table1[[#This Row],[ProductID]],Products!A:A,Products!D:D,,0)</f>
        <v>120</v>
      </c>
      <c r="I524">
        <v>599</v>
      </c>
      <c r="J524">
        <v>479</v>
      </c>
      <c r="K524" t="s">
        <v>1097</v>
      </c>
      <c r="L524">
        <v>479</v>
      </c>
      <c r="M524" t="s">
        <v>1093</v>
      </c>
      <c r="N524" t="s">
        <v>1099</v>
      </c>
      <c r="O524">
        <f>Table1[[#This Row],[Unit_Price]]*Table1[[#This Row],[Quantity]]</f>
        <v>120</v>
      </c>
    </row>
    <row r="525" spans="1:15" x14ac:dyDescent="0.3">
      <c r="A525" t="s">
        <v>2000</v>
      </c>
      <c r="B525" t="s">
        <v>2001</v>
      </c>
      <c r="C525" t="s">
        <v>1035</v>
      </c>
      <c r="D525" t="s">
        <v>1064</v>
      </c>
      <c r="E525">
        <v>1</v>
      </c>
      <c r="F525">
        <f>_xlfn.XLOOKUP(Table1[[#This Row],[ProductID]],Products!A:A,Products!D:D,,0)</f>
        <v>160</v>
      </c>
      <c r="I525">
        <v>699</v>
      </c>
      <c r="J525">
        <v>629</v>
      </c>
      <c r="K525" t="s">
        <v>1107</v>
      </c>
      <c r="L525">
        <v>629</v>
      </c>
      <c r="M525" t="s">
        <v>1093</v>
      </c>
      <c r="N525" t="s">
        <v>1099</v>
      </c>
      <c r="O525">
        <f>Table1[[#This Row],[Unit_Price]]*Table1[[#This Row],[Quantity]]</f>
        <v>160</v>
      </c>
    </row>
    <row r="526" spans="1:15" x14ac:dyDescent="0.3">
      <c r="A526" t="s">
        <v>2002</v>
      </c>
      <c r="B526" t="s">
        <v>1467</v>
      </c>
      <c r="C526" t="s">
        <v>965</v>
      </c>
      <c r="D526" t="s">
        <v>1062</v>
      </c>
      <c r="E526">
        <v>1</v>
      </c>
      <c r="F526">
        <f>_xlfn.XLOOKUP(Table1[[#This Row],[ProductID]],Products!A:A,Products!D:D,,0)</f>
        <v>95</v>
      </c>
      <c r="I526">
        <v>349</v>
      </c>
      <c r="J526">
        <v>349</v>
      </c>
      <c r="K526" t="s">
        <v>1102</v>
      </c>
      <c r="L526">
        <v>349</v>
      </c>
      <c r="M526" t="s">
        <v>1093</v>
      </c>
      <c r="N526" t="s">
        <v>1094</v>
      </c>
      <c r="O526">
        <f>Table1[[#This Row],[Unit_Price]]*Table1[[#This Row],[Quantity]]</f>
        <v>95</v>
      </c>
    </row>
    <row r="527" spans="1:15" x14ac:dyDescent="0.3">
      <c r="A527" t="s">
        <v>2003</v>
      </c>
      <c r="B527" t="s">
        <v>2004</v>
      </c>
      <c r="C527" t="s">
        <v>411</v>
      </c>
      <c r="D527" t="s">
        <v>1066</v>
      </c>
      <c r="E527">
        <v>1</v>
      </c>
      <c r="F527">
        <f>_xlfn.XLOOKUP(Table1[[#This Row],[ProductID]],Products!A:A,Products!D:D,,0)</f>
        <v>140</v>
      </c>
      <c r="I527">
        <v>499</v>
      </c>
      <c r="J527">
        <v>449</v>
      </c>
      <c r="K527" t="s">
        <v>1107</v>
      </c>
      <c r="L527">
        <v>449</v>
      </c>
      <c r="M527" t="s">
        <v>1093</v>
      </c>
      <c r="N527" t="s">
        <v>1094</v>
      </c>
      <c r="O527">
        <f>Table1[[#This Row],[Unit_Price]]*Table1[[#This Row],[Quantity]]</f>
        <v>140</v>
      </c>
    </row>
    <row r="528" spans="1:15" x14ac:dyDescent="0.3">
      <c r="A528" t="s">
        <v>2005</v>
      </c>
      <c r="B528" t="s">
        <v>2006</v>
      </c>
      <c r="C528" t="s">
        <v>609</v>
      </c>
      <c r="D528" t="s">
        <v>1068</v>
      </c>
      <c r="E528">
        <v>1</v>
      </c>
      <c r="F528">
        <f>_xlfn.XLOOKUP(Table1[[#This Row],[ProductID]],Products!A:A,Products!D:D,,0)</f>
        <v>180</v>
      </c>
      <c r="I528">
        <v>449</v>
      </c>
      <c r="J528">
        <v>382</v>
      </c>
      <c r="K528" t="s">
        <v>1092</v>
      </c>
      <c r="L528">
        <v>382</v>
      </c>
      <c r="M528" t="s">
        <v>1126</v>
      </c>
      <c r="N528" t="s">
        <v>1099</v>
      </c>
      <c r="O528">
        <f>Table1[[#This Row],[Unit_Price]]*Table1[[#This Row],[Quantity]]</f>
        <v>180</v>
      </c>
    </row>
    <row r="529" spans="1:15" x14ac:dyDescent="0.3">
      <c r="A529" t="s">
        <v>2007</v>
      </c>
      <c r="B529" t="s">
        <v>2008</v>
      </c>
      <c r="C529" t="s">
        <v>745</v>
      </c>
      <c r="D529" t="s">
        <v>1051</v>
      </c>
      <c r="E529">
        <v>2</v>
      </c>
      <c r="F529">
        <f>_xlfn.XLOOKUP(Table1[[#This Row],[ProductID]],Products!A:A,Products!D:D,,0)</f>
        <v>150</v>
      </c>
      <c r="I529">
        <v>499</v>
      </c>
      <c r="J529">
        <v>449</v>
      </c>
      <c r="K529" t="s">
        <v>1107</v>
      </c>
      <c r="L529">
        <v>898</v>
      </c>
      <c r="M529" t="s">
        <v>1098</v>
      </c>
      <c r="N529" t="s">
        <v>1123</v>
      </c>
      <c r="O529">
        <f>Table1[[#This Row],[Unit_Price]]*Table1[[#This Row],[Quantity]]</f>
        <v>300</v>
      </c>
    </row>
    <row r="530" spans="1:15" x14ac:dyDescent="0.3">
      <c r="A530" t="s">
        <v>2009</v>
      </c>
      <c r="B530" t="s">
        <v>1531</v>
      </c>
      <c r="C530" t="s">
        <v>625</v>
      </c>
      <c r="D530" t="s">
        <v>1059</v>
      </c>
      <c r="E530">
        <v>1</v>
      </c>
      <c r="F530">
        <f>_xlfn.XLOOKUP(Table1[[#This Row],[ProductID]],Products!A:A,Products!D:D,,0)</f>
        <v>110</v>
      </c>
      <c r="I530">
        <v>399</v>
      </c>
      <c r="J530">
        <v>399</v>
      </c>
      <c r="K530" t="s">
        <v>1102</v>
      </c>
      <c r="L530">
        <v>399</v>
      </c>
      <c r="M530" t="s">
        <v>1126</v>
      </c>
      <c r="N530" t="s">
        <v>1099</v>
      </c>
      <c r="O530">
        <f>Table1[[#This Row],[Unit_Price]]*Table1[[#This Row],[Quantity]]</f>
        <v>110</v>
      </c>
    </row>
    <row r="531" spans="1:15" x14ac:dyDescent="0.3">
      <c r="A531" t="s">
        <v>2010</v>
      </c>
      <c r="B531" t="s">
        <v>1855</v>
      </c>
      <c r="C531" t="s">
        <v>289</v>
      </c>
      <c r="D531" t="s">
        <v>1068</v>
      </c>
      <c r="E531">
        <v>1</v>
      </c>
      <c r="F531">
        <f>_xlfn.XLOOKUP(Table1[[#This Row],[ProductID]],Products!A:A,Products!D:D,,0)</f>
        <v>180</v>
      </c>
      <c r="I531">
        <v>449</v>
      </c>
      <c r="J531">
        <v>449</v>
      </c>
      <c r="K531" t="s">
        <v>1102</v>
      </c>
      <c r="L531">
        <v>449</v>
      </c>
      <c r="M531" t="s">
        <v>1093</v>
      </c>
      <c r="N531" t="s">
        <v>1099</v>
      </c>
      <c r="O531">
        <f>Table1[[#This Row],[Unit_Price]]*Table1[[#This Row],[Quantity]]</f>
        <v>180</v>
      </c>
    </row>
    <row r="532" spans="1:15" x14ac:dyDescent="0.3">
      <c r="A532" t="s">
        <v>2011</v>
      </c>
      <c r="B532" t="s">
        <v>2012</v>
      </c>
      <c r="C532" t="s">
        <v>977</v>
      </c>
      <c r="D532" t="s">
        <v>1073</v>
      </c>
      <c r="E532">
        <v>1</v>
      </c>
      <c r="F532">
        <f>_xlfn.XLOOKUP(Table1[[#This Row],[ProductID]],Products!A:A,Products!D:D,,0)</f>
        <v>100</v>
      </c>
      <c r="I532">
        <v>349</v>
      </c>
      <c r="J532">
        <v>314</v>
      </c>
      <c r="K532" t="s">
        <v>1107</v>
      </c>
      <c r="L532">
        <v>314</v>
      </c>
      <c r="M532" t="s">
        <v>1093</v>
      </c>
      <c r="N532" t="s">
        <v>1099</v>
      </c>
      <c r="O532">
        <f>Table1[[#This Row],[Unit_Price]]*Table1[[#This Row],[Quantity]]</f>
        <v>100</v>
      </c>
    </row>
    <row r="533" spans="1:15" x14ac:dyDescent="0.3">
      <c r="A533" t="s">
        <v>2013</v>
      </c>
      <c r="B533" t="s">
        <v>1298</v>
      </c>
      <c r="C533" t="s">
        <v>449</v>
      </c>
      <c r="D533" t="s">
        <v>1057</v>
      </c>
      <c r="E533">
        <v>1</v>
      </c>
      <c r="F533">
        <f>_xlfn.XLOOKUP(Table1[[#This Row],[ProductID]],Products!A:A,Products!D:D,,0)</f>
        <v>130</v>
      </c>
      <c r="I533">
        <v>549</v>
      </c>
      <c r="J533">
        <v>494</v>
      </c>
      <c r="K533" t="s">
        <v>1107</v>
      </c>
      <c r="L533">
        <v>494</v>
      </c>
      <c r="M533" t="s">
        <v>1126</v>
      </c>
      <c r="N533" t="s">
        <v>1099</v>
      </c>
      <c r="O533">
        <f>Table1[[#This Row],[Unit_Price]]*Table1[[#This Row],[Quantity]]</f>
        <v>130</v>
      </c>
    </row>
    <row r="534" spans="1:15" x14ac:dyDescent="0.3">
      <c r="A534" t="s">
        <v>2014</v>
      </c>
      <c r="B534" t="s">
        <v>1519</v>
      </c>
      <c r="C534" t="s">
        <v>1023</v>
      </c>
      <c r="D534" t="s">
        <v>1073</v>
      </c>
      <c r="E534">
        <v>1</v>
      </c>
      <c r="F534">
        <f>_xlfn.XLOOKUP(Table1[[#This Row],[ProductID]],Products!A:A,Products!D:D,,0)</f>
        <v>100</v>
      </c>
      <c r="I534">
        <v>349</v>
      </c>
      <c r="J534">
        <v>349</v>
      </c>
      <c r="K534" t="s">
        <v>1102</v>
      </c>
      <c r="L534">
        <v>349</v>
      </c>
      <c r="M534" t="s">
        <v>1126</v>
      </c>
      <c r="N534" t="s">
        <v>1099</v>
      </c>
      <c r="O534">
        <f>Table1[[#This Row],[Unit_Price]]*Table1[[#This Row],[Quantity]]</f>
        <v>100</v>
      </c>
    </row>
    <row r="535" spans="1:15" x14ac:dyDescent="0.3">
      <c r="A535" t="s">
        <v>2015</v>
      </c>
      <c r="B535" t="s">
        <v>2016</v>
      </c>
      <c r="C535" t="s">
        <v>805</v>
      </c>
      <c r="D535" t="s">
        <v>1055</v>
      </c>
      <c r="E535">
        <v>2</v>
      </c>
      <c r="F535">
        <f>_xlfn.XLOOKUP(Table1[[#This Row],[ProductID]],Products!A:A,Products!D:D,,0)</f>
        <v>75</v>
      </c>
      <c r="I535">
        <v>299</v>
      </c>
      <c r="J535">
        <v>299</v>
      </c>
      <c r="K535" t="s">
        <v>1102</v>
      </c>
      <c r="L535">
        <v>598</v>
      </c>
      <c r="M535" t="s">
        <v>1098</v>
      </c>
      <c r="N535" t="s">
        <v>1099</v>
      </c>
      <c r="O535">
        <f>Table1[[#This Row],[Unit_Price]]*Table1[[#This Row],[Quantity]]</f>
        <v>150</v>
      </c>
    </row>
    <row r="536" spans="1:15" x14ac:dyDescent="0.3">
      <c r="A536" t="s">
        <v>2017</v>
      </c>
      <c r="B536" t="s">
        <v>1475</v>
      </c>
      <c r="C536" t="s">
        <v>887</v>
      </c>
      <c r="D536" t="s">
        <v>1075</v>
      </c>
      <c r="E536">
        <v>1</v>
      </c>
      <c r="F536">
        <f>_xlfn.XLOOKUP(Table1[[#This Row],[ProductID]],Products!A:A,Products!D:D,,0)</f>
        <v>80</v>
      </c>
      <c r="I536">
        <v>499</v>
      </c>
      <c r="J536">
        <v>449</v>
      </c>
      <c r="K536" t="s">
        <v>1107</v>
      </c>
      <c r="L536">
        <v>449</v>
      </c>
      <c r="M536" t="s">
        <v>1093</v>
      </c>
      <c r="N536" t="s">
        <v>1094</v>
      </c>
      <c r="O536">
        <f>Table1[[#This Row],[Unit_Price]]*Table1[[#This Row],[Quantity]]</f>
        <v>80</v>
      </c>
    </row>
    <row r="537" spans="1:15" x14ac:dyDescent="0.3">
      <c r="A537" t="s">
        <v>2018</v>
      </c>
      <c r="B537" t="s">
        <v>2019</v>
      </c>
      <c r="C537" t="s">
        <v>311</v>
      </c>
      <c r="D537" t="s">
        <v>1057</v>
      </c>
      <c r="E537">
        <v>1</v>
      </c>
      <c r="F537">
        <f>_xlfn.XLOOKUP(Table1[[#This Row],[ProductID]],Products!A:A,Products!D:D,,0)</f>
        <v>130</v>
      </c>
      <c r="I537">
        <v>549</v>
      </c>
      <c r="J537">
        <v>494</v>
      </c>
      <c r="K537" t="s">
        <v>1107</v>
      </c>
      <c r="L537">
        <v>494</v>
      </c>
      <c r="M537" t="s">
        <v>1126</v>
      </c>
      <c r="N537" t="s">
        <v>1099</v>
      </c>
      <c r="O537">
        <f>Table1[[#This Row],[Unit_Price]]*Table1[[#This Row],[Quantity]]</f>
        <v>130</v>
      </c>
    </row>
    <row r="538" spans="1:15" x14ac:dyDescent="0.3">
      <c r="A538" t="s">
        <v>2020</v>
      </c>
      <c r="B538" t="s">
        <v>2021</v>
      </c>
      <c r="C538" t="s">
        <v>677</v>
      </c>
      <c r="D538" t="s">
        <v>1051</v>
      </c>
      <c r="E538">
        <v>1</v>
      </c>
      <c r="F538">
        <f>_xlfn.XLOOKUP(Table1[[#This Row],[ProductID]],Products!A:A,Products!D:D,,0)</f>
        <v>150</v>
      </c>
      <c r="I538">
        <v>499</v>
      </c>
      <c r="J538">
        <v>424</v>
      </c>
      <c r="K538" t="s">
        <v>1092</v>
      </c>
      <c r="L538">
        <v>424</v>
      </c>
      <c r="M538" t="s">
        <v>1098</v>
      </c>
      <c r="N538" t="s">
        <v>1099</v>
      </c>
      <c r="O538">
        <f>Table1[[#This Row],[Unit_Price]]*Table1[[#This Row],[Quantity]]</f>
        <v>150</v>
      </c>
    </row>
    <row r="539" spans="1:15" x14ac:dyDescent="0.3">
      <c r="A539" t="s">
        <v>2022</v>
      </c>
      <c r="B539" t="s">
        <v>1672</v>
      </c>
      <c r="C539" t="s">
        <v>369</v>
      </c>
      <c r="D539" t="s">
        <v>1048</v>
      </c>
      <c r="E539">
        <v>1</v>
      </c>
      <c r="F539">
        <f>_xlfn.XLOOKUP(Table1[[#This Row],[ProductID]],Products!A:A,Products!D:D,,0)</f>
        <v>120</v>
      </c>
      <c r="I539">
        <v>599</v>
      </c>
      <c r="J539">
        <v>539</v>
      </c>
      <c r="K539" t="s">
        <v>1107</v>
      </c>
      <c r="L539">
        <v>539</v>
      </c>
      <c r="M539" t="s">
        <v>1098</v>
      </c>
      <c r="N539" t="s">
        <v>1123</v>
      </c>
      <c r="O539">
        <f>Table1[[#This Row],[Unit_Price]]*Table1[[#This Row],[Quantity]]</f>
        <v>120</v>
      </c>
    </row>
    <row r="540" spans="1:15" x14ac:dyDescent="0.3">
      <c r="A540" t="s">
        <v>2023</v>
      </c>
      <c r="B540" t="s">
        <v>1226</v>
      </c>
      <c r="C540" t="s">
        <v>607</v>
      </c>
      <c r="D540" t="s">
        <v>1073</v>
      </c>
      <c r="E540">
        <v>1</v>
      </c>
      <c r="F540">
        <f>_xlfn.XLOOKUP(Table1[[#This Row],[ProductID]],Products!A:A,Products!D:D,,0)</f>
        <v>100</v>
      </c>
      <c r="I540">
        <v>349</v>
      </c>
      <c r="J540">
        <v>314</v>
      </c>
      <c r="K540" t="s">
        <v>1107</v>
      </c>
      <c r="L540">
        <v>314</v>
      </c>
      <c r="M540" t="s">
        <v>1093</v>
      </c>
      <c r="N540" t="s">
        <v>1099</v>
      </c>
      <c r="O540">
        <f>Table1[[#This Row],[Unit_Price]]*Table1[[#This Row],[Quantity]]</f>
        <v>100</v>
      </c>
    </row>
    <row r="541" spans="1:15" x14ac:dyDescent="0.3">
      <c r="A541" t="s">
        <v>2024</v>
      </c>
      <c r="B541" t="s">
        <v>2025</v>
      </c>
      <c r="C541" t="s">
        <v>747</v>
      </c>
      <c r="D541" t="s">
        <v>1066</v>
      </c>
      <c r="E541">
        <v>1</v>
      </c>
      <c r="F541">
        <f>_xlfn.XLOOKUP(Table1[[#This Row],[ProductID]],Products!A:A,Products!D:D,,0)</f>
        <v>140</v>
      </c>
      <c r="I541">
        <v>499</v>
      </c>
      <c r="J541">
        <v>449</v>
      </c>
      <c r="K541" t="s">
        <v>1107</v>
      </c>
      <c r="L541">
        <v>449</v>
      </c>
      <c r="M541" t="s">
        <v>1098</v>
      </c>
      <c r="N541" t="s">
        <v>1099</v>
      </c>
      <c r="O541">
        <f>Table1[[#This Row],[Unit_Price]]*Table1[[#This Row],[Quantity]]</f>
        <v>140</v>
      </c>
    </row>
    <row r="542" spans="1:15" x14ac:dyDescent="0.3">
      <c r="A542" t="s">
        <v>2026</v>
      </c>
      <c r="B542" t="s">
        <v>2027</v>
      </c>
      <c r="C542" t="s">
        <v>227</v>
      </c>
      <c r="D542" t="s">
        <v>1068</v>
      </c>
      <c r="E542">
        <v>2</v>
      </c>
      <c r="F542">
        <f>_xlfn.XLOOKUP(Table1[[#This Row],[ProductID]],Products!A:A,Products!D:D,,0)</f>
        <v>180</v>
      </c>
      <c r="I542">
        <v>449</v>
      </c>
      <c r="J542">
        <v>404</v>
      </c>
      <c r="K542" t="s">
        <v>1107</v>
      </c>
      <c r="L542">
        <v>808</v>
      </c>
      <c r="M542" t="s">
        <v>1093</v>
      </c>
      <c r="N542" t="s">
        <v>1099</v>
      </c>
      <c r="O542">
        <f>Table1[[#This Row],[Unit_Price]]*Table1[[#This Row],[Quantity]]</f>
        <v>360</v>
      </c>
    </row>
    <row r="543" spans="1:15" x14ac:dyDescent="0.3">
      <c r="A543" t="s">
        <v>2028</v>
      </c>
      <c r="B543" t="s">
        <v>1461</v>
      </c>
      <c r="C543" t="s">
        <v>539</v>
      </c>
      <c r="D543" t="s">
        <v>1053</v>
      </c>
      <c r="E543">
        <v>1</v>
      </c>
      <c r="F543">
        <f>_xlfn.XLOOKUP(Table1[[#This Row],[ProductID]],Products!A:A,Products!D:D,,0)</f>
        <v>200</v>
      </c>
      <c r="I543">
        <v>899</v>
      </c>
      <c r="J543">
        <v>899</v>
      </c>
      <c r="K543" t="s">
        <v>1102</v>
      </c>
      <c r="L543">
        <v>899</v>
      </c>
      <c r="M543" t="s">
        <v>1093</v>
      </c>
      <c r="N543" t="s">
        <v>1094</v>
      </c>
      <c r="O543">
        <f>Table1[[#This Row],[Unit_Price]]*Table1[[#This Row],[Quantity]]</f>
        <v>200</v>
      </c>
    </row>
    <row r="544" spans="1:15" x14ac:dyDescent="0.3">
      <c r="A544" t="s">
        <v>2029</v>
      </c>
      <c r="B544" t="s">
        <v>2030</v>
      </c>
      <c r="C544" t="s">
        <v>29</v>
      </c>
      <c r="D544" t="s">
        <v>1071</v>
      </c>
      <c r="E544">
        <v>1</v>
      </c>
      <c r="F544">
        <f>_xlfn.XLOOKUP(Table1[[#This Row],[ProductID]],Products!A:A,Products!D:D,,0)</f>
        <v>125</v>
      </c>
      <c r="I544">
        <v>399</v>
      </c>
      <c r="J544">
        <v>359</v>
      </c>
      <c r="K544" t="s">
        <v>1107</v>
      </c>
      <c r="L544">
        <v>359</v>
      </c>
      <c r="M544" t="s">
        <v>1098</v>
      </c>
      <c r="N544" t="s">
        <v>1099</v>
      </c>
      <c r="O544">
        <f>Table1[[#This Row],[Unit_Price]]*Table1[[#This Row],[Quantity]]</f>
        <v>125</v>
      </c>
    </row>
    <row r="545" spans="1:15" x14ac:dyDescent="0.3">
      <c r="A545" t="s">
        <v>2031</v>
      </c>
      <c r="B545" t="s">
        <v>2032</v>
      </c>
      <c r="C545" t="s">
        <v>473</v>
      </c>
      <c r="D545" t="s">
        <v>1073</v>
      </c>
      <c r="E545">
        <v>1</v>
      </c>
      <c r="F545">
        <f>_xlfn.XLOOKUP(Table1[[#This Row],[ProductID]],Products!A:A,Products!D:D,,0)</f>
        <v>100</v>
      </c>
      <c r="I545">
        <v>349</v>
      </c>
      <c r="J545">
        <v>349</v>
      </c>
      <c r="K545" t="s">
        <v>1102</v>
      </c>
      <c r="L545">
        <v>349</v>
      </c>
      <c r="M545" t="s">
        <v>1093</v>
      </c>
      <c r="N545" t="s">
        <v>1094</v>
      </c>
      <c r="O545">
        <f>Table1[[#This Row],[Unit_Price]]*Table1[[#This Row],[Quantity]]</f>
        <v>100</v>
      </c>
    </row>
    <row r="546" spans="1:15" x14ac:dyDescent="0.3">
      <c r="A546" t="s">
        <v>2033</v>
      </c>
      <c r="B546" t="s">
        <v>1298</v>
      </c>
      <c r="C546" t="s">
        <v>843</v>
      </c>
      <c r="D546" t="s">
        <v>1068</v>
      </c>
      <c r="E546">
        <v>1</v>
      </c>
      <c r="F546">
        <f>_xlfn.XLOOKUP(Table1[[#This Row],[ProductID]],Products!A:A,Products!D:D,,0)</f>
        <v>180</v>
      </c>
      <c r="I546">
        <v>449</v>
      </c>
      <c r="J546">
        <v>359</v>
      </c>
      <c r="K546" t="s">
        <v>1097</v>
      </c>
      <c r="L546">
        <v>359</v>
      </c>
      <c r="M546" t="s">
        <v>1093</v>
      </c>
      <c r="N546" t="s">
        <v>1099</v>
      </c>
      <c r="O546">
        <f>Table1[[#This Row],[Unit_Price]]*Table1[[#This Row],[Quantity]]</f>
        <v>180</v>
      </c>
    </row>
    <row r="547" spans="1:15" x14ac:dyDescent="0.3">
      <c r="A547" t="s">
        <v>2034</v>
      </c>
      <c r="B547" t="s">
        <v>2035</v>
      </c>
      <c r="C547" t="s">
        <v>877</v>
      </c>
      <c r="D547" t="s">
        <v>1073</v>
      </c>
      <c r="E547">
        <v>1</v>
      </c>
      <c r="F547">
        <f>_xlfn.XLOOKUP(Table1[[#This Row],[ProductID]],Products!A:A,Products!D:D,,0)</f>
        <v>100</v>
      </c>
      <c r="I547">
        <v>349</v>
      </c>
      <c r="J547">
        <v>314</v>
      </c>
      <c r="K547" t="s">
        <v>1107</v>
      </c>
      <c r="L547">
        <v>314</v>
      </c>
      <c r="M547" t="s">
        <v>1098</v>
      </c>
      <c r="N547" t="s">
        <v>1099</v>
      </c>
      <c r="O547">
        <f>Table1[[#This Row],[Unit_Price]]*Table1[[#This Row],[Quantity]]</f>
        <v>100</v>
      </c>
    </row>
    <row r="548" spans="1:15" x14ac:dyDescent="0.3">
      <c r="A548" t="s">
        <v>2036</v>
      </c>
      <c r="B548" t="s">
        <v>1426</v>
      </c>
      <c r="C548" t="s">
        <v>545</v>
      </c>
      <c r="D548" t="s">
        <v>1051</v>
      </c>
      <c r="E548">
        <v>2</v>
      </c>
      <c r="F548">
        <f>_xlfn.XLOOKUP(Table1[[#This Row],[ProductID]],Products!A:A,Products!D:D,,0)</f>
        <v>150</v>
      </c>
      <c r="I548">
        <v>499</v>
      </c>
      <c r="J548">
        <v>499</v>
      </c>
      <c r="K548" t="s">
        <v>1102</v>
      </c>
      <c r="L548">
        <v>998</v>
      </c>
      <c r="M548" t="s">
        <v>1093</v>
      </c>
      <c r="N548" t="s">
        <v>1099</v>
      </c>
      <c r="O548">
        <f>Table1[[#This Row],[Unit_Price]]*Table1[[#This Row],[Quantity]]</f>
        <v>300</v>
      </c>
    </row>
    <row r="549" spans="1:15" x14ac:dyDescent="0.3">
      <c r="A549" t="s">
        <v>2037</v>
      </c>
      <c r="B549" t="s">
        <v>1412</v>
      </c>
      <c r="C549" t="s">
        <v>881</v>
      </c>
      <c r="D549" t="s">
        <v>1080</v>
      </c>
      <c r="E549">
        <v>1</v>
      </c>
      <c r="F549">
        <f>_xlfn.XLOOKUP(Table1[[#This Row],[ProductID]],Products!A:A,Products!D:D,,0)</f>
        <v>45</v>
      </c>
      <c r="I549">
        <v>249</v>
      </c>
      <c r="J549">
        <v>224</v>
      </c>
      <c r="K549" t="s">
        <v>1107</v>
      </c>
      <c r="L549">
        <v>224</v>
      </c>
      <c r="M549" t="s">
        <v>1098</v>
      </c>
      <c r="N549" t="s">
        <v>1099</v>
      </c>
      <c r="O549">
        <f>Table1[[#This Row],[Unit_Price]]*Table1[[#This Row],[Quantity]]</f>
        <v>45</v>
      </c>
    </row>
    <row r="550" spans="1:15" x14ac:dyDescent="0.3">
      <c r="A550" t="s">
        <v>2038</v>
      </c>
      <c r="B550" t="s">
        <v>1712</v>
      </c>
      <c r="C550" t="s">
        <v>47</v>
      </c>
      <c r="D550" t="s">
        <v>1051</v>
      </c>
      <c r="E550">
        <v>2</v>
      </c>
      <c r="F550">
        <f>_xlfn.XLOOKUP(Table1[[#This Row],[ProductID]],Products!A:A,Products!D:D,,0)</f>
        <v>150</v>
      </c>
      <c r="I550">
        <v>499</v>
      </c>
      <c r="J550">
        <v>424</v>
      </c>
      <c r="K550" t="s">
        <v>1092</v>
      </c>
      <c r="L550">
        <v>848</v>
      </c>
      <c r="M550" t="s">
        <v>1093</v>
      </c>
      <c r="N550" t="s">
        <v>1099</v>
      </c>
      <c r="O550">
        <f>Table1[[#This Row],[Unit_Price]]*Table1[[#This Row],[Quantity]]</f>
        <v>300</v>
      </c>
    </row>
    <row r="551" spans="1:15" x14ac:dyDescent="0.3">
      <c r="A551" t="s">
        <v>2039</v>
      </c>
      <c r="B551" t="s">
        <v>1298</v>
      </c>
      <c r="C551" t="s">
        <v>299</v>
      </c>
      <c r="D551" t="s">
        <v>1051</v>
      </c>
      <c r="E551">
        <v>2</v>
      </c>
      <c r="F551">
        <f>_xlfn.XLOOKUP(Table1[[#This Row],[ProductID]],Products!A:A,Products!D:D,,0)</f>
        <v>150</v>
      </c>
      <c r="I551">
        <v>499</v>
      </c>
      <c r="J551">
        <v>449</v>
      </c>
      <c r="K551" t="s">
        <v>1107</v>
      </c>
      <c r="L551">
        <v>898</v>
      </c>
      <c r="M551" t="s">
        <v>1098</v>
      </c>
      <c r="N551" t="s">
        <v>1099</v>
      </c>
      <c r="O551">
        <f>Table1[[#This Row],[Unit_Price]]*Table1[[#This Row],[Quantity]]</f>
        <v>300</v>
      </c>
    </row>
    <row r="552" spans="1:15" x14ac:dyDescent="0.3">
      <c r="A552" t="s">
        <v>2040</v>
      </c>
      <c r="B552" t="s">
        <v>1091</v>
      </c>
      <c r="C552" t="s">
        <v>293</v>
      </c>
      <c r="D552" t="s">
        <v>1064</v>
      </c>
      <c r="E552">
        <v>1</v>
      </c>
      <c r="F552">
        <f>_xlfn.XLOOKUP(Table1[[#This Row],[ProductID]],Products!A:A,Products!D:D,,0)</f>
        <v>160</v>
      </c>
      <c r="I552">
        <v>699</v>
      </c>
      <c r="J552">
        <v>559</v>
      </c>
      <c r="K552" t="s">
        <v>1097</v>
      </c>
      <c r="L552">
        <v>559</v>
      </c>
      <c r="M552" t="s">
        <v>1093</v>
      </c>
      <c r="N552" t="s">
        <v>1099</v>
      </c>
      <c r="O552">
        <f>Table1[[#This Row],[Unit_Price]]*Table1[[#This Row],[Quantity]]</f>
        <v>160</v>
      </c>
    </row>
    <row r="553" spans="1:15" x14ac:dyDescent="0.3">
      <c r="A553" t="s">
        <v>2041</v>
      </c>
      <c r="B553" t="s">
        <v>1096</v>
      </c>
      <c r="C553" t="s">
        <v>393</v>
      </c>
      <c r="D553" t="s">
        <v>1055</v>
      </c>
      <c r="E553">
        <v>1</v>
      </c>
      <c r="F553">
        <f>_xlfn.XLOOKUP(Table1[[#This Row],[ProductID]],Products!A:A,Products!D:D,,0)</f>
        <v>75</v>
      </c>
      <c r="I553">
        <v>299</v>
      </c>
      <c r="J553">
        <v>269</v>
      </c>
      <c r="K553" t="s">
        <v>1107</v>
      </c>
      <c r="L553">
        <v>269</v>
      </c>
      <c r="M553" t="s">
        <v>1098</v>
      </c>
      <c r="N553" t="s">
        <v>1099</v>
      </c>
      <c r="O553">
        <f>Table1[[#This Row],[Unit_Price]]*Table1[[#This Row],[Quantity]]</f>
        <v>75</v>
      </c>
    </row>
    <row r="554" spans="1:15" x14ac:dyDescent="0.3">
      <c r="A554" t="s">
        <v>2042</v>
      </c>
      <c r="B554" t="s">
        <v>1653</v>
      </c>
      <c r="C554" t="s">
        <v>699</v>
      </c>
      <c r="D554" t="s">
        <v>1066</v>
      </c>
      <c r="E554">
        <v>1</v>
      </c>
      <c r="F554">
        <f>_xlfn.XLOOKUP(Table1[[#This Row],[ProductID]],Products!A:A,Products!D:D,,0)</f>
        <v>140</v>
      </c>
      <c r="I554">
        <v>499</v>
      </c>
      <c r="J554">
        <v>449</v>
      </c>
      <c r="K554" t="s">
        <v>1107</v>
      </c>
      <c r="L554">
        <v>449</v>
      </c>
      <c r="M554" t="s">
        <v>1098</v>
      </c>
      <c r="N554" t="s">
        <v>1123</v>
      </c>
      <c r="O554">
        <f>Table1[[#This Row],[Unit_Price]]*Table1[[#This Row],[Quantity]]</f>
        <v>140</v>
      </c>
    </row>
    <row r="555" spans="1:15" x14ac:dyDescent="0.3">
      <c r="A555" t="s">
        <v>2043</v>
      </c>
      <c r="B555" t="s">
        <v>1531</v>
      </c>
      <c r="C555" t="s">
        <v>435</v>
      </c>
      <c r="D555" t="s">
        <v>1075</v>
      </c>
      <c r="E555">
        <v>1</v>
      </c>
      <c r="F555">
        <f>_xlfn.XLOOKUP(Table1[[#This Row],[ProductID]],Products!A:A,Products!D:D,,0)</f>
        <v>80</v>
      </c>
      <c r="I555">
        <v>499</v>
      </c>
      <c r="J555">
        <v>399</v>
      </c>
      <c r="K555" t="s">
        <v>1097</v>
      </c>
      <c r="L555">
        <v>399</v>
      </c>
      <c r="M555" t="s">
        <v>1093</v>
      </c>
      <c r="N555" t="s">
        <v>1099</v>
      </c>
      <c r="O555">
        <f>Table1[[#This Row],[Unit_Price]]*Table1[[#This Row],[Quantity]]</f>
        <v>80</v>
      </c>
    </row>
    <row r="556" spans="1:15" x14ac:dyDescent="0.3">
      <c r="A556" t="s">
        <v>2044</v>
      </c>
      <c r="B556" t="s">
        <v>1768</v>
      </c>
      <c r="C556" t="s">
        <v>935</v>
      </c>
      <c r="D556" t="s">
        <v>1066</v>
      </c>
      <c r="E556">
        <v>1</v>
      </c>
      <c r="F556">
        <f>_xlfn.XLOOKUP(Table1[[#This Row],[ProductID]],Products!A:A,Products!D:D,,0)</f>
        <v>140</v>
      </c>
      <c r="I556">
        <v>499</v>
      </c>
      <c r="J556">
        <v>499</v>
      </c>
      <c r="K556" t="s">
        <v>1102</v>
      </c>
      <c r="L556">
        <v>499</v>
      </c>
      <c r="M556" t="s">
        <v>1098</v>
      </c>
      <c r="N556" t="s">
        <v>1099</v>
      </c>
      <c r="O556">
        <f>Table1[[#This Row],[Unit_Price]]*Table1[[#This Row],[Quantity]]</f>
        <v>140</v>
      </c>
    </row>
    <row r="557" spans="1:15" x14ac:dyDescent="0.3">
      <c r="A557" t="s">
        <v>2045</v>
      </c>
      <c r="B557" t="s">
        <v>1990</v>
      </c>
      <c r="C557" t="s">
        <v>112</v>
      </c>
      <c r="D557" t="s">
        <v>1066</v>
      </c>
      <c r="E557">
        <v>3</v>
      </c>
      <c r="F557">
        <f>_xlfn.XLOOKUP(Table1[[#This Row],[ProductID]],Products!A:A,Products!D:D,,0)</f>
        <v>140</v>
      </c>
      <c r="I557">
        <v>499</v>
      </c>
      <c r="J557">
        <v>499</v>
      </c>
      <c r="K557" t="s">
        <v>1102</v>
      </c>
      <c r="L557">
        <v>1497</v>
      </c>
      <c r="M557" t="s">
        <v>1093</v>
      </c>
      <c r="N557" t="s">
        <v>1099</v>
      </c>
      <c r="O557">
        <f>Table1[[#This Row],[Unit_Price]]*Table1[[#This Row],[Quantity]]</f>
        <v>420</v>
      </c>
    </row>
    <row r="558" spans="1:15" x14ac:dyDescent="0.3">
      <c r="A558" t="s">
        <v>2046</v>
      </c>
      <c r="B558" t="s">
        <v>1830</v>
      </c>
      <c r="C558" t="s">
        <v>431</v>
      </c>
      <c r="D558" t="s">
        <v>1051</v>
      </c>
      <c r="E558">
        <v>1</v>
      </c>
      <c r="F558">
        <f>_xlfn.XLOOKUP(Table1[[#This Row],[ProductID]],Products!A:A,Products!D:D,,0)</f>
        <v>150</v>
      </c>
      <c r="I558">
        <v>499</v>
      </c>
      <c r="J558">
        <v>424</v>
      </c>
      <c r="K558" t="s">
        <v>1092</v>
      </c>
      <c r="L558">
        <v>424</v>
      </c>
      <c r="M558" t="s">
        <v>1093</v>
      </c>
      <c r="N558" t="s">
        <v>1099</v>
      </c>
      <c r="O558">
        <f>Table1[[#This Row],[Unit_Price]]*Table1[[#This Row],[Quantity]]</f>
        <v>150</v>
      </c>
    </row>
    <row r="559" spans="1:15" x14ac:dyDescent="0.3">
      <c r="A559" t="s">
        <v>2047</v>
      </c>
      <c r="B559" t="s">
        <v>1443</v>
      </c>
      <c r="C559" t="s">
        <v>419</v>
      </c>
      <c r="D559" t="s">
        <v>1048</v>
      </c>
      <c r="E559">
        <v>3</v>
      </c>
      <c r="F559">
        <f>_xlfn.XLOOKUP(Table1[[#This Row],[ProductID]],Products!A:A,Products!D:D,,0)</f>
        <v>120</v>
      </c>
      <c r="I559">
        <v>599</v>
      </c>
      <c r="J559">
        <v>539</v>
      </c>
      <c r="K559" t="s">
        <v>1107</v>
      </c>
      <c r="L559">
        <v>1617</v>
      </c>
      <c r="M559" t="s">
        <v>1118</v>
      </c>
      <c r="N559" t="s">
        <v>1099</v>
      </c>
      <c r="O559">
        <f>Table1[[#This Row],[Unit_Price]]*Table1[[#This Row],[Quantity]]</f>
        <v>360</v>
      </c>
    </row>
    <row r="560" spans="1:15" x14ac:dyDescent="0.3">
      <c r="A560" t="s">
        <v>2048</v>
      </c>
      <c r="B560" t="s">
        <v>1645</v>
      </c>
      <c r="C560" t="s">
        <v>263</v>
      </c>
      <c r="D560" t="s">
        <v>1062</v>
      </c>
      <c r="E560">
        <v>3</v>
      </c>
      <c r="F560">
        <f>_xlfn.XLOOKUP(Table1[[#This Row],[ProductID]],Products!A:A,Products!D:D,,0)</f>
        <v>95</v>
      </c>
      <c r="I560">
        <v>349</v>
      </c>
      <c r="J560">
        <v>349</v>
      </c>
      <c r="K560" t="s">
        <v>1102</v>
      </c>
      <c r="L560">
        <v>1047</v>
      </c>
      <c r="M560" t="s">
        <v>1093</v>
      </c>
      <c r="N560" t="s">
        <v>1099</v>
      </c>
      <c r="O560">
        <f>Table1[[#This Row],[Unit_Price]]*Table1[[#This Row],[Quantity]]</f>
        <v>285</v>
      </c>
    </row>
    <row r="561" spans="1:15" x14ac:dyDescent="0.3">
      <c r="A561" t="s">
        <v>2049</v>
      </c>
      <c r="B561" t="s">
        <v>2050</v>
      </c>
      <c r="C561" t="s">
        <v>221</v>
      </c>
      <c r="D561" t="s">
        <v>1064</v>
      </c>
      <c r="E561">
        <v>2</v>
      </c>
      <c r="F561">
        <f>_xlfn.XLOOKUP(Table1[[#This Row],[ProductID]],Products!A:A,Products!D:D,,0)</f>
        <v>160</v>
      </c>
      <c r="I561">
        <v>699</v>
      </c>
      <c r="J561">
        <v>699</v>
      </c>
      <c r="K561" t="s">
        <v>1102</v>
      </c>
      <c r="L561">
        <v>1398</v>
      </c>
      <c r="M561" t="s">
        <v>1098</v>
      </c>
      <c r="N561" t="s">
        <v>1099</v>
      </c>
      <c r="O561">
        <f>Table1[[#This Row],[Unit_Price]]*Table1[[#This Row],[Quantity]]</f>
        <v>320</v>
      </c>
    </row>
    <row r="562" spans="1:15" x14ac:dyDescent="0.3">
      <c r="A562" t="s">
        <v>2051</v>
      </c>
      <c r="B562" t="s">
        <v>1971</v>
      </c>
      <c r="C562" t="s">
        <v>991</v>
      </c>
      <c r="D562" t="s">
        <v>1048</v>
      </c>
      <c r="E562">
        <v>1</v>
      </c>
      <c r="F562">
        <f>_xlfn.XLOOKUP(Table1[[#This Row],[ProductID]],Products!A:A,Products!D:D,,0)</f>
        <v>120</v>
      </c>
      <c r="I562">
        <v>599</v>
      </c>
      <c r="J562">
        <v>509</v>
      </c>
      <c r="K562" t="s">
        <v>1092</v>
      </c>
      <c r="L562">
        <v>509</v>
      </c>
      <c r="M562" t="s">
        <v>1098</v>
      </c>
      <c r="N562" t="s">
        <v>1099</v>
      </c>
      <c r="O562">
        <f>Table1[[#This Row],[Unit_Price]]*Table1[[#This Row],[Quantity]]</f>
        <v>120</v>
      </c>
    </row>
    <row r="563" spans="1:15" x14ac:dyDescent="0.3">
      <c r="A563" t="s">
        <v>2052</v>
      </c>
      <c r="B563" t="s">
        <v>1547</v>
      </c>
      <c r="C563" t="s">
        <v>1009</v>
      </c>
      <c r="D563" t="s">
        <v>1059</v>
      </c>
      <c r="E563">
        <v>1</v>
      </c>
      <c r="F563">
        <f>_xlfn.XLOOKUP(Table1[[#This Row],[ProductID]],Products!A:A,Products!D:D,,0)</f>
        <v>110</v>
      </c>
      <c r="I563">
        <v>399</v>
      </c>
      <c r="J563">
        <v>359</v>
      </c>
      <c r="K563" t="s">
        <v>1107</v>
      </c>
      <c r="L563">
        <v>359</v>
      </c>
      <c r="M563" t="s">
        <v>1098</v>
      </c>
      <c r="N563" t="s">
        <v>1099</v>
      </c>
      <c r="O563">
        <f>Table1[[#This Row],[Unit_Price]]*Table1[[#This Row],[Quantity]]</f>
        <v>110</v>
      </c>
    </row>
    <row r="564" spans="1:15" x14ac:dyDescent="0.3">
      <c r="A564" t="s">
        <v>2053</v>
      </c>
      <c r="B564" t="s">
        <v>1205</v>
      </c>
      <c r="C564" t="s">
        <v>981</v>
      </c>
      <c r="D564" t="s">
        <v>1066</v>
      </c>
      <c r="E564">
        <v>1</v>
      </c>
      <c r="F564">
        <f>_xlfn.XLOOKUP(Table1[[#This Row],[ProductID]],Products!A:A,Products!D:D,,0)</f>
        <v>140</v>
      </c>
      <c r="I564">
        <v>499</v>
      </c>
      <c r="J564">
        <v>449</v>
      </c>
      <c r="K564" t="s">
        <v>1107</v>
      </c>
      <c r="L564">
        <v>449</v>
      </c>
      <c r="M564" t="s">
        <v>1093</v>
      </c>
      <c r="N564" t="s">
        <v>1094</v>
      </c>
      <c r="O564">
        <f>Table1[[#This Row],[Unit_Price]]*Table1[[#This Row],[Quantity]]</f>
        <v>140</v>
      </c>
    </row>
    <row r="565" spans="1:15" x14ac:dyDescent="0.3">
      <c r="A565" t="s">
        <v>2054</v>
      </c>
      <c r="B565" t="s">
        <v>2055</v>
      </c>
      <c r="C565" t="s">
        <v>707</v>
      </c>
      <c r="D565" t="s">
        <v>1080</v>
      </c>
      <c r="E565">
        <v>2</v>
      </c>
      <c r="F565">
        <f>_xlfn.XLOOKUP(Table1[[#This Row],[ProductID]],Products!A:A,Products!D:D,,0)</f>
        <v>45</v>
      </c>
      <c r="I565">
        <v>249</v>
      </c>
      <c r="J565">
        <v>199</v>
      </c>
      <c r="K565" t="s">
        <v>1097</v>
      </c>
      <c r="L565">
        <v>398</v>
      </c>
      <c r="M565" t="s">
        <v>1093</v>
      </c>
      <c r="N565" t="s">
        <v>1099</v>
      </c>
      <c r="O565">
        <f>Table1[[#This Row],[Unit_Price]]*Table1[[#This Row],[Quantity]]</f>
        <v>90</v>
      </c>
    </row>
    <row r="566" spans="1:15" x14ac:dyDescent="0.3">
      <c r="A566" t="s">
        <v>2056</v>
      </c>
      <c r="B566" t="s">
        <v>1842</v>
      </c>
      <c r="C566" t="s">
        <v>148</v>
      </c>
      <c r="D566" t="s">
        <v>1057</v>
      </c>
      <c r="E566">
        <v>2</v>
      </c>
      <c r="F566">
        <f>_xlfn.XLOOKUP(Table1[[#This Row],[ProductID]],Products!A:A,Products!D:D,,0)</f>
        <v>130</v>
      </c>
      <c r="I566">
        <v>549</v>
      </c>
      <c r="J566">
        <v>467</v>
      </c>
      <c r="K566" t="s">
        <v>1092</v>
      </c>
      <c r="L566">
        <v>934</v>
      </c>
      <c r="M566" t="s">
        <v>1118</v>
      </c>
      <c r="N566" t="s">
        <v>1099</v>
      </c>
      <c r="O566">
        <f>Table1[[#This Row],[Unit_Price]]*Table1[[#This Row],[Quantity]]</f>
        <v>260</v>
      </c>
    </row>
    <row r="567" spans="1:15" x14ac:dyDescent="0.3">
      <c r="A567" t="s">
        <v>2057</v>
      </c>
      <c r="B567" t="s">
        <v>1995</v>
      </c>
      <c r="C567" t="s">
        <v>815</v>
      </c>
      <c r="D567" t="s">
        <v>1057</v>
      </c>
      <c r="E567">
        <v>1</v>
      </c>
      <c r="F567">
        <f>_xlfn.XLOOKUP(Table1[[#This Row],[ProductID]],Products!A:A,Products!D:D,,0)</f>
        <v>130</v>
      </c>
      <c r="I567">
        <v>549</v>
      </c>
      <c r="J567">
        <v>549</v>
      </c>
      <c r="K567" t="s">
        <v>1102</v>
      </c>
      <c r="L567">
        <v>549</v>
      </c>
      <c r="M567" t="s">
        <v>1093</v>
      </c>
      <c r="N567" t="s">
        <v>1099</v>
      </c>
      <c r="O567">
        <f>Table1[[#This Row],[Unit_Price]]*Table1[[#This Row],[Quantity]]</f>
        <v>130</v>
      </c>
    </row>
    <row r="568" spans="1:15" x14ac:dyDescent="0.3">
      <c r="A568" t="s">
        <v>2058</v>
      </c>
      <c r="B568" t="s">
        <v>1312</v>
      </c>
      <c r="C568" t="s">
        <v>369</v>
      </c>
      <c r="D568" t="s">
        <v>1064</v>
      </c>
      <c r="E568">
        <v>2</v>
      </c>
      <c r="F568">
        <f>_xlfn.XLOOKUP(Table1[[#This Row],[ProductID]],Products!A:A,Products!D:D,,0)</f>
        <v>160</v>
      </c>
      <c r="I568">
        <v>699</v>
      </c>
      <c r="J568">
        <v>629</v>
      </c>
      <c r="K568" t="s">
        <v>1107</v>
      </c>
      <c r="L568">
        <v>1258</v>
      </c>
      <c r="M568" t="s">
        <v>1098</v>
      </c>
      <c r="N568" t="s">
        <v>1099</v>
      </c>
      <c r="O568">
        <f>Table1[[#This Row],[Unit_Price]]*Table1[[#This Row],[Quantity]]</f>
        <v>320</v>
      </c>
    </row>
    <row r="569" spans="1:15" x14ac:dyDescent="0.3">
      <c r="A569" t="s">
        <v>2059</v>
      </c>
      <c r="B569" t="s">
        <v>2060</v>
      </c>
      <c r="C569" t="s">
        <v>717</v>
      </c>
      <c r="D569" t="s">
        <v>1062</v>
      </c>
      <c r="E569">
        <v>2</v>
      </c>
      <c r="F569">
        <f>_xlfn.XLOOKUP(Table1[[#This Row],[ProductID]],Products!A:A,Products!D:D,,0)</f>
        <v>95</v>
      </c>
      <c r="I569">
        <v>349</v>
      </c>
      <c r="J569">
        <v>349</v>
      </c>
      <c r="K569" t="s">
        <v>1102</v>
      </c>
      <c r="L569">
        <v>698</v>
      </c>
      <c r="M569" t="s">
        <v>1098</v>
      </c>
      <c r="N569" t="s">
        <v>1099</v>
      </c>
      <c r="O569">
        <f>Table1[[#This Row],[Unit_Price]]*Table1[[#This Row],[Quantity]]</f>
        <v>190</v>
      </c>
    </row>
    <row r="570" spans="1:15" x14ac:dyDescent="0.3">
      <c r="A570" t="s">
        <v>2061</v>
      </c>
      <c r="B570" t="s">
        <v>1730</v>
      </c>
      <c r="C570" t="s">
        <v>903</v>
      </c>
      <c r="D570" t="s">
        <v>1057</v>
      </c>
      <c r="E570">
        <v>4</v>
      </c>
      <c r="F570">
        <f>_xlfn.XLOOKUP(Table1[[#This Row],[ProductID]],Products!A:A,Products!D:D,,0)</f>
        <v>130</v>
      </c>
      <c r="I570">
        <v>549</v>
      </c>
      <c r="J570">
        <v>439</v>
      </c>
      <c r="K570" t="s">
        <v>1097</v>
      </c>
      <c r="L570">
        <v>1756</v>
      </c>
      <c r="M570" t="s">
        <v>1093</v>
      </c>
      <c r="N570" t="s">
        <v>1094</v>
      </c>
      <c r="O570">
        <f>Table1[[#This Row],[Unit_Price]]*Table1[[#This Row],[Quantity]]</f>
        <v>520</v>
      </c>
    </row>
    <row r="571" spans="1:15" x14ac:dyDescent="0.3">
      <c r="A571" t="s">
        <v>2062</v>
      </c>
      <c r="B571" t="s">
        <v>1500</v>
      </c>
      <c r="C571" t="s">
        <v>47</v>
      </c>
      <c r="D571" t="s">
        <v>1075</v>
      </c>
      <c r="E571">
        <v>2</v>
      </c>
      <c r="F571">
        <f>_xlfn.XLOOKUP(Table1[[#This Row],[ProductID]],Products!A:A,Products!D:D,,0)</f>
        <v>80</v>
      </c>
      <c r="I571">
        <v>499</v>
      </c>
      <c r="J571">
        <v>499</v>
      </c>
      <c r="K571" t="s">
        <v>1102</v>
      </c>
      <c r="L571">
        <v>998</v>
      </c>
      <c r="M571" t="s">
        <v>1093</v>
      </c>
      <c r="N571" t="s">
        <v>1094</v>
      </c>
      <c r="O571">
        <f>Table1[[#This Row],[Unit_Price]]*Table1[[#This Row],[Quantity]]</f>
        <v>160</v>
      </c>
    </row>
    <row r="572" spans="1:15" x14ac:dyDescent="0.3">
      <c r="A572" t="s">
        <v>2063</v>
      </c>
      <c r="B572" t="s">
        <v>2008</v>
      </c>
      <c r="C572" t="s">
        <v>609</v>
      </c>
      <c r="D572" t="s">
        <v>1078</v>
      </c>
      <c r="E572">
        <v>1</v>
      </c>
      <c r="F572">
        <f>_xlfn.XLOOKUP(Table1[[#This Row],[ProductID]],Products!A:A,Products!D:D,,0)</f>
        <v>80</v>
      </c>
      <c r="I572">
        <v>499</v>
      </c>
      <c r="J572">
        <v>399</v>
      </c>
      <c r="K572" t="s">
        <v>1097</v>
      </c>
      <c r="L572">
        <v>399</v>
      </c>
      <c r="M572" t="s">
        <v>1126</v>
      </c>
      <c r="N572" t="s">
        <v>1099</v>
      </c>
      <c r="O572">
        <f>Table1[[#This Row],[Unit_Price]]*Table1[[#This Row],[Quantity]]</f>
        <v>80</v>
      </c>
    </row>
    <row r="573" spans="1:15" x14ac:dyDescent="0.3">
      <c r="A573" t="s">
        <v>2064</v>
      </c>
      <c r="B573" t="s">
        <v>2065</v>
      </c>
      <c r="C573" t="s">
        <v>971</v>
      </c>
      <c r="D573" t="s">
        <v>1051</v>
      </c>
      <c r="E573">
        <v>1</v>
      </c>
      <c r="F573">
        <f>_xlfn.XLOOKUP(Table1[[#This Row],[ProductID]],Products!A:A,Products!D:D,,0)</f>
        <v>150</v>
      </c>
      <c r="I573">
        <v>499</v>
      </c>
      <c r="J573">
        <v>424</v>
      </c>
      <c r="K573" t="s">
        <v>1092</v>
      </c>
      <c r="L573">
        <v>424</v>
      </c>
      <c r="M573" t="s">
        <v>1098</v>
      </c>
      <c r="N573" t="s">
        <v>1099</v>
      </c>
      <c r="O573">
        <f>Table1[[#This Row],[Unit_Price]]*Table1[[#This Row],[Quantity]]</f>
        <v>150</v>
      </c>
    </row>
    <row r="574" spans="1:15" x14ac:dyDescent="0.3">
      <c r="A574" t="s">
        <v>2066</v>
      </c>
      <c r="B574" t="s">
        <v>2067</v>
      </c>
      <c r="C574" t="s">
        <v>493</v>
      </c>
      <c r="D574" t="s">
        <v>1051</v>
      </c>
      <c r="E574">
        <v>3</v>
      </c>
      <c r="F574">
        <f>_xlfn.XLOOKUP(Table1[[#This Row],[ProductID]],Products!A:A,Products!D:D,,0)</f>
        <v>150</v>
      </c>
      <c r="I574">
        <v>499</v>
      </c>
      <c r="J574">
        <v>499</v>
      </c>
      <c r="K574" t="s">
        <v>1102</v>
      </c>
      <c r="L574">
        <v>1497</v>
      </c>
      <c r="M574" t="s">
        <v>1093</v>
      </c>
      <c r="N574" t="s">
        <v>1099</v>
      </c>
      <c r="O574">
        <f>Table1[[#This Row],[Unit_Price]]*Table1[[#This Row],[Quantity]]</f>
        <v>450</v>
      </c>
    </row>
    <row r="575" spans="1:15" x14ac:dyDescent="0.3">
      <c r="A575" t="s">
        <v>2068</v>
      </c>
      <c r="B575" t="s">
        <v>1761</v>
      </c>
      <c r="C575" t="s">
        <v>1023</v>
      </c>
      <c r="D575" t="s">
        <v>1055</v>
      </c>
      <c r="E575">
        <v>1</v>
      </c>
      <c r="F575">
        <f>_xlfn.XLOOKUP(Table1[[#This Row],[ProductID]],Products!A:A,Products!D:D,,0)</f>
        <v>75</v>
      </c>
      <c r="I575">
        <v>299</v>
      </c>
      <c r="J575">
        <v>269</v>
      </c>
      <c r="K575" t="s">
        <v>1107</v>
      </c>
      <c r="L575">
        <v>269</v>
      </c>
      <c r="M575" t="s">
        <v>1098</v>
      </c>
      <c r="N575" t="s">
        <v>1099</v>
      </c>
      <c r="O575">
        <f>Table1[[#This Row],[Unit_Price]]*Table1[[#This Row],[Quantity]]</f>
        <v>75</v>
      </c>
    </row>
    <row r="576" spans="1:15" x14ac:dyDescent="0.3">
      <c r="A576" t="s">
        <v>2069</v>
      </c>
      <c r="B576" t="s">
        <v>2070</v>
      </c>
      <c r="C576" t="s">
        <v>813</v>
      </c>
      <c r="D576" t="s">
        <v>1062</v>
      </c>
      <c r="E576">
        <v>1</v>
      </c>
      <c r="F576">
        <f>_xlfn.XLOOKUP(Table1[[#This Row],[ProductID]],Products!A:A,Products!D:D,,0)</f>
        <v>95</v>
      </c>
      <c r="I576">
        <v>349</v>
      </c>
      <c r="J576">
        <v>279</v>
      </c>
      <c r="K576" t="s">
        <v>1097</v>
      </c>
      <c r="L576">
        <v>279</v>
      </c>
      <c r="M576" t="s">
        <v>1093</v>
      </c>
      <c r="N576" t="s">
        <v>1123</v>
      </c>
      <c r="O576">
        <f>Table1[[#This Row],[Unit_Price]]*Table1[[#This Row],[Quantity]]</f>
        <v>95</v>
      </c>
    </row>
    <row r="577" spans="1:15" x14ac:dyDescent="0.3">
      <c r="A577" t="s">
        <v>2071</v>
      </c>
      <c r="B577" t="s">
        <v>2072</v>
      </c>
      <c r="C577" t="s">
        <v>265</v>
      </c>
      <c r="D577" t="s">
        <v>1068</v>
      </c>
      <c r="E577">
        <v>1</v>
      </c>
      <c r="F577">
        <f>_xlfn.XLOOKUP(Table1[[#This Row],[ProductID]],Products!A:A,Products!D:D,,0)</f>
        <v>180</v>
      </c>
      <c r="I577">
        <v>449</v>
      </c>
      <c r="J577">
        <v>359</v>
      </c>
      <c r="K577" t="s">
        <v>1097</v>
      </c>
      <c r="L577">
        <v>359</v>
      </c>
      <c r="M577" t="s">
        <v>1093</v>
      </c>
      <c r="N577" t="s">
        <v>1099</v>
      </c>
      <c r="O577">
        <f>Table1[[#This Row],[Unit_Price]]*Table1[[#This Row],[Quantity]]</f>
        <v>180</v>
      </c>
    </row>
    <row r="578" spans="1:15" x14ac:dyDescent="0.3">
      <c r="A578" t="s">
        <v>2073</v>
      </c>
      <c r="B578" t="s">
        <v>1662</v>
      </c>
      <c r="C578" t="s">
        <v>625</v>
      </c>
      <c r="D578" t="s">
        <v>1057</v>
      </c>
      <c r="E578">
        <v>1</v>
      </c>
      <c r="F578">
        <f>_xlfn.XLOOKUP(Table1[[#This Row],[ProductID]],Products!A:A,Products!D:D,,0)</f>
        <v>130</v>
      </c>
      <c r="I578">
        <v>549</v>
      </c>
      <c r="J578">
        <v>494</v>
      </c>
      <c r="K578" t="s">
        <v>1107</v>
      </c>
      <c r="L578">
        <v>494</v>
      </c>
      <c r="M578" t="s">
        <v>1093</v>
      </c>
      <c r="N578" t="s">
        <v>1099</v>
      </c>
      <c r="O578">
        <f>Table1[[#This Row],[Unit_Price]]*Table1[[#This Row],[Quantity]]</f>
        <v>130</v>
      </c>
    </row>
    <row r="579" spans="1:15" x14ac:dyDescent="0.3">
      <c r="A579" t="s">
        <v>2074</v>
      </c>
      <c r="B579" t="s">
        <v>2075</v>
      </c>
      <c r="C579" t="s">
        <v>93</v>
      </c>
      <c r="D579" t="s">
        <v>1066</v>
      </c>
      <c r="E579">
        <v>1</v>
      </c>
      <c r="F579">
        <f>_xlfn.XLOOKUP(Table1[[#This Row],[ProductID]],Products!A:A,Products!D:D,,0)</f>
        <v>140</v>
      </c>
      <c r="I579">
        <v>499</v>
      </c>
      <c r="J579">
        <v>399</v>
      </c>
      <c r="K579" t="s">
        <v>1097</v>
      </c>
      <c r="L579">
        <v>399</v>
      </c>
      <c r="M579" t="s">
        <v>1098</v>
      </c>
      <c r="N579" t="s">
        <v>1099</v>
      </c>
      <c r="O579">
        <f>Table1[[#This Row],[Unit_Price]]*Table1[[#This Row],[Quantity]]</f>
        <v>140</v>
      </c>
    </row>
    <row r="580" spans="1:15" x14ac:dyDescent="0.3">
      <c r="A580" t="s">
        <v>2076</v>
      </c>
      <c r="B580" t="s">
        <v>1168</v>
      </c>
      <c r="C580" t="s">
        <v>327</v>
      </c>
      <c r="D580" t="s">
        <v>1062</v>
      </c>
      <c r="E580">
        <v>2</v>
      </c>
      <c r="F580">
        <f>_xlfn.XLOOKUP(Table1[[#This Row],[ProductID]],Products!A:A,Products!D:D,,0)</f>
        <v>95</v>
      </c>
      <c r="I580">
        <v>349</v>
      </c>
      <c r="J580">
        <v>297</v>
      </c>
      <c r="K580" t="s">
        <v>1092</v>
      </c>
      <c r="L580">
        <v>594</v>
      </c>
      <c r="M580" t="s">
        <v>1098</v>
      </c>
      <c r="N580" t="s">
        <v>1099</v>
      </c>
      <c r="O580">
        <f>Table1[[#This Row],[Unit_Price]]*Table1[[#This Row],[Quantity]]</f>
        <v>190</v>
      </c>
    </row>
    <row r="581" spans="1:15" x14ac:dyDescent="0.3">
      <c r="A581" t="s">
        <v>2077</v>
      </c>
      <c r="B581" t="s">
        <v>2078</v>
      </c>
      <c r="C581" t="s">
        <v>1005</v>
      </c>
      <c r="D581" t="s">
        <v>1051</v>
      </c>
      <c r="E581">
        <v>1</v>
      </c>
      <c r="F581">
        <f>_xlfn.XLOOKUP(Table1[[#This Row],[ProductID]],Products!A:A,Products!D:D,,0)</f>
        <v>150</v>
      </c>
      <c r="I581">
        <v>499</v>
      </c>
      <c r="J581">
        <v>449</v>
      </c>
      <c r="K581" t="s">
        <v>1107</v>
      </c>
      <c r="L581">
        <v>449</v>
      </c>
      <c r="M581" t="s">
        <v>1098</v>
      </c>
      <c r="N581" t="s">
        <v>1094</v>
      </c>
      <c r="O581">
        <f>Table1[[#This Row],[Unit_Price]]*Table1[[#This Row],[Quantity]]</f>
        <v>150</v>
      </c>
    </row>
    <row r="582" spans="1:15" x14ac:dyDescent="0.3">
      <c r="A582" t="s">
        <v>2079</v>
      </c>
      <c r="B582" t="s">
        <v>2080</v>
      </c>
      <c r="C582" t="s">
        <v>265</v>
      </c>
      <c r="D582" t="s">
        <v>1073</v>
      </c>
      <c r="E582">
        <v>1</v>
      </c>
      <c r="F582">
        <f>_xlfn.XLOOKUP(Table1[[#This Row],[ProductID]],Products!A:A,Products!D:D,,0)</f>
        <v>100</v>
      </c>
      <c r="I582">
        <v>349</v>
      </c>
      <c r="J582">
        <v>314</v>
      </c>
      <c r="K582" t="s">
        <v>1107</v>
      </c>
      <c r="L582">
        <v>314</v>
      </c>
      <c r="M582" t="s">
        <v>1098</v>
      </c>
      <c r="N582" t="s">
        <v>1099</v>
      </c>
      <c r="O582">
        <f>Table1[[#This Row],[Unit_Price]]*Table1[[#This Row],[Quantity]]</f>
        <v>100</v>
      </c>
    </row>
    <row r="583" spans="1:15" x14ac:dyDescent="0.3">
      <c r="A583" t="s">
        <v>2081</v>
      </c>
      <c r="B583" t="s">
        <v>1847</v>
      </c>
      <c r="C583" t="s">
        <v>921</v>
      </c>
      <c r="D583" t="s">
        <v>1080</v>
      </c>
      <c r="E583">
        <v>1</v>
      </c>
      <c r="F583">
        <f>_xlfn.XLOOKUP(Table1[[#This Row],[ProductID]],Products!A:A,Products!D:D,,0)</f>
        <v>45</v>
      </c>
      <c r="I583">
        <v>249</v>
      </c>
      <c r="J583">
        <v>199</v>
      </c>
      <c r="K583" t="s">
        <v>1097</v>
      </c>
      <c r="L583">
        <v>199</v>
      </c>
      <c r="M583" t="s">
        <v>1098</v>
      </c>
      <c r="N583" t="s">
        <v>1099</v>
      </c>
      <c r="O583">
        <f>Table1[[#This Row],[Unit_Price]]*Table1[[#This Row],[Quantity]]</f>
        <v>45</v>
      </c>
    </row>
    <row r="584" spans="1:15" x14ac:dyDescent="0.3">
      <c r="A584" t="s">
        <v>2082</v>
      </c>
      <c r="B584" t="s">
        <v>1826</v>
      </c>
      <c r="C584" t="s">
        <v>14</v>
      </c>
      <c r="D584" t="s">
        <v>1071</v>
      </c>
      <c r="E584">
        <v>1</v>
      </c>
      <c r="F584">
        <f>_xlfn.XLOOKUP(Table1[[#This Row],[ProductID]],Products!A:A,Products!D:D,,0)</f>
        <v>125</v>
      </c>
      <c r="I584">
        <v>399</v>
      </c>
      <c r="J584">
        <v>339</v>
      </c>
      <c r="K584" t="s">
        <v>1092</v>
      </c>
      <c r="L584">
        <v>339</v>
      </c>
      <c r="M584" t="s">
        <v>1098</v>
      </c>
      <c r="N584" t="s">
        <v>1099</v>
      </c>
      <c r="O584">
        <f>Table1[[#This Row],[Unit_Price]]*Table1[[#This Row],[Quantity]]</f>
        <v>125</v>
      </c>
    </row>
    <row r="585" spans="1:15" x14ac:dyDescent="0.3">
      <c r="A585" t="s">
        <v>2083</v>
      </c>
      <c r="B585" t="s">
        <v>1995</v>
      </c>
      <c r="C585" t="s">
        <v>929</v>
      </c>
      <c r="D585" t="s">
        <v>1066</v>
      </c>
      <c r="E585">
        <v>4</v>
      </c>
      <c r="F585">
        <f>_xlfn.XLOOKUP(Table1[[#This Row],[ProductID]],Products!A:A,Products!D:D,,0)</f>
        <v>140</v>
      </c>
      <c r="I585">
        <v>499</v>
      </c>
      <c r="J585">
        <v>499</v>
      </c>
      <c r="K585" t="s">
        <v>1102</v>
      </c>
      <c r="L585">
        <v>1996</v>
      </c>
      <c r="M585" t="s">
        <v>1098</v>
      </c>
      <c r="N585" t="s">
        <v>1099</v>
      </c>
      <c r="O585">
        <f>Table1[[#This Row],[Unit_Price]]*Table1[[#This Row],[Quantity]]</f>
        <v>560</v>
      </c>
    </row>
    <row r="586" spans="1:15" x14ac:dyDescent="0.3">
      <c r="A586" t="s">
        <v>2084</v>
      </c>
      <c r="B586" t="s">
        <v>2085</v>
      </c>
      <c r="C586" t="s">
        <v>875</v>
      </c>
      <c r="D586" t="s">
        <v>1059</v>
      </c>
      <c r="E586">
        <v>1</v>
      </c>
      <c r="F586">
        <f>_xlfn.XLOOKUP(Table1[[#This Row],[ProductID]],Products!A:A,Products!D:D,,0)</f>
        <v>110</v>
      </c>
      <c r="I586">
        <v>399</v>
      </c>
      <c r="J586">
        <v>359</v>
      </c>
      <c r="K586" t="s">
        <v>1107</v>
      </c>
      <c r="L586">
        <v>359</v>
      </c>
      <c r="M586" t="s">
        <v>1098</v>
      </c>
      <c r="N586" t="s">
        <v>1099</v>
      </c>
      <c r="O586">
        <f>Table1[[#This Row],[Unit_Price]]*Table1[[#This Row],[Quantity]]</f>
        <v>110</v>
      </c>
    </row>
    <row r="587" spans="1:15" x14ac:dyDescent="0.3">
      <c r="A587" t="s">
        <v>2086</v>
      </c>
      <c r="B587" t="s">
        <v>1985</v>
      </c>
      <c r="C587" t="s">
        <v>943</v>
      </c>
      <c r="D587" t="s">
        <v>1071</v>
      </c>
      <c r="E587">
        <v>1</v>
      </c>
      <c r="F587">
        <f>_xlfn.XLOOKUP(Table1[[#This Row],[ProductID]],Products!A:A,Products!D:D,,0)</f>
        <v>125</v>
      </c>
      <c r="I587">
        <v>399</v>
      </c>
      <c r="J587">
        <v>339</v>
      </c>
      <c r="K587" t="s">
        <v>1092</v>
      </c>
      <c r="L587">
        <v>339</v>
      </c>
      <c r="M587" t="s">
        <v>1098</v>
      </c>
      <c r="N587" t="s">
        <v>1099</v>
      </c>
      <c r="O587">
        <f>Table1[[#This Row],[Unit_Price]]*Table1[[#This Row],[Quantity]]</f>
        <v>125</v>
      </c>
    </row>
    <row r="588" spans="1:15" x14ac:dyDescent="0.3">
      <c r="A588" t="s">
        <v>2087</v>
      </c>
      <c r="B588" t="s">
        <v>1818</v>
      </c>
      <c r="C588" t="s">
        <v>487</v>
      </c>
      <c r="D588" t="s">
        <v>1059</v>
      </c>
      <c r="E588">
        <v>4</v>
      </c>
      <c r="F588">
        <f>_xlfn.XLOOKUP(Table1[[#This Row],[ProductID]],Products!A:A,Products!D:D,,0)</f>
        <v>110</v>
      </c>
      <c r="I588">
        <v>399</v>
      </c>
      <c r="J588">
        <v>399</v>
      </c>
      <c r="K588" t="s">
        <v>1102</v>
      </c>
      <c r="L588">
        <v>1596</v>
      </c>
      <c r="M588" t="s">
        <v>1093</v>
      </c>
      <c r="N588" t="s">
        <v>1099</v>
      </c>
      <c r="O588">
        <f>Table1[[#This Row],[Unit_Price]]*Table1[[#This Row],[Quantity]]</f>
        <v>440</v>
      </c>
    </row>
    <row r="589" spans="1:15" x14ac:dyDescent="0.3">
      <c r="A589" t="s">
        <v>2088</v>
      </c>
      <c r="B589" t="s">
        <v>1527</v>
      </c>
      <c r="C589" t="s">
        <v>114</v>
      </c>
      <c r="D589" t="s">
        <v>1057</v>
      </c>
      <c r="E589">
        <v>1</v>
      </c>
      <c r="F589">
        <f>_xlfn.XLOOKUP(Table1[[#This Row],[ProductID]],Products!A:A,Products!D:D,,0)</f>
        <v>130</v>
      </c>
      <c r="I589">
        <v>549</v>
      </c>
      <c r="J589">
        <v>494</v>
      </c>
      <c r="K589" t="s">
        <v>1107</v>
      </c>
      <c r="L589">
        <v>494</v>
      </c>
      <c r="M589" t="s">
        <v>1098</v>
      </c>
      <c r="N589" t="s">
        <v>1099</v>
      </c>
      <c r="O589">
        <f>Table1[[#This Row],[Unit_Price]]*Table1[[#This Row],[Quantity]]</f>
        <v>130</v>
      </c>
    </row>
    <row r="590" spans="1:15" x14ac:dyDescent="0.3">
      <c r="A590" t="s">
        <v>2089</v>
      </c>
      <c r="B590" t="s">
        <v>1202</v>
      </c>
      <c r="C590" t="s">
        <v>1019</v>
      </c>
      <c r="D590" t="s">
        <v>1064</v>
      </c>
      <c r="E590">
        <v>1</v>
      </c>
      <c r="F590">
        <f>_xlfn.XLOOKUP(Table1[[#This Row],[ProductID]],Products!A:A,Products!D:D,,0)</f>
        <v>160</v>
      </c>
      <c r="I590">
        <v>699</v>
      </c>
      <c r="J590">
        <v>629</v>
      </c>
      <c r="K590" t="s">
        <v>1107</v>
      </c>
      <c r="L590">
        <v>629</v>
      </c>
      <c r="M590" t="s">
        <v>1093</v>
      </c>
      <c r="N590" t="s">
        <v>1094</v>
      </c>
      <c r="O590">
        <f>Table1[[#This Row],[Unit_Price]]*Table1[[#This Row],[Quantity]]</f>
        <v>160</v>
      </c>
    </row>
    <row r="591" spans="1:15" x14ac:dyDescent="0.3">
      <c r="A591" t="s">
        <v>2090</v>
      </c>
      <c r="B591" t="s">
        <v>1909</v>
      </c>
      <c r="C591" t="s">
        <v>104</v>
      </c>
      <c r="D591" t="s">
        <v>1068</v>
      </c>
      <c r="E591">
        <v>1</v>
      </c>
      <c r="F591">
        <f>_xlfn.XLOOKUP(Table1[[#This Row],[ProductID]],Products!A:A,Products!D:D,,0)</f>
        <v>180</v>
      </c>
      <c r="I591">
        <v>449</v>
      </c>
      <c r="J591">
        <v>449</v>
      </c>
      <c r="K591" t="s">
        <v>1102</v>
      </c>
      <c r="L591">
        <v>449</v>
      </c>
      <c r="M591" t="s">
        <v>1093</v>
      </c>
      <c r="N591" t="s">
        <v>1099</v>
      </c>
      <c r="O591">
        <f>Table1[[#This Row],[Unit_Price]]*Table1[[#This Row],[Quantity]]</f>
        <v>180</v>
      </c>
    </row>
    <row r="592" spans="1:15" x14ac:dyDescent="0.3">
      <c r="A592" t="s">
        <v>2091</v>
      </c>
      <c r="B592" t="s">
        <v>2092</v>
      </c>
      <c r="C592" t="s">
        <v>661</v>
      </c>
      <c r="D592" t="s">
        <v>1064</v>
      </c>
      <c r="E592">
        <v>2</v>
      </c>
      <c r="F592">
        <f>_xlfn.XLOOKUP(Table1[[#This Row],[ProductID]],Products!A:A,Products!D:D,,0)</f>
        <v>160</v>
      </c>
      <c r="I592">
        <v>699</v>
      </c>
      <c r="J592">
        <v>594</v>
      </c>
      <c r="K592" t="s">
        <v>1092</v>
      </c>
      <c r="L592">
        <v>1188</v>
      </c>
      <c r="M592" t="s">
        <v>1098</v>
      </c>
      <c r="N592" t="s">
        <v>1099</v>
      </c>
      <c r="O592">
        <f>Table1[[#This Row],[Unit_Price]]*Table1[[#This Row],[Quantity]]</f>
        <v>320</v>
      </c>
    </row>
    <row r="593" spans="1:15" x14ac:dyDescent="0.3">
      <c r="A593" t="s">
        <v>2093</v>
      </c>
      <c r="B593" t="s">
        <v>1298</v>
      </c>
      <c r="C593" t="s">
        <v>553</v>
      </c>
      <c r="D593" t="s">
        <v>1073</v>
      </c>
      <c r="E593">
        <v>1</v>
      </c>
      <c r="F593">
        <f>_xlfn.XLOOKUP(Table1[[#This Row],[ProductID]],Products!A:A,Products!D:D,,0)</f>
        <v>100</v>
      </c>
      <c r="I593">
        <v>349</v>
      </c>
      <c r="J593">
        <v>297</v>
      </c>
      <c r="K593" t="s">
        <v>1092</v>
      </c>
      <c r="L593">
        <v>297</v>
      </c>
      <c r="M593" t="s">
        <v>1098</v>
      </c>
      <c r="N593" t="s">
        <v>1099</v>
      </c>
      <c r="O593">
        <f>Table1[[#This Row],[Unit_Price]]*Table1[[#This Row],[Quantity]]</f>
        <v>100</v>
      </c>
    </row>
    <row r="594" spans="1:15" x14ac:dyDescent="0.3">
      <c r="A594" t="s">
        <v>2094</v>
      </c>
      <c r="B594" t="s">
        <v>2095</v>
      </c>
      <c r="C594" t="s">
        <v>1015</v>
      </c>
      <c r="D594" t="s">
        <v>1053</v>
      </c>
      <c r="E594">
        <v>3</v>
      </c>
      <c r="F594">
        <f>_xlfn.XLOOKUP(Table1[[#This Row],[ProductID]],Products!A:A,Products!D:D,,0)</f>
        <v>200</v>
      </c>
      <c r="I594">
        <v>899</v>
      </c>
      <c r="J594">
        <v>809</v>
      </c>
      <c r="K594" t="s">
        <v>1107</v>
      </c>
      <c r="L594">
        <v>2427</v>
      </c>
      <c r="M594" t="s">
        <v>1093</v>
      </c>
      <c r="N594" t="s">
        <v>1099</v>
      </c>
      <c r="O594">
        <f>Table1[[#This Row],[Unit_Price]]*Table1[[#This Row],[Quantity]]</f>
        <v>600</v>
      </c>
    </row>
    <row r="595" spans="1:15" x14ac:dyDescent="0.3">
      <c r="A595" t="s">
        <v>2096</v>
      </c>
      <c r="B595" t="s">
        <v>1498</v>
      </c>
      <c r="C595" t="s">
        <v>245</v>
      </c>
      <c r="D595" t="s">
        <v>1064</v>
      </c>
      <c r="E595">
        <v>2</v>
      </c>
      <c r="F595">
        <f>_xlfn.XLOOKUP(Table1[[#This Row],[ProductID]],Products!A:A,Products!D:D,,0)</f>
        <v>160</v>
      </c>
      <c r="I595">
        <v>699</v>
      </c>
      <c r="J595">
        <v>699</v>
      </c>
      <c r="K595" t="s">
        <v>1102</v>
      </c>
      <c r="L595">
        <v>1398</v>
      </c>
      <c r="M595" t="s">
        <v>1098</v>
      </c>
      <c r="N595" t="s">
        <v>1099</v>
      </c>
      <c r="O595">
        <f>Table1[[#This Row],[Unit_Price]]*Table1[[#This Row],[Quantity]]</f>
        <v>320</v>
      </c>
    </row>
    <row r="596" spans="1:15" x14ac:dyDescent="0.3">
      <c r="A596" t="s">
        <v>2097</v>
      </c>
      <c r="B596" t="s">
        <v>2098</v>
      </c>
      <c r="C596" t="s">
        <v>611</v>
      </c>
      <c r="D596" t="s">
        <v>1055</v>
      </c>
      <c r="E596">
        <v>2</v>
      </c>
      <c r="F596">
        <f>_xlfn.XLOOKUP(Table1[[#This Row],[ProductID]],Products!A:A,Products!D:D,,0)</f>
        <v>75</v>
      </c>
      <c r="I596">
        <v>299</v>
      </c>
      <c r="J596">
        <v>269</v>
      </c>
      <c r="K596" t="s">
        <v>1107</v>
      </c>
      <c r="L596">
        <v>538</v>
      </c>
      <c r="M596" t="s">
        <v>1118</v>
      </c>
      <c r="N596" t="s">
        <v>1099</v>
      </c>
      <c r="O596">
        <f>Table1[[#This Row],[Unit_Price]]*Table1[[#This Row],[Quantity]]</f>
        <v>150</v>
      </c>
    </row>
    <row r="597" spans="1:15" x14ac:dyDescent="0.3">
      <c r="A597" t="s">
        <v>2099</v>
      </c>
      <c r="B597" t="s">
        <v>1561</v>
      </c>
      <c r="C597" t="s">
        <v>733</v>
      </c>
      <c r="D597" t="s">
        <v>1059</v>
      </c>
      <c r="E597">
        <v>1</v>
      </c>
      <c r="F597">
        <f>_xlfn.XLOOKUP(Table1[[#This Row],[ProductID]],Products!A:A,Products!D:D,,0)</f>
        <v>110</v>
      </c>
      <c r="I597">
        <v>399</v>
      </c>
      <c r="J597">
        <v>359</v>
      </c>
      <c r="K597" t="s">
        <v>1107</v>
      </c>
      <c r="L597">
        <v>359</v>
      </c>
      <c r="M597" t="s">
        <v>1098</v>
      </c>
      <c r="N597" t="s">
        <v>1094</v>
      </c>
      <c r="O597">
        <f>Table1[[#This Row],[Unit_Price]]*Table1[[#This Row],[Quantity]]</f>
        <v>110</v>
      </c>
    </row>
    <row r="598" spans="1:15" x14ac:dyDescent="0.3">
      <c r="A598" t="s">
        <v>2100</v>
      </c>
      <c r="B598" t="s">
        <v>1639</v>
      </c>
      <c r="C598" t="s">
        <v>162</v>
      </c>
      <c r="D598" t="s">
        <v>1059</v>
      </c>
      <c r="E598">
        <v>2</v>
      </c>
      <c r="F598">
        <f>_xlfn.XLOOKUP(Table1[[#This Row],[ProductID]],Products!A:A,Products!D:D,,0)</f>
        <v>110</v>
      </c>
      <c r="I598">
        <v>399</v>
      </c>
      <c r="J598">
        <v>339</v>
      </c>
      <c r="K598" t="s">
        <v>1092</v>
      </c>
      <c r="L598">
        <v>678</v>
      </c>
      <c r="M598" t="s">
        <v>1093</v>
      </c>
      <c r="N598" t="s">
        <v>1094</v>
      </c>
      <c r="O598">
        <f>Table1[[#This Row],[Unit_Price]]*Table1[[#This Row],[Quantity]]</f>
        <v>220</v>
      </c>
    </row>
    <row r="599" spans="1:15" x14ac:dyDescent="0.3">
      <c r="A599" t="s">
        <v>2101</v>
      </c>
      <c r="B599" t="s">
        <v>2102</v>
      </c>
      <c r="C599" t="s">
        <v>1007</v>
      </c>
      <c r="D599" t="s">
        <v>1055</v>
      </c>
      <c r="E599">
        <v>4</v>
      </c>
      <c r="F599">
        <f>_xlfn.XLOOKUP(Table1[[#This Row],[ProductID]],Products!A:A,Products!D:D,,0)</f>
        <v>75</v>
      </c>
      <c r="I599">
        <v>299</v>
      </c>
      <c r="J599">
        <v>299</v>
      </c>
      <c r="K599" t="s">
        <v>1102</v>
      </c>
      <c r="L599">
        <v>1196</v>
      </c>
      <c r="M599" t="s">
        <v>1098</v>
      </c>
      <c r="N599" t="s">
        <v>1099</v>
      </c>
      <c r="O599">
        <f>Table1[[#This Row],[Unit_Price]]*Table1[[#This Row],[Quantity]]</f>
        <v>300</v>
      </c>
    </row>
    <row r="600" spans="1:15" x14ac:dyDescent="0.3">
      <c r="A600" t="s">
        <v>2103</v>
      </c>
      <c r="B600" t="s">
        <v>1561</v>
      </c>
      <c r="C600" t="s">
        <v>647</v>
      </c>
      <c r="D600" t="s">
        <v>1048</v>
      </c>
      <c r="E600">
        <v>1</v>
      </c>
      <c r="F600">
        <f>_xlfn.XLOOKUP(Table1[[#This Row],[ProductID]],Products!A:A,Products!D:D,,0)</f>
        <v>120</v>
      </c>
      <c r="I600">
        <v>599</v>
      </c>
      <c r="J600">
        <v>509</v>
      </c>
      <c r="K600" t="s">
        <v>1092</v>
      </c>
      <c r="L600">
        <v>509</v>
      </c>
      <c r="M600" t="s">
        <v>1093</v>
      </c>
      <c r="N600" t="s">
        <v>1123</v>
      </c>
      <c r="O600">
        <f>Table1[[#This Row],[Unit_Price]]*Table1[[#This Row],[Quantity]]</f>
        <v>120</v>
      </c>
    </row>
    <row r="601" spans="1:15" x14ac:dyDescent="0.3">
      <c r="A601" t="s">
        <v>2104</v>
      </c>
      <c r="B601" t="s">
        <v>1198</v>
      </c>
      <c r="C601" t="s">
        <v>613</v>
      </c>
      <c r="D601" t="s">
        <v>1064</v>
      </c>
      <c r="E601">
        <v>1</v>
      </c>
      <c r="F601">
        <f>_xlfn.XLOOKUP(Table1[[#This Row],[ProductID]],Products!A:A,Products!D:D,,0)</f>
        <v>160</v>
      </c>
      <c r="I601">
        <v>699</v>
      </c>
      <c r="J601">
        <v>594</v>
      </c>
      <c r="K601" t="s">
        <v>1092</v>
      </c>
      <c r="L601">
        <v>594</v>
      </c>
      <c r="M601" t="s">
        <v>1093</v>
      </c>
      <c r="N601" t="s">
        <v>1099</v>
      </c>
      <c r="O601">
        <f>Table1[[#This Row],[Unit_Price]]*Table1[[#This Row],[Quantity]]</f>
        <v>160</v>
      </c>
    </row>
    <row r="602" spans="1:15" x14ac:dyDescent="0.3">
      <c r="A602" t="s">
        <v>2105</v>
      </c>
      <c r="B602" t="s">
        <v>2106</v>
      </c>
      <c r="C602" t="s">
        <v>497</v>
      </c>
      <c r="D602" t="s">
        <v>1051</v>
      </c>
      <c r="E602">
        <v>3</v>
      </c>
      <c r="F602">
        <f>_xlfn.XLOOKUP(Table1[[#This Row],[ProductID]],Products!A:A,Products!D:D,,0)</f>
        <v>150</v>
      </c>
      <c r="I602">
        <v>499</v>
      </c>
      <c r="J602">
        <v>449</v>
      </c>
      <c r="K602" t="s">
        <v>1107</v>
      </c>
      <c r="L602">
        <v>1347</v>
      </c>
      <c r="M602" t="s">
        <v>1093</v>
      </c>
      <c r="N602" t="s">
        <v>1094</v>
      </c>
      <c r="O602">
        <f>Table1[[#This Row],[Unit_Price]]*Table1[[#This Row],[Quantity]]</f>
        <v>450</v>
      </c>
    </row>
    <row r="603" spans="1:15" x14ac:dyDescent="0.3">
      <c r="A603" t="s">
        <v>2107</v>
      </c>
      <c r="B603" t="s">
        <v>1292</v>
      </c>
      <c r="C603" t="s">
        <v>1021</v>
      </c>
      <c r="D603" t="s">
        <v>1051</v>
      </c>
      <c r="E603">
        <v>1</v>
      </c>
      <c r="F603">
        <f>_xlfn.XLOOKUP(Table1[[#This Row],[ProductID]],Products!A:A,Products!D:D,,0)</f>
        <v>150</v>
      </c>
      <c r="I603">
        <v>499</v>
      </c>
      <c r="J603">
        <v>399</v>
      </c>
      <c r="K603" t="s">
        <v>1097</v>
      </c>
      <c r="L603">
        <v>399</v>
      </c>
      <c r="M603" t="s">
        <v>1098</v>
      </c>
      <c r="N603" t="s">
        <v>1099</v>
      </c>
      <c r="O603">
        <f>Table1[[#This Row],[Unit_Price]]*Table1[[#This Row],[Quantity]]</f>
        <v>150</v>
      </c>
    </row>
    <row r="604" spans="1:15" x14ac:dyDescent="0.3">
      <c r="A604" t="s">
        <v>2108</v>
      </c>
      <c r="B604" t="s">
        <v>2109</v>
      </c>
      <c r="C604" t="s">
        <v>779</v>
      </c>
      <c r="D604" t="s">
        <v>1057</v>
      </c>
      <c r="E604">
        <v>2</v>
      </c>
      <c r="F604">
        <f>_xlfn.XLOOKUP(Table1[[#This Row],[ProductID]],Products!A:A,Products!D:D,,0)</f>
        <v>130</v>
      </c>
      <c r="I604">
        <v>549</v>
      </c>
      <c r="J604">
        <v>494</v>
      </c>
      <c r="K604" t="s">
        <v>1107</v>
      </c>
      <c r="L604">
        <v>988</v>
      </c>
      <c r="M604" t="s">
        <v>1098</v>
      </c>
      <c r="N604" t="s">
        <v>1099</v>
      </c>
      <c r="O604">
        <f>Table1[[#This Row],[Unit_Price]]*Table1[[#This Row],[Quantity]]</f>
        <v>260</v>
      </c>
    </row>
    <row r="605" spans="1:15" x14ac:dyDescent="0.3">
      <c r="A605" t="s">
        <v>2110</v>
      </c>
      <c r="B605" t="s">
        <v>1258</v>
      </c>
      <c r="C605" t="s">
        <v>959</v>
      </c>
      <c r="D605" t="s">
        <v>1071</v>
      </c>
      <c r="E605">
        <v>2</v>
      </c>
      <c r="F605">
        <f>_xlfn.XLOOKUP(Table1[[#This Row],[ProductID]],Products!A:A,Products!D:D,,0)</f>
        <v>125</v>
      </c>
      <c r="I605">
        <v>399</v>
      </c>
      <c r="J605">
        <v>339</v>
      </c>
      <c r="K605" t="s">
        <v>1092</v>
      </c>
      <c r="L605">
        <v>678</v>
      </c>
      <c r="M605" t="s">
        <v>1093</v>
      </c>
      <c r="N605" t="s">
        <v>1099</v>
      </c>
      <c r="O605">
        <f>Table1[[#This Row],[Unit_Price]]*Table1[[#This Row],[Quantity]]</f>
        <v>250</v>
      </c>
    </row>
    <row r="606" spans="1:15" x14ac:dyDescent="0.3">
      <c r="A606" t="s">
        <v>2111</v>
      </c>
      <c r="B606" t="s">
        <v>2112</v>
      </c>
      <c r="C606" t="s">
        <v>569</v>
      </c>
      <c r="D606" t="s">
        <v>1078</v>
      </c>
      <c r="E606">
        <v>4</v>
      </c>
      <c r="F606">
        <f>_xlfn.XLOOKUP(Table1[[#This Row],[ProductID]],Products!A:A,Products!D:D,,0)</f>
        <v>80</v>
      </c>
      <c r="I606">
        <v>499</v>
      </c>
      <c r="J606">
        <v>424</v>
      </c>
      <c r="K606" t="s">
        <v>1092</v>
      </c>
      <c r="L606">
        <v>1696</v>
      </c>
      <c r="M606" t="s">
        <v>1093</v>
      </c>
      <c r="N606" t="s">
        <v>1094</v>
      </c>
      <c r="O606">
        <f>Table1[[#This Row],[Unit_Price]]*Table1[[#This Row],[Quantity]]</f>
        <v>320</v>
      </c>
    </row>
    <row r="607" spans="1:15" x14ac:dyDescent="0.3">
      <c r="A607" t="s">
        <v>2113</v>
      </c>
      <c r="B607" t="s">
        <v>1396</v>
      </c>
      <c r="C607" t="s">
        <v>199</v>
      </c>
      <c r="D607" t="s">
        <v>1080</v>
      </c>
      <c r="E607">
        <v>1</v>
      </c>
      <c r="F607">
        <f>_xlfn.XLOOKUP(Table1[[#This Row],[ProductID]],Products!A:A,Products!D:D,,0)</f>
        <v>45</v>
      </c>
      <c r="I607">
        <v>249</v>
      </c>
      <c r="J607">
        <v>249</v>
      </c>
      <c r="K607" t="s">
        <v>1102</v>
      </c>
      <c r="L607">
        <v>249</v>
      </c>
      <c r="M607" t="s">
        <v>1093</v>
      </c>
      <c r="N607" t="s">
        <v>1094</v>
      </c>
      <c r="O607">
        <f>Table1[[#This Row],[Unit_Price]]*Table1[[#This Row],[Quantity]]</f>
        <v>45</v>
      </c>
    </row>
    <row r="608" spans="1:15" x14ac:dyDescent="0.3">
      <c r="A608" t="s">
        <v>2114</v>
      </c>
      <c r="B608" t="s">
        <v>1122</v>
      </c>
      <c r="C608" t="s">
        <v>18</v>
      </c>
      <c r="D608" t="s">
        <v>1059</v>
      </c>
      <c r="E608">
        <v>2</v>
      </c>
      <c r="F608">
        <f>_xlfn.XLOOKUP(Table1[[#This Row],[ProductID]],Products!A:A,Products!D:D,,0)</f>
        <v>110</v>
      </c>
      <c r="I608">
        <v>399</v>
      </c>
      <c r="J608">
        <v>339</v>
      </c>
      <c r="K608" t="s">
        <v>1092</v>
      </c>
      <c r="L608">
        <v>678</v>
      </c>
      <c r="M608" t="s">
        <v>1093</v>
      </c>
      <c r="N608" t="s">
        <v>1099</v>
      </c>
      <c r="O608">
        <f>Table1[[#This Row],[Unit_Price]]*Table1[[#This Row],[Quantity]]</f>
        <v>220</v>
      </c>
    </row>
    <row r="609" spans="1:15" x14ac:dyDescent="0.3">
      <c r="A609" t="s">
        <v>2115</v>
      </c>
      <c r="B609" t="s">
        <v>2116</v>
      </c>
      <c r="C609" t="s">
        <v>587</v>
      </c>
      <c r="D609" t="s">
        <v>1059</v>
      </c>
      <c r="E609">
        <v>4</v>
      </c>
      <c r="F609">
        <f>_xlfn.XLOOKUP(Table1[[#This Row],[ProductID]],Products!A:A,Products!D:D,,0)</f>
        <v>110</v>
      </c>
      <c r="I609">
        <v>399</v>
      </c>
      <c r="J609">
        <v>359</v>
      </c>
      <c r="K609" t="s">
        <v>1107</v>
      </c>
      <c r="L609">
        <v>1436</v>
      </c>
      <c r="M609" t="s">
        <v>1093</v>
      </c>
      <c r="N609" t="s">
        <v>1099</v>
      </c>
      <c r="O609">
        <f>Table1[[#This Row],[Unit_Price]]*Table1[[#This Row],[Quantity]]</f>
        <v>440</v>
      </c>
    </row>
    <row r="610" spans="1:15" x14ac:dyDescent="0.3">
      <c r="A610" t="s">
        <v>2117</v>
      </c>
      <c r="B610" t="s">
        <v>1164</v>
      </c>
      <c r="C610" t="s">
        <v>605</v>
      </c>
      <c r="D610" t="s">
        <v>1055</v>
      </c>
      <c r="E610">
        <v>1</v>
      </c>
      <c r="F610">
        <f>_xlfn.XLOOKUP(Table1[[#This Row],[ProductID]],Products!A:A,Products!D:D,,0)</f>
        <v>75</v>
      </c>
      <c r="I610">
        <v>299</v>
      </c>
      <c r="J610">
        <v>269</v>
      </c>
      <c r="K610" t="s">
        <v>1107</v>
      </c>
      <c r="L610">
        <v>269</v>
      </c>
      <c r="M610" t="s">
        <v>1098</v>
      </c>
      <c r="N610" t="s">
        <v>1099</v>
      </c>
      <c r="O610">
        <f>Table1[[#This Row],[Unit_Price]]*Table1[[#This Row],[Quantity]]</f>
        <v>75</v>
      </c>
    </row>
    <row r="611" spans="1:15" x14ac:dyDescent="0.3">
      <c r="A611" t="s">
        <v>2118</v>
      </c>
      <c r="B611" t="s">
        <v>2119</v>
      </c>
      <c r="C611" t="s">
        <v>541</v>
      </c>
      <c r="D611" t="s">
        <v>1062</v>
      </c>
      <c r="E611">
        <v>2</v>
      </c>
      <c r="F611">
        <f>_xlfn.XLOOKUP(Table1[[#This Row],[ProductID]],Products!A:A,Products!D:D,,0)</f>
        <v>95</v>
      </c>
      <c r="I611">
        <v>349</v>
      </c>
      <c r="J611">
        <v>314</v>
      </c>
      <c r="K611" t="s">
        <v>1107</v>
      </c>
      <c r="L611">
        <v>628</v>
      </c>
      <c r="M611" t="s">
        <v>1126</v>
      </c>
      <c r="N611" t="s">
        <v>1099</v>
      </c>
      <c r="O611">
        <f>Table1[[#This Row],[Unit_Price]]*Table1[[#This Row],[Quantity]]</f>
        <v>190</v>
      </c>
    </row>
    <row r="612" spans="1:15" x14ac:dyDescent="0.3">
      <c r="A612" t="s">
        <v>2120</v>
      </c>
      <c r="B612" t="s">
        <v>1543</v>
      </c>
      <c r="C612" t="s">
        <v>819</v>
      </c>
      <c r="D612" t="s">
        <v>1071</v>
      </c>
      <c r="E612">
        <v>1</v>
      </c>
      <c r="F612">
        <f>_xlfn.XLOOKUP(Table1[[#This Row],[ProductID]],Products!A:A,Products!D:D,,0)</f>
        <v>125</v>
      </c>
      <c r="I612">
        <v>399</v>
      </c>
      <c r="J612">
        <v>359</v>
      </c>
      <c r="K612" t="s">
        <v>1107</v>
      </c>
      <c r="L612">
        <v>359</v>
      </c>
      <c r="M612" t="s">
        <v>1126</v>
      </c>
      <c r="N612" t="s">
        <v>1099</v>
      </c>
      <c r="O612">
        <f>Table1[[#This Row],[Unit_Price]]*Table1[[#This Row],[Quantity]]</f>
        <v>125</v>
      </c>
    </row>
    <row r="613" spans="1:15" x14ac:dyDescent="0.3">
      <c r="A613" t="s">
        <v>2121</v>
      </c>
      <c r="B613" t="s">
        <v>1345</v>
      </c>
      <c r="C613" t="s">
        <v>749</v>
      </c>
      <c r="D613" t="s">
        <v>1055</v>
      </c>
      <c r="E613">
        <v>1</v>
      </c>
      <c r="F613">
        <f>_xlfn.XLOOKUP(Table1[[#This Row],[ProductID]],Products!A:A,Products!D:D,,0)</f>
        <v>75</v>
      </c>
      <c r="I613">
        <v>299</v>
      </c>
      <c r="J613">
        <v>299</v>
      </c>
      <c r="K613" t="s">
        <v>1102</v>
      </c>
      <c r="L613">
        <v>299</v>
      </c>
      <c r="M613" t="s">
        <v>1098</v>
      </c>
      <c r="N613" t="s">
        <v>1099</v>
      </c>
      <c r="O613">
        <f>Table1[[#This Row],[Unit_Price]]*Table1[[#This Row],[Quantity]]</f>
        <v>75</v>
      </c>
    </row>
    <row r="614" spans="1:15" x14ac:dyDescent="0.3">
      <c r="A614" t="s">
        <v>2122</v>
      </c>
      <c r="B614" t="s">
        <v>2012</v>
      </c>
      <c r="C614" t="s">
        <v>313</v>
      </c>
      <c r="D614" t="s">
        <v>1078</v>
      </c>
      <c r="E614">
        <v>1</v>
      </c>
      <c r="F614">
        <f>_xlfn.XLOOKUP(Table1[[#This Row],[ProductID]],Products!A:A,Products!D:D,,0)</f>
        <v>80</v>
      </c>
      <c r="I614">
        <v>499</v>
      </c>
      <c r="J614">
        <v>499</v>
      </c>
      <c r="K614" t="s">
        <v>1102</v>
      </c>
      <c r="L614">
        <v>499</v>
      </c>
      <c r="M614" t="s">
        <v>1093</v>
      </c>
      <c r="N614" t="s">
        <v>1099</v>
      </c>
      <c r="O614">
        <f>Table1[[#This Row],[Unit_Price]]*Table1[[#This Row],[Quantity]]</f>
        <v>80</v>
      </c>
    </row>
    <row r="615" spans="1:15" x14ac:dyDescent="0.3">
      <c r="A615" t="s">
        <v>2123</v>
      </c>
      <c r="B615" t="s">
        <v>2124</v>
      </c>
      <c r="C615" t="s">
        <v>14</v>
      </c>
      <c r="D615" t="s">
        <v>1078</v>
      </c>
      <c r="E615">
        <v>1</v>
      </c>
      <c r="F615">
        <f>_xlfn.XLOOKUP(Table1[[#This Row],[ProductID]],Products!A:A,Products!D:D,,0)</f>
        <v>80</v>
      </c>
      <c r="I615">
        <v>499</v>
      </c>
      <c r="J615">
        <v>499</v>
      </c>
      <c r="K615" t="s">
        <v>1102</v>
      </c>
      <c r="L615">
        <v>499</v>
      </c>
      <c r="M615" t="s">
        <v>1098</v>
      </c>
      <c r="N615" t="s">
        <v>1099</v>
      </c>
      <c r="O615">
        <f>Table1[[#This Row],[Unit_Price]]*Table1[[#This Row],[Quantity]]</f>
        <v>80</v>
      </c>
    </row>
    <row r="616" spans="1:15" x14ac:dyDescent="0.3">
      <c r="A616" t="s">
        <v>2125</v>
      </c>
      <c r="B616" t="s">
        <v>1738</v>
      </c>
      <c r="C616" t="s">
        <v>845</v>
      </c>
      <c r="D616" t="s">
        <v>1062</v>
      </c>
      <c r="E616">
        <v>2</v>
      </c>
      <c r="F616">
        <f>_xlfn.XLOOKUP(Table1[[#This Row],[ProductID]],Products!A:A,Products!D:D,,0)</f>
        <v>95</v>
      </c>
      <c r="I616">
        <v>349</v>
      </c>
      <c r="J616">
        <v>314</v>
      </c>
      <c r="K616" t="s">
        <v>1107</v>
      </c>
      <c r="L616">
        <v>628</v>
      </c>
      <c r="M616" t="s">
        <v>1126</v>
      </c>
      <c r="N616" t="s">
        <v>1099</v>
      </c>
      <c r="O616">
        <f>Table1[[#This Row],[Unit_Price]]*Table1[[#This Row],[Quantity]]</f>
        <v>190</v>
      </c>
    </row>
    <row r="617" spans="1:15" x14ac:dyDescent="0.3">
      <c r="A617" t="s">
        <v>2126</v>
      </c>
      <c r="B617" t="s">
        <v>2021</v>
      </c>
      <c r="C617" t="s">
        <v>981</v>
      </c>
      <c r="D617" t="s">
        <v>1073</v>
      </c>
      <c r="E617">
        <v>3</v>
      </c>
      <c r="F617">
        <f>_xlfn.XLOOKUP(Table1[[#This Row],[ProductID]],Products!A:A,Products!D:D,,0)</f>
        <v>100</v>
      </c>
      <c r="I617">
        <v>349</v>
      </c>
      <c r="J617">
        <v>314</v>
      </c>
      <c r="K617" t="s">
        <v>1107</v>
      </c>
      <c r="L617">
        <v>942</v>
      </c>
      <c r="M617" t="s">
        <v>1098</v>
      </c>
      <c r="N617" t="s">
        <v>1123</v>
      </c>
      <c r="O617">
        <f>Table1[[#This Row],[Unit_Price]]*Table1[[#This Row],[Quantity]]</f>
        <v>300</v>
      </c>
    </row>
    <row r="618" spans="1:15" x14ac:dyDescent="0.3">
      <c r="A618" t="s">
        <v>2127</v>
      </c>
      <c r="B618" t="s">
        <v>1853</v>
      </c>
      <c r="C618" t="s">
        <v>705</v>
      </c>
      <c r="D618" t="s">
        <v>1075</v>
      </c>
      <c r="E618">
        <v>1</v>
      </c>
      <c r="F618">
        <f>_xlfn.XLOOKUP(Table1[[#This Row],[ProductID]],Products!A:A,Products!D:D,,0)</f>
        <v>80</v>
      </c>
      <c r="I618">
        <v>499</v>
      </c>
      <c r="J618">
        <v>499</v>
      </c>
      <c r="K618" t="s">
        <v>1102</v>
      </c>
      <c r="L618">
        <v>499</v>
      </c>
      <c r="M618" t="s">
        <v>1098</v>
      </c>
      <c r="N618" t="s">
        <v>1099</v>
      </c>
      <c r="O618">
        <f>Table1[[#This Row],[Unit_Price]]*Table1[[#This Row],[Quantity]]</f>
        <v>80</v>
      </c>
    </row>
    <row r="619" spans="1:15" x14ac:dyDescent="0.3">
      <c r="A619" t="s">
        <v>2128</v>
      </c>
      <c r="B619" t="s">
        <v>1963</v>
      </c>
      <c r="C619" t="s">
        <v>661</v>
      </c>
      <c r="D619" t="s">
        <v>1051</v>
      </c>
      <c r="E619">
        <v>1</v>
      </c>
      <c r="F619">
        <f>_xlfn.XLOOKUP(Table1[[#This Row],[ProductID]],Products!A:A,Products!D:D,,0)</f>
        <v>150</v>
      </c>
      <c r="I619">
        <v>499</v>
      </c>
      <c r="J619">
        <v>399</v>
      </c>
      <c r="K619" t="s">
        <v>1097</v>
      </c>
      <c r="L619">
        <v>399</v>
      </c>
      <c r="M619" t="s">
        <v>1098</v>
      </c>
      <c r="N619" t="s">
        <v>1099</v>
      </c>
      <c r="O619">
        <f>Table1[[#This Row],[Unit_Price]]*Table1[[#This Row],[Quantity]]</f>
        <v>150</v>
      </c>
    </row>
    <row r="620" spans="1:15" x14ac:dyDescent="0.3">
      <c r="A620" t="s">
        <v>2129</v>
      </c>
      <c r="B620" t="s">
        <v>2130</v>
      </c>
      <c r="C620" t="s">
        <v>219</v>
      </c>
      <c r="D620" t="s">
        <v>1055</v>
      </c>
      <c r="E620">
        <v>2</v>
      </c>
      <c r="F620">
        <f>_xlfn.XLOOKUP(Table1[[#This Row],[ProductID]],Products!A:A,Products!D:D,,0)</f>
        <v>75</v>
      </c>
      <c r="I620">
        <v>299</v>
      </c>
      <c r="J620">
        <v>299</v>
      </c>
      <c r="K620" t="s">
        <v>1102</v>
      </c>
      <c r="L620">
        <v>598</v>
      </c>
      <c r="M620" t="s">
        <v>1093</v>
      </c>
      <c r="N620" t="s">
        <v>1099</v>
      </c>
      <c r="O620">
        <f>Table1[[#This Row],[Unit_Price]]*Table1[[#This Row],[Quantity]]</f>
        <v>150</v>
      </c>
    </row>
    <row r="621" spans="1:15" x14ac:dyDescent="0.3">
      <c r="A621" t="s">
        <v>2131</v>
      </c>
      <c r="B621" t="s">
        <v>2132</v>
      </c>
      <c r="C621" t="s">
        <v>511</v>
      </c>
      <c r="D621" t="s">
        <v>1048</v>
      </c>
      <c r="E621">
        <v>1</v>
      </c>
      <c r="F621">
        <f>_xlfn.XLOOKUP(Table1[[#This Row],[ProductID]],Products!A:A,Products!D:D,,0)</f>
        <v>120</v>
      </c>
      <c r="I621">
        <v>599</v>
      </c>
      <c r="J621">
        <v>599</v>
      </c>
      <c r="K621" t="s">
        <v>1102</v>
      </c>
      <c r="L621">
        <v>599</v>
      </c>
      <c r="M621" t="s">
        <v>1126</v>
      </c>
      <c r="N621" t="s">
        <v>1099</v>
      </c>
      <c r="O621">
        <f>Table1[[#This Row],[Unit_Price]]*Table1[[#This Row],[Quantity]]</f>
        <v>120</v>
      </c>
    </row>
    <row r="622" spans="1:15" x14ac:dyDescent="0.3">
      <c r="A622" t="s">
        <v>2133</v>
      </c>
      <c r="B622" t="s">
        <v>1500</v>
      </c>
      <c r="C622" t="s">
        <v>337</v>
      </c>
      <c r="D622" t="s">
        <v>1066</v>
      </c>
      <c r="E622">
        <v>1</v>
      </c>
      <c r="F622">
        <f>_xlfn.XLOOKUP(Table1[[#This Row],[ProductID]],Products!A:A,Products!D:D,,0)</f>
        <v>140</v>
      </c>
      <c r="I622">
        <v>499</v>
      </c>
      <c r="J622">
        <v>449</v>
      </c>
      <c r="K622" t="s">
        <v>1107</v>
      </c>
      <c r="L622">
        <v>449</v>
      </c>
      <c r="M622" t="s">
        <v>1093</v>
      </c>
      <c r="N622" t="s">
        <v>1123</v>
      </c>
      <c r="O622">
        <f>Table1[[#This Row],[Unit_Price]]*Table1[[#This Row],[Quantity]]</f>
        <v>140</v>
      </c>
    </row>
    <row r="623" spans="1:15" x14ac:dyDescent="0.3">
      <c r="A623" t="s">
        <v>2134</v>
      </c>
      <c r="B623" t="s">
        <v>2135</v>
      </c>
      <c r="C623" t="s">
        <v>921</v>
      </c>
      <c r="D623" t="s">
        <v>1062</v>
      </c>
      <c r="E623">
        <v>1</v>
      </c>
      <c r="F623">
        <f>_xlfn.XLOOKUP(Table1[[#This Row],[ProductID]],Products!A:A,Products!D:D,,0)</f>
        <v>95</v>
      </c>
      <c r="I623">
        <v>349</v>
      </c>
      <c r="J623">
        <v>349</v>
      </c>
      <c r="K623" t="s">
        <v>1102</v>
      </c>
      <c r="L623">
        <v>349</v>
      </c>
      <c r="M623" t="s">
        <v>1093</v>
      </c>
      <c r="N623" t="s">
        <v>1123</v>
      </c>
      <c r="O623">
        <f>Table1[[#This Row],[Unit_Price]]*Table1[[#This Row],[Quantity]]</f>
        <v>95</v>
      </c>
    </row>
    <row r="624" spans="1:15" x14ac:dyDescent="0.3">
      <c r="A624" t="s">
        <v>2136</v>
      </c>
      <c r="B624" t="s">
        <v>2137</v>
      </c>
      <c r="C624" t="s">
        <v>47</v>
      </c>
      <c r="D624" t="s">
        <v>1075</v>
      </c>
      <c r="E624">
        <v>1</v>
      </c>
      <c r="F624">
        <f>_xlfn.XLOOKUP(Table1[[#This Row],[ProductID]],Products!A:A,Products!D:D,,0)</f>
        <v>80</v>
      </c>
      <c r="I624">
        <v>499</v>
      </c>
      <c r="J624">
        <v>399</v>
      </c>
      <c r="K624" t="s">
        <v>1097</v>
      </c>
      <c r="L624">
        <v>399</v>
      </c>
      <c r="M624" t="s">
        <v>1093</v>
      </c>
      <c r="N624" t="s">
        <v>1099</v>
      </c>
      <c r="O624">
        <f>Table1[[#This Row],[Unit_Price]]*Table1[[#This Row],[Quantity]]</f>
        <v>80</v>
      </c>
    </row>
    <row r="625" spans="1:15" x14ac:dyDescent="0.3">
      <c r="A625" t="s">
        <v>2138</v>
      </c>
      <c r="B625" t="s">
        <v>2139</v>
      </c>
      <c r="C625" t="s">
        <v>967</v>
      </c>
      <c r="D625" t="s">
        <v>1078</v>
      </c>
      <c r="E625">
        <v>2</v>
      </c>
      <c r="F625">
        <f>_xlfn.XLOOKUP(Table1[[#This Row],[ProductID]],Products!A:A,Products!D:D,,0)</f>
        <v>80</v>
      </c>
      <c r="I625">
        <v>499</v>
      </c>
      <c r="J625">
        <v>499</v>
      </c>
      <c r="K625" t="s">
        <v>1102</v>
      </c>
      <c r="L625">
        <v>998</v>
      </c>
      <c r="M625" t="s">
        <v>1093</v>
      </c>
      <c r="N625" t="s">
        <v>1094</v>
      </c>
      <c r="O625">
        <f>Table1[[#This Row],[Unit_Price]]*Table1[[#This Row],[Quantity]]</f>
        <v>160</v>
      </c>
    </row>
    <row r="626" spans="1:15" x14ac:dyDescent="0.3">
      <c r="A626" t="s">
        <v>2140</v>
      </c>
      <c r="B626" t="s">
        <v>1205</v>
      </c>
      <c r="C626" t="s">
        <v>975</v>
      </c>
      <c r="D626" t="s">
        <v>1048</v>
      </c>
      <c r="E626">
        <v>1</v>
      </c>
      <c r="F626">
        <f>_xlfn.XLOOKUP(Table1[[#This Row],[ProductID]],Products!A:A,Products!D:D,,0)</f>
        <v>120</v>
      </c>
      <c r="I626">
        <v>599</v>
      </c>
      <c r="J626">
        <v>599</v>
      </c>
      <c r="K626" t="s">
        <v>1102</v>
      </c>
      <c r="L626">
        <v>599</v>
      </c>
      <c r="M626" t="s">
        <v>1093</v>
      </c>
      <c r="N626" t="s">
        <v>1099</v>
      </c>
      <c r="O626">
        <f>Table1[[#This Row],[Unit_Price]]*Table1[[#This Row],[Quantity]]</f>
        <v>120</v>
      </c>
    </row>
    <row r="627" spans="1:15" x14ac:dyDescent="0.3">
      <c r="A627" t="s">
        <v>2141</v>
      </c>
      <c r="B627" t="s">
        <v>1298</v>
      </c>
      <c r="C627" t="s">
        <v>683</v>
      </c>
      <c r="D627" t="s">
        <v>1051</v>
      </c>
      <c r="E627">
        <v>1</v>
      </c>
      <c r="F627">
        <f>_xlfn.XLOOKUP(Table1[[#This Row],[ProductID]],Products!A:A,Products!D:D,,0)</f>
        <v>150</v>
      </c>
      <c r="I627">
        <v>499</v>
      </c>
      <c r="J627">
        <v>449</v>
      </c>
      <c r="K627" t="s">
        <v>1107</v>
      </c>
      <c r="L627">
        <v>449</v>
      </c>
      <c r="M627" t="s">
        <v>1093</v>
      </c>
      <c r="N627" t="s">
        <v>1094</v>
      </c>
      <c r="O627">
        <f>Table1[[#This Row],[Unit_Price]]*Table1[[#This Row],[Quantity]]</f>
        <v>150</v>
      </c>
    </row>
    <row r="628" spans="1:15" x14ac:dyDescent="0.3">
      <c r="A628" t="s">
        <v>2142</v>
      </c>
      <c r="B628" t="s">
        <v>1517</v>
      </c>
      <c r="C628" t="s">
        <v>183</v>
      </c>
      <c r="D628" t="s">
        <v>1068</v>
      </c>
      <c r="E628">
        <v>3</v>
      </c>
      <c r="F628">
        <f>_xlfn.XLOOKUP(Table1[[#This Row],[ProductID]],Products!A:A,Products!D:D,,0)</f>
        <v>180</v>
      </c>
      <c r="I628">
        <v>449</v>
      </c>
      <c r="J628">
        <v>404</v>
      </c>
      <c r="K628" t="s">
        <v>1107</v>
      </c>
      <c r="L628">
        <v>1212</v>
      </c>
      <c r="M628" t="s">
        <v>1093</v>
      </c>
      <c r="N628" t="s">
        <v>1099</v>
      </c>
      <c r="O628">
        <f>Table1[[#This Row],[Unit_Price]]*Table1[[#This Row],[Quantity]]</f>
        <v>540</v>
      </c>
    </row>
    <row r="629" spans="1:15" x14ac:dyDescent="0.3">
      <c r="A629" t="s">
        <v>2143</v>
      </c>
      <c r="B629" t="s">
        <v>1956</v>
      </c>
      <c r="C629" t="s">
        <v>691</v>
      </c>
      <c r="D629" t="s">
        <v>1051</v>
      </c>
      <c r="E629">
        <v>2</v>
      </c>
      <c r="F629">
        <f>_xlfn.XLOOKUP(Table1[[#This Row],[ProductID]],Products!A:A,Products!D:D,,0)</f>
        <v>150</v>
      </c>
      <c r="I629">
        <v>499</v>
      </c>
      <c r="J629">
        <v>424</v>
      </c>
      <c r="K629" t="s">
        <v>1092</v>
      </c>
      <c r="L629">
        <v>848</v>
      </c>
      <c r="M629" t="s">
        <v>1093</v>
      </c>
      <c r="N629" t="s">
        <v>1099</v>
      </c>
      <c r="O629">
        <f>Table1[[#This Row],[Unit_Price]]*Table1[[#This Row],[Quantity]]</f>
        <v>300</v>
      </c>
    </row>
    <row r="630" spans="1:15" x14ac:dyDescent="0.3">
      <c r="A630" t="s">
        <v>2144</v>
      </c>
      <c r="B630" t="s">
        <v>1355</v>
      </c>
      <c r="C630" t="s">
        <v>883</v>
      </c>
      <c r="D630" t="s">
        <v>1048</v>
      </c>
      <c r="E630">
        <v>1</v>
      </c>
      <c r="F630">
        <f>_xlfn.XLOOKUP(Table1[[#This Row],[ProductID]],Products!A:A,Products!D:D,,0)</f>
        <v>120</v>
      </c>
      <c r="I630">
        <v>599</v>
      </c>
      <c r="J630">
        <v>599</v>
      </c>
      <c r="K630" t="s">
        <v>1102</v>
      </c>
      <c r="L630">
        <v>599</v>
      </c>
      <c r="M630" t="s">
        <v>1098</v>
      </c>
      <c r="N630" t="s">
        <v>1123</v>
      </c>
      <c r="O630">
        <f>Table1[[#This Row],[Unit_Price]]*Table1[[#This Row],[Quantity]]</f>
        <v>120</v>
      </c>
    </row>
    <row r="631" spans="1:15" x14ac:dyDescent="0.3">
      <c r="A631" t="s">
        <v>2145</v>
      </c>
      <c r="B631" t="s">
        <v>2146</v>
      </c>
      <c r="C631" t="s">
        <v>110</v>
      </c>
      <c r="D631" t="s">
        <v>1075</v>
      </c>
      <c r="E631">
        <v>1</v>
      </c>
      <c r="F631">
        <f>_xlfn.XLOOKUP(Table1[[#This Row],[ProductID]],Products!A:A,Products!D:D,,0)</f>
        <v>80</v>
      </c>
      <c r="I631">
        <v>499</v>
      </c>
      <c r="J631">
        <v>424</v>
      </c>
      <c r="K631" t="s">
        <v>1092</v>
      </c>
      <c r="L631">
        <v>424</v>
      </c>
      <c r="M631" t="s">
        <v>1098</v>
      </c>
      <c r="N631" t="s">
        <v>1099</v>
      </c>
      <c r="O631">
        <f>Table1[[#This Row],[Unit_Price]]*Table1[[#This Row],[Quantity]]</f>
        <v>80</v>
      </c>
    </row>
    <row r="632" spans="1:15" x14ac:dyDescent="0.3">
      <c r="A632" t="s">
        <v>2147</v>
      </c>
      <c r="B632" t="s">
        <v>2148</v>
      </c>
      <c r="C632" t="s">
        <v>158</v>
      </c>
      <c r="D632" t="s">
        <v>1071</v>
      </c>
      <c r="E632">
        <v>1</v>
      </c>
      <c r="F632">
        <f>_xlfn.XLOOKUP(Table1[[#This Row],[ProductID]],Products!A:A,Products!D:D,,0)</f>
        <v>125</v>
      </c>
      <c r="I632">
        <v>399</v>
      </c>
      <c r="J632">
        <v>359</v>
      </c>
      <c r="K632" t="s">
        <v>1107</v>
      </c>
      <c r="L632">
        <v>359</v>
      </c>
      <c r="M632" t="s">
        <v>1093</v>
      </c>
      <c r="N632" t="s">
        <v>1123</v>
      </c>
      <c r="O632">
        <f>Table1[[#This Row],[Unit_Price]]*Table1[[#This Row],[Quantity]]</f>
        <v>125</v>
      </c>
    </row>
    <row r="633" spans="1:15" x14ac:dyDescent="0.3">
      <c r="A633" t="s">
        <v>2149</v>
      </c>
      <c r="B633" t="s">
        <v>2150</v>
      </c>
      <c r="C633" t="s">
        <v>629</v>
      </c>
      <c r="D633" t="s">
        <v>1064</v>
      </c>
      <c r="E633">
        <v>1</v>
      </c>
      <c r="F633">
        <f>_xlfn.XLOOKUP(Table1[[#This Row],[ProductID]],Products!A:A,Products!D:D,,0)</f>
        <v>160</v>
      </c>
      <c r="I633">
        <v>699</v>
      </c>
      <c r="J633">
        <v>594</v>
      </c>
      <c r="K633" t="s">
        <v>1092</v>
      </c>
      <c r="L633">
        <v>594</v>
      </c>
      <c r="M633" t="s">
        <v>1118</v>
      </c>
      <c r="N633" t="s">
        <v>1123</v>
      </c>
      <c r="O633">
        <f>Table1[[#This Row],[Unit_Price]]*Table1[[#This Row],[Quantity]]</f>
        <v>160</v>
      </c>
    </row>
    <row r="634" spans="1:15" x14ac:dyDescent="0.3">
      <c r="A634" t="s">
        <v>2151</v>
      </c>
      <c r="B634" t="s">
        <v>2152</v>
      </c>
      <c r="C634" t="s">
        <v>118</v>
      </c>
      <c r="D634" t="s">
        <v>1068</v>
      </c>
      <c r="E634">
        <v>2</v>
      </c>
      <c r="F634">
        <f>_xlfn.XLOOKUP(Table1[[#This Row],[ProductID]],Products!A:A,Products!D:D,,0)</f>
        <v>180</v>
      </c>
      <c r="I634">
        <v>449</v>
      </c>
      <c r="J634">
        <v>382</v>
      </c>
      <c r="K634" t="s">
        <v>1092</v>
      </c>
      <c r="L634">
        <v>764</v>
      </c>
      <c r="M634" t="s">
        <v>1098</v>
      </c>
      <c r="N634" t="s">
        <v>1099</v>
      </c>
      <c r="O634">
        <f>Table1[[#This Row],[Unit_Price]]*Table1[[#This Row],[Quantity]]</f>
        <v>360</v>
      </c>
    </row>
    <row r="635" spans="1:15" x14ac:dyDescent="0.3">
      <c r="A635" t="s">
        <v>2153</v>
      </c>
      <c r="B635" t="s">
        <v>1347</v>
      </c>
      <c r="C635" t="s">
        <v>561</v>
      </c>
      <c r="D635" t="s">
        <v>1055</v>
      </c>
      <c r="E635">
        <v>1</v>
      </c>
      <c r="F635">
        <f>_xlfn.XLOOKUP(Table1[[#This Row],[ProductID]],Products!A:A,Products!D:D,,0)</f>
        <v>75</v>
      </c>
      <c r="I635">
        <v>299</v>
      </c>
      <c r="J635">
        <v>254</v>
      </c>
      <c r="K635" t="s">
        <v>1092</v>
      </c>
      <c r="L635">
        <v>254</v>
      </c>
      <c r="M635" t="s">
        <v>1098</v>
      </c>
      <c r="N635" t="s">
        <v>1099</v>
      </c>
      <c r="O635">
        <f>Table1[[#This Row],[Unit_Price]]*Table1[[#This Row],[Quantity]]</f>
        <v>75</v>
      </c>
    </row>
    <row r="636" spans="1:15" x14ac:dyDescent="0.3">
      <c r="A636" t="s">
        <v>2154</v>
      </c>
      <c r="B636" t="s">
        <v>2155</v>
      </c>
      <c r="C636" t="s">
        <v>501</v>
      </c>
      <c r="D636" t="s">
        <v>1048</v>
      </c>
      <c r="E636">
        <v>1</v>
      </c>
      <c r="F636">
        <f>_xlfn.XLOOKUP(Table1[[#This Row],[ProductID]],Products!A:A,Products!D:D,,0)</f>
        <v>120</v>
      </c>
      <c r="I636">
        <v>599</v>
      </c>
      <c r="J636">
        <v>599</v>
      </c>
      <c r="K636" t="s">
        <v>1102</v>
      </c>
      <c r="L636">
        <v>599</v>
      </c>
      <c r="M636" t="s">
        <v>1098</v>
      </c>
      <c r="N636" t="s">
        <v>1099</v>
      </c>
      <c r="O636">
        <f>Table1[[#This Row],[Unit_Price]]*Table1[[#This Row],[Quantity]]</f>
        <v>120</v>
      </c>
    </row>
    <row r="637" spans="1:15" x14ac:dyDescent="0.3">
      <c r="A637" t="s">
        <v>2156</v>
      </c>
      <c r="B637" t="s">
        <v>1589</v>
      </c>
      <c r="C637" t="s">
        <v>869</v>
      </c>
      <c r="D637" t="s">
        <v>1066</v>
      </c>
      <c r="E637">
        <v>1</v>
      </c>
      <c r="F637">
        <f>_xlfn.XLOOKUP(Table1[[#This Row],[ProductID]],Products!A:A,Products!D:D,,0)</f>
        <v>140</v>
      </c>
      <c r="I637">
        <v>499</v>
      </c>
      <c r="J637">
        <v>424</v>
      </c>
      <c r="K637" t="s">
        <v>1092</v>
      </c>
      <c r="L637">
        <v>424</v>
      </c>
      <c r="M637" t="s">
        <v>1093</v>
      </c>
      <c r="N637" t="s">
        <v>1123</v>
      </c>
      <c r="O637">
        <f>Table1[[#This Row],[Unit_Price]]*Table1[[#This Row],[Quantity]]</f>
        <v>140</v>
      </c>
    </row>
    <row r="638" spans="1:15" x14ac:dyDescent="0.3">
      <c r="A638" t="s">
        <v>2157</v>
      </c>
      <c r="B638" t="s">
        <v>2158</v>
      </c>
      <c r="C638" t="s">
        <v>473</v>
      </c>
      <c r="D638" t="s">
        <v>1051</v>
      </c>
      <c r="E638">
        <v>1</v>
      </c>
      <c r="F638">
        <f>_xlfn.XLOOKUP(Table1[[#This Row],[ProductID]],Products!A:A,Products!D:D,,0)</f>
        <v>150</v>
      </c>
      <c r="I638">
        <v>499</v>
      </c>
      <c r="J638">
        <v>424</v>
      </c>
      <c r="K638" t="s">
        <v>1092</v>
      </c>
      <c r="L638">
        <v>424</v>
      </c>
      <c r="M638" t="s">
        <v>1098</v>
      </c>
      <c r="N638" t="s">
        <v>1099</v>
      </c>
      <c r="O638">
        <f>Table1[[#This Row],[Unit_Price]]*Table1[[#This Row],[Quantity]]</f>
        <v>150</v>
      </c>
    </row>
    <row r="639" spans="1:15" x14ac:dyDescent="0.3">
      <c r="A639" t="s">
        <v>2159</v>
      </c>
      <c r="B639" t="s">
        <v>2160</v>
      </c>
      <c r="C639" t="s">
        <v>589</v>
      </c>
      <c r="D639" t="s">
        <v>1075</v>
      </c>
      <c r="E639">
        <v>1</v>
      </c>
      <c r="F639">
        <f>_xlfn.XLOOKUP(Table1[[#This Row],[ProductID]],Products!A:A,Products!D:D,,0)</f>
        <v>80</v>
      </c>
      <c r="I639">
        <v>499</v>
      </c>
      <c r="J639">
        <v>499</v>
      </c>
      <c r="K639" t="s">
        <v>1102</v>
      </c>
      <c r="L639">
        <v>499</v>
      </c>
      <c r="M639" t="s">
        <v>1126</v>
      </c>
      <c r="N639" t="s">
        <v>1099</v>
      </c>
      <c r="O639">
        <f>Table1[[#This Row],[Unit_Price]]*Table1[[#This Row],[Quantity]]</f>
        <v>80</v>
      </c>
    </row>
    <row r="640" spans="1:15" x14ac:dyDescent="0.3">
      <c r="A640" t="s">
        <v>2161</v>
      </c>
      <c r="B640" t="s">
        <v>1880</v>
      </c>
      <c r="C640" t="s">
        <v>323</v>
      </c>
      <c r="D640" t="s">
        <v>1053</v>
      </c>
      <c r="E640">
        <v>1</v>
      </c>
      <c r="F640">
        <f>_xlfn.XLOOKUP(Table1[[#This Row],[ProductID]],Products!A:A,Products!D:D,,0)</f>
        <v>200</v>
      </c>
      <c r="I640">
        <v>899</v>
      </c>
      <c r="J640">
        <v>899</v>
      </c>
      <c r="K640" t="s">
        <v>1102</v>
      </c>
      <c r="L640">
        <v>899</v>
      </c>
      <c r="M640" t="s">
        <v>1093</v>
      </c>
      <c r="N640" t="s">
        <v>1094</v>
      </c>
      <c r="O640">
        <f>Table1[[#This Row],[Unit_Price]]*Table1[[#This Row],[Quantity]]</f>
        <v>200</v>
      </c>
    </row>
    <row r="641" spans="1:15" x14ac:dyDescent="0.3">
      <c r="A641" t="s">
        <v>2162</v>
      </c>
      <c r="B641" t="s">
        <v>2163</v>
      </c>
      <c r="C641" t="s">
        <v>475</v>
      </c>
      <c r="D641" t="s">
        <v>1055</v>
      </c>
      <c r="E641">
        <v>3</v>
      </c>
      <c r="F641">
        <f>_xlfn.XLOOKUP(Table1[[#This Row],[ProductID]],Products!A:A,Products!D:D,,0)</f>
        <v>75</v>
      </c>
      <c r="I641">
        <v>299</v>
      </c>
      <c r="J641">
        <v>254</v>
      </c>
      <c r="K641" t="s">
        <v>1092</v>
      </c>
      <c r="L641">
        <v>762</v>
      </c>
      <c r="M641" t="s">
        <v>1098</v>
      </c>
      <c r="N641" t="s">
        <v>1099</v>
      </c>
      <c r="O641">
        <f>Table1[[#This Row],[Unit_Price]]*Table1[[#This Row],[Quantity]]</f>
        <v>225</v>
      </c>
    </row>
    <row r="642" spans="1:15" x14ac:dyDescent="0.3">
      <c r="A642" t="s">
        <v>2164</v>
      </c>
      <c r="B642" t="s">
        <v>2165</v>
      </c>
      <c r="C642" t="s">
        <v>69</v>
      </c>
      <c r="D642" t="s">
        <v>1080</v>
      </c>
      <c r="E642">
        <v>1</v>
      </c>
      <c r="F642">
        <f>_xlfn.XLOOKUP(Table1[[#This Row],[ProductID]],Products!A:A,Products!D:D,,0)</f>
        <v>45</v>
      </c>
      <c r="I642">
        <v>249</v>
      </c>
      <c r="J642">
        <v>249</v>
      </c>
      <c r="K642" t="s">
        <v>1102</v>
      </c>
      <c r="L642">
        <v>249</v>
      </c>
      <c r="M642" t="s">
        <v>1098</v>
      </c>
      <c r="N642" t="s">
        <v>1099</v>
      </c>
      <c r="O642">
        <f>Table1[[#This Row],[Unit_Price]]*Table1[[#This Row],[Quantity]]</f>
        <v>45</v>
      </c>
    </row>
    <row r="643" spans="1:15" x14ac:dyDescent="0.3">
      <c r="A643" t="s">
        <v>2166</v>
      </c>
      <c r="B643" t="s">
        <v>2167</v>
      </c>
      <c r="C643" t="s">
        <v>44</v>
      </c>
      <c r="D643" t="s">
        <v>1066</v>
      </c>
      <c r="E643">
        <v>1</v>
      </c>
      <c r="F643">
        <f>_xlfn.XLOOKUP(Table1[[#This Row],[ProductID]],Products!A:A,Products!D:D,,0)</f>
        <v>140</v>
      </c>
      <c r="I643">
        <v>499</v>
      </c>
      <c r="J643">
        <v>499</v>
      </c>
      <c r="K643" t="s">
        <v>1102</v>
      </c>
      <c r="L643">
        <v>499</v>
      </c>
      <c r="M643" t="s">
        <v>1098</v>
      </c>
      <c r="N643" t="s">
        <v>1099</v>
      </c>
      <c r="O643">
        <f>Table1[[#This Row],[Unit_Price]]*Table1[[#This Row],[Quantity]]</f>
        <v>140</v>
      </c>
    </row>
    <row r="644" spans="1:15" x14ac:dyDescent="0.3">
      <c r="A644" t="s">
        <v>2168</v>
      </c>
      <c r="B644" t="s">
        <v>2169</v>
      </c>
      <c r="C644" t="s">
        <v>605</v>
      </c>
      <c r="D644" t="s">
        <v>1066</v>
      </c>
      <c r="E644">
        <v>3</v>
      </c>
      <c r="F644">
        <f>_xlfn.XLOOKUP(Table1[[#This Row],[ProductID]],Products!A:A,Products!D:D,,0)</f>
        <v>140</v>
      </c>
      <c r="I644">
        <v>499</v>
      </c>
      <c r="J644">
        <v>449</v>
      </c>
      <c r="K644" t="s">
        <v>1107</v>
      </c>
      <c r="L644">
        <v>1347</v>
      </c>
      <c r="M644" t="s">
        <v>1093</v>
      </c>
      <c r="N644" t="s">
        <v>1099</v>
      </c>
      <c r="O644">
        <f>Table1[[#This Row],[Unit_Price]]*Table1[[#This Row],[Quantity]]</f>
        <v>420</v>
      </c>
    </row>
    <row r="645" spans="1:15" x14ac:dyDescent="0.3">
      <c r="A645" t="s">
        <v>2170</v>
      </c>
      <c r="B645" t="s">
        <v>1496</v>
      </c>
      <c r="C645" t="s">
        <v>905</v>
      </c>
      <c r="D645" t="s">
        <v>1064</v>
      </c>
      <c r="E645">
        <v>1</v>
      </c>
      <c r="F645">
        <f>_xlfn.XLOOKUP(Table1[[#This Row],[ProductID]],Products!A:A,Products!D:D,,0)</f>
        <v>160</v>
      </c>
      <c r="I645">
        <v>699</v>
      </c>
      <c r="J645">
        <v>594</v>
      </c>
      <c r="K645" t="s">
        <v>1092</v>
      </c>
      <c r="L645">
        <v>594</v>
      </c>
      <c r="M645" t="s">
        <v>1098</v>
      </c>
      <c r="N645" t="s">
        <v>1099</v>
      </c>
      <c r="O645">
        <f>Table1[[#This Row],[Unit_Price]]*Table1[[#This Row],[Quantity]]</f>
        <v>160</v>
      </c>
    </row>
    <row r="646" spans="1:15" x14ac:dyDescent="0.3">
      <c r="A646" t="s">
        <v>2171</v>
      </c>
      <c r="B646" t="s">
        <v>2172</v>
      </c>
      <c r="C646" t="s">
        <v>1035</v>
      </c>
      <c r="D646" t="s">
        <v>1066</v>
      </c>
      <c r="E646">
        <v>1</v>
      </c>
      <c r="F646">
        <f>_xlfn.XLOOKUP(Table1[[#This Row],[ProductID]],Products!A:A,Products!D:D,,0)</f>
        <v>140</v>
      </c>
      <c r="I646">
        <v>499</v>
      </c>
      <c r="J646">
        <v>449</v>
      </c>
      <c r="K646" t="s">
        <v>1107</v>
      </c>
      <c r="L646">
        <v>449</v>
      </c>
      <c r="M646" t="s">
        <v>1093</v>
      </c>
      <c r="N646" t="s">
        <v>1099</v>
      </c>
      <c r="O646">
        <f>Table1[[#This Row],[Unit_Price]]*Table1[[#This Row],[Quantity]]</f>
        <v>140</v>
      </c>
    </row>
    <row r="647" spans="1:15" x14ac:dyDescent="0.3">
      <c r="A647" t="s">
        <v>2173</v>
      </c>
      <c r="B647" t="s">
        <v>2174</v>
      </c>
      <c r="C647" t="s">
        <v>158</v>
      </c>
      <c r="D647" t="s">
        <v>1048</v>
      </c>
      <c r="E647">
        <v>2</v>
      </c>
      <c r="F647">
        <f>_xlfn.XLOOKUP(Table1[[#This Row],[ProductID]],Products!A:A,Products!D:D,,0)</f>
        <v>120</v>
      </c>
      <c r="I647">
        <v>599</v>
      </c>
      <c r="J647">
        <v>599</v>
      </c>
      <c r="K647" t="s">
        <v>1102</v>
      </c>
      <c r="L647">
        <v>1198</v>
      </c>
      <c r="M647" t="s">
        <v>1093</v>
      </c>
      <c r="N647" t="s">
        <v>1099</v>
      </c>
      <c r="O647">
        <f>Table1[[#This Row],[Unit_Price]]*Table1[[#This Row],[Quantity]]</f>
        <v>240</v>
      </c>
    </row>
    <row r="648" spans="1:15" x14ac:dyDescent="0.3">
      <c r="A648" t="s">
        <v>2175</v>
      </c>
      <c r="B648" t="s">
        <v>1400</v>
      </c>
      <c r="C648" t="s">
        <v>455</v>
      </c>
      <c r="D648" t="s">
        <v>1078</v>
      </c>
      <c r="E648">
        <v>1</v>
      </c>
      <c r="F648">
        <f>_xlfn.XLOOKUP(Table1[[#This Row],[ProductID]],Products!A:A,Products!D:D,,0)</f>
        <v>80</v>
      </c>
      <c r="I648">
        <v>499</v>
      </c>
      <c r="J648">
        <v>449</v>
      </c>
      <c r="K648" t="s">
        <v>1107</v>
      </c>
      <c r="L648">
        <v>449</v>
      </c>
      <c r="M648" t="s">
        <v>1093</v>
      </c>
      <c r="N648" t="s">
        <v>1099</v>
      </c>
      <c r="O648">
        <f>Table1[[#This Row],[Unit_Price]]*Table1[[#This Row],[Quantity]]</f>
        <v>80</v>
      </c>
    </row>
    <row r="649" spans="1:15" x14ac:dyDescent="0.3">
      <c r="A649" t="s">
        <v>2176</v>
      </c>
      <c r="B649" t="s">
        <v>2019</v>
      </c>
      <c r="C649" t="s">
        <v>469</v>
      </c>
      <c r="D649" t="s">
        <v>1066</v>
      </c>
      <c r="E649">
        <v>1</v>
      </c>
      <c r="F649">
        <f>_xlfn.XLOOKUP(Table1[[#This Row],[ProductID]],Products!A:A,Products!D:D,,0)</f>
        <v>140</v>
      </c>
      <c r="I649">
        <v>499</v>
      </c>
      <c r="J649">
        <v>424</v>
      </c>
      <c r="K649" t="s">
        <v>1092</v>
      </c>
      <c r="L649">
        <v>424</v>
      </c>
      <c r="M649" t="s">
        <v>1098</v>
      </c>
      <c r="N649" t="s">
        <v>1123</v>
      </c>
      <c r="O649">
        <f>Table1[[#This Row],[Unit_Price]]*Table1[[#This Row],[Quantity]]</f>
        <v>140</v>
      </c>
    </row>
    <row r="650" spans="1:15" x14ac:dyDescent="0.3">
      <c r="A650" t="s">
        <v>2177</v>
      </c>
      <c r="B650" t="s">
        <v>2178</v>
      </c>
      <c r="C650" t="s">
        <v>749</v>
      </c>
      <c r="D650" t="s">
        <v>1066</v>
      </c>
      <c r="E650">
        <v>1</v>
      </c>
      <c r="F650">
        <f>_xlfn.XLOOKUP(Table1[[#This Row],[ProductID]],Products!A:A,Products!D:D,,0)</f>
        <v>140</v>
      </c>
      <c r="I650">
        <v>499</v>
      </c>
      <c r="J650">
        <v>449</v>
      </c>
      <c r="K650" t="s">
        <v>1107</v>
      </c>
      <c r="L650">
        <v>449</v>
      </c>
      <c r="M650" t="s">
        <v>1098</v>
      </c>
      <c r="N650" t="s">
        <v>1099</v>
      </c>
      <c r="O650">
        <f>Table1[[#This Row],[Unit_Price]]*Table1[[#This Row],[Quantity]]</f>
        <v>140</v>
      </c>
    </row>
    <row r="651" spans="1:15" x14ac:dyDescent="0.3">
      <c r="A651" t="s">
        <v>2179</v>
      </c>
      <c r="B651" t="s">
        <v>2180</v>
      </c>
      <c r="C651" t="s">
        <v>637</v>
      </c>
      <c r="D651" t="s">
        <v>1068</v>
      </c>
      <c r="E651">
        <v>2</v>
      </c>
      <c r="F651">
        <f>_xlfn.XLOOKUP(Table1[[#This Row],[ProductID]],Products!A:A,Products!D:D,,0)</f>
        <v>180</v>
      </c>
      <c r="I651">
        <v>449</v>
      </c>
      <c r="J651">
        <v>449</v>
      </c>
      <c r="K651" t="s">
        <v>1102</v>
      </c>
      <c r="L651">
        <v>898</v>
      </c>
      <c r="M651" t="s">
        <v>1093</v>
      </c>
      <c r="N651" t="s">
        <v>1099</v>
      </c>
      <c r="O651">
        <f>Table1[[#This Row],[Unit_Price]]*Table1[[#This Row],[Quantity]]</f>
        <v>360</v>
      </c>
    </row>
    <row r="652" spans="1:15" x14ac:dyDescent="0.3">
      <c r="A652" t="s">
        <v>2181</v>
      </c>
      <c r="B652" t="s">
        <v>2174</v>
      </c>
      <c r="C652" t="s">
        <v>721</v>
      </c>
      <c r="D652" t="s">
        <v>1064</v>
      </c>
      <c r="E652">
        <v>1</v>
      </c>
      <c r="F652">
        <f>_xlfn.XLOOKUP(Table1[[#This Row],[ProductID]],Products!A:A,Products!D:D,,0)</f>
        <v>160</v>
      </c>
      <c r="I652">
        <v>699</v>
      </c>
      <c r="J652">
        <v>699</v>
      </c>
      <c r="K652" t="s">
        <v>1102</v>
      </c>
      <c r="L652">
        <v>699</v>
      </c>
      <c r="M652" t="s">
        <v>1093</v>
      </c>
      <c r="N652" t="s">
        <v>1094</v>
      </c>
      <c r="O652">
        <f>Table1[[#This Row],[Unit_Price]]*Table1[[#This Row],[Quantity]]</f>
        <v>160</v>
      </c>
    </row>
    <row r="653" spans="1:15" x14ac:dyDescent="0.3">
      <c r="A653" t="s">
        <v>2182</v>
      </c>
      <c r="B653" t="s">
        <v>1953</v>
      </c>
      <c r="C653" t="s">
        <v>126</v>
      </c>
      <c r="D653" t="s">
        <v>1078</v>
      </c>
      <c r="E653">
        <v>1</v>
      </c>
      <c r="F653">
        <f>_xlfn.XLOOKUP(Table1[[#This Row],[ProductID]],Products!A:A,Products!D:D,,0)</f>
        <v>80</v>
      </c>
      <c r="I653">
        <v>499</v>
      </c>
      <c r="J653">
        <v>499</v>
      </c>
      <c r="K653" t="s">
        <v>1102</v>
      </c>
      <c r="L653">
        <v>499</v>
      </c>
      <c r="M653" t="s">
        <v>1098</v>
      </c>
      <c r="N653" t="s">
        <v>1099</v>
      </c>
      <c r="O653">
        <f>Table1[[#This Row],[Unit_Price]]*Table1[[#This Row],[Quantity]]</f>
        <v>80</v>
      </c>
    </row>
    <row r="654" spans="1:15" x14ac:dyDescent="0.3">
      <c r="A654" t="s">
        <v>2183</v>
      </c>
      <c r="B654" t="s">
        <v>2184</v>
      </c>
      <c r="C654" t="s">
        <v>587</v>
      </c>
      <c r="D654" t="s">
        <v>1048</v>
      </c>
      <c r="E654">
        <v>1</v>
      </c>
      <c r="F654">
        <f>_xlfn.XLOOKUP(Table1[[#This Row],[ProductID]],Products!A:A,Products!D:D,,0)</f>
        <v>120</v>
      </c>
      <c r="I654">
        <v>599</v>
      </c>
      <c r="J654">
        <v>539</v>
      </c>
      <c r="K654" t="s">
        <v>1107</v>
      </c>
      <c r="L654">
        <v>539</v>
      </c>
      <c r="M654" t="s">
        <v>1098</v>
      </c>
      <c r="N654" t="s">
        <v>1099</v>
      </c>
      <c r="O654">
        <f>Table1[[#This Row],[Unit_Price]]*Table1[[#This Row],[Quantity]]</f>
        <v>120</v>
      </c>
    </row>
    <row r="655" spans="1:15" x14ac:dyDescent="0.3">
      <c r="A655" t="s">
        <v>2185</v>
      </c>
      <c r="B655" t="s">
        <v>1517</v>
      </c>
      <c r="C655" t="s">
        <v>343</v>
      </c>
      <c r="D655" t="s">
        <v>1068</v>
      </c>
      <c r="E655">
        <v>1</v>
      </c>
      <c r="F655">
        <f>_xlfn.XLOOKUP(Table1[[#This Row],[ProductID]],Products!A:A,Products!D:D,,0)</f>
        <v>180</v>
      </c>
      <c r="I655">
        <v>449</v>
      </c>
      <c r="J655">
        <v>449</v>
      </c>
      <c r="K655" t="s">
        <v>1102</v>
      </c>
      <c r="L655">
        <v>449</v>
      </c>
      <c r="M655" t="s">
        <v>1098</v>
      </c>
      <c r="N655" t="s">
        <v>1099</v>
      </c>
      <c r="O655">
        <f>Table1[[#This Row],[Unit_Price]]*Table1[[#This Row],[Quantity]]</f>
        <v>180</v>
      </c>
    </row>
    <row r="656" spans="1:15" x14ac:dyDescent="0.3">
      <c r="A656" t="s">
        <v>2186</v>
      </c>
      <c r="B656" t="s">
        <v>2187</v>
      </c>
      <c r="C656" t="s">
        <v>34</v>
      </c>
      <c r="D656" t="s">
        <v>1064</v>
      </c>
      <c r="E656">
        <v>1</v>
      </c>
      <c r="F656">
        <f>_xlfn.XLOOKUP(Table1[[#This Row],[ProductID]],Products!A:A,Products!D:D,,0)</f>
        <v>160</v>
      </c>
      <c r="I656">
        <v>699</v>
      </c>
      <c r="J656">
        <v>629</v>
      </c>
      <c r="K656" t="s">
        <v>1107</v>
      </c>
      <c r="L656">
        <v>629</v>
      </c>
      <c r="M656" t="s">
        <v>1093</v>
      </c>
      <c r="N656" t="s">
        <v>1099</v>
      </c>
      <c r="O656">
        <f>Table1[[#This Row],[Unit_Price]]*Table1[[#This Row],[Quantity]]</f>
        <v>160</v>
      </c>
    </row>
    <row r="657" spans="1:15" x14ac:dyDescent="0.3">
      <c r="A657" t="s">
        <v>2188</v>
      </c>
      <c r="B657" t="s">
        <v>1582</v>
      </c>
      <c r="C657" t="s">
        <v>467</v>
      </c>
      <c r="D657" t="s">
        <v>1048</v>
      </c>
      <c r="E657">
        <v>4</v>
      </c>
      <c r="F657">
        <f>_xlfn.XLOOKUP(Table1[[#This Row],[ProductID]],Products!A:A,Products!D:D,,0)</f>
        <v>120</v>
      </c>
      <c r="I657">
        <v>599</v>
      </c>
      <c r="J657">
        <v>599</v>
      </c>
      <c r="K657" t="s">
        <v>1102</v>
      </c>
      <c r="L657">
        <v>2396</v>
      </c>
      <c r="M657" t="s">
        <v>1098</v>
      </c>
      <c r="N657" t="s">
        <v>1099</v>
      </c>
      <c r="O657">
        <f>Table1[[#This Row],[Unit_Price]]*Table1[[#This Row],[Quantity]]</f>
        <v>480</v>
      </c>
    </row>
    <row r="658" spans="1:15" x14ac:dyDescent="0.3">
      <c r="A658" t="s">
        <v>2189</v>
      </c>
      <c r="B658" t="s">
        <v>2190</v>
      </c>
      <c r="C658" t="s">
        <v>789</v>
      </c>
      <c r="D658" t="s">
        <v>1057</v>
      </c>
      <c r="E658">
        <v>2</v>
      </c>
      <c r="F658">
        <f>_xlfn.XLOOKUP(Table1[[#This Row],[ProductID]],Products!A:A,Products!D:D,,0)</f>
        <v>130</v>
      </c>
      <c r="I658">
        <v>549</v>
      </c>
      <c r="J658">
        <v>494</v>
      </c>
      <c r="K658" t="s">
        <v>1107</v>
      </c>
      <c r="L658">
        <v>988</v>
      </c>
      <c r="M658" t="s">
        <v>1093</v>
      </c>
      <c r="N658" t="s">
        <v>1094</v>
      </c>
      <c r="O658">
        <f>Table1[[#This Row],[Unit_Price]]*Table1[[#This Row],[Quantity]]</f>
        <v>260</v>
      </c>
    </row>
    <row r="659" spans="1:15" x14ac:dyDescent="0.3">
      <c r="A659" t="s">
        <v>2191</v>
      </c>
      <c r="B659" t="s">
        <v>2050</v>
      </c>
      <c r="C659" t="s">
        <v>887</v>
      </c>
      <c r="D659" t="s">
        <v>1080</v>
      </c>
      <c r="E659">
        <v>2</v>
      </c>
      <c r="F659">
        <f>_xlfn.XLOOKUP(Table1[[#This Row],[ProductID]],Products!A:A,Products!D:D,,0)</f>
        <v>45</v>
      </c>
      <c r="I659">
        <v>249</v>
      </c>
      <c r="J659">
        <v>224</v>
      </c>
      <c r="K659" t="s">
        <v>1107</v>
      </c>
      <c r="L659">
        <v>448</v>
      </c>
      <c r="M659" t="s">
        <v>1098</v>
      </c>
      <c r="N659" t="s">
        <v>1099</v>
      </c>
      <c r="O659">
        <f>Table1[[#This Row],[Unit_Price]]*Table1[[#This Row],[Quantity]]</f>
        <v>90</v>
      </c>
    </row>
    <row r="660" spans="1:15" x14ac:dyDescent="0.3">
      <c r="A660" t="s">
        <v>2192</v>
      </c>
      <c r="B660" t="s">
        <v>1174</v>
      </c>
      <c r="C660" t="s">
        <v>281</v>
      </c>
      <c r="D660" t="s">
        <v>1064</v>
      </c>
      <c r="E660">
        <v>1</v>
      </c>
      <c r="F660">
        <f>_xlfn.XLOOKUP(Table1[[#This Row],[ProductID]],Products!A:A,Products!D:D,,0)</f>
        <v>160</v>
      </c>
      <c r="I660">
        <v>699</v>
      </c>
      <c r="J660">
        <v>629</v>
      </c>
      <c r="K660" t="s">
        <v>1107</v>
      </c>
      <c r="L660">
        <v>629</v>
      </c>
      <c r="M660" t="s">
        <v>1098</v>
      </c>
      <c r="N660" t="s">
        <v>1099</v>
      </c>
      <c r="O660">
        <f>Table1[[#This Row],[Unit_Price]]*Table1[[#This Row],[Quantity]]</f>
        <v>160</v>
      </c>
    </row>
    <row r="661" spans="1:15" x14ac:dyDescent="0.3">
      <c r="A661" t="s">
        <v>2193</v>
      </c>
      <c r="B661" t="s">
        <v>1140</v>
      </c>
      <c r="C661" t="s">
        <v>299</v>
      </c>
      <c r="D661" t="s">
        <v>1062</v>
      </c>
      <c r="E661">
        <v>2</v>
      </c>
      <c r="F661">
        <f>_xlfn.XLOOKUP(Table1[[#This Row],[ProductID]],Products!A:A,Products!D:D,,0)</f>
        <v>95</v>
      </c>
      <c r="I661">
        <v>349</v>
      </c>
      <c r="J661">
        <v>314</v>
      </c>
      <c r="K661" t="s">
        <v>1107</v>
      </c>
      <c r="L661">
        <v>628</v>
      </c>
      <c r="M661" t="s">
        <v>1093</v>
      </c>
      <c r="N661" t="s">
        <v>1099</v>
      </c>
      <c r="O661">
        <f>Table1[[#This Row],[Unit_Price]]*Table1[[#This Row],[Quantity]]</f>
        <v>190</v>
      </c>
    </row>
    <row r="662" spans="1:15" x14ac:dyDescent="0.3">
      <c r="A662" t="s">
        <v>2194</v>
      </c>
      <c r="B662" t="s">
        <v>2195</v>
      </c>
      <c r="C662" t="s">
        <v>915</v>
      </c>
      <c r="D662" t="s">
        <v>1059</v>
      </c>
      <c r="E662">
        <v>2</v>
      </c>
      <c r="F662">
        <f>_xlfn.XLOOKUP(Table1[[#This Row],[ProductID]],Products!A:A,Products!D:D,,0)</f>
        <v>110</v>
      </c>
      <c r="I662">
        <v>399</v>
      </c>
      <c r="J662">
        <v>359</v>
      </c>
      <c r="K662" t="s">
        <v>1107</v>
      </c>
      <c r="L662">
        <v>718</v>
      </c>
      <c r="M662" t="s">
        <v>1098</v>
      </c>
      <c r="N662" t="s">
        <v>1099</v>
      </c>
      <c r="O662">
        <f>Table1[[#This Row],[Unit_Price]]*Table1[[#This Row],[Quantity]]</f>
        <v>220</v>
      </c>
    </row>
    <row r="663" spans="1:15" x14ac:dyDescent="0.3">
      <c r="A663" t="s">
        <v>2196</v>
      </c>
      <c r="B663" t="s">
        <v>1639</v>
      </c>
      <c r="C663" t="s">
        <v>761</v>
      </c>
      <c r="D663" t="s">
        <v>1075</v>
      </c>
      <c r="E663">
        <v>2</v>
      </c>
      <c r="F663">
        <f>_xlfn.XLOOKUP(Table1[[#This Row],[ProductID]],Products!A:A,Products!D:D,,0)</f>
        <v>80</v>
      </c>
      <c r="I663">
        <v>499</v>
      </c>
      <c r="J663">
        <v>499</v>
      </c>
      <c r="K663" t="s">
        <v>1102</v>
      </c>
      <c r="L663">
        <v>998</v>
      </c>
      <c r="M663" t="s">
        <v>1093</v>
      </c>
      <c r="N663" t="s">
        <v>1099</v>
      </c>
      <c r="O663">
        <f>Table1[[#This Row],[Unit_Price]]*Table1[[#This Row],[Quantity]]</f>
        <v>160</v>
      </c>
    </row>
    <row r="664" spans="1:15" x14ac:dyDescent="0.3">
      <c r="A664" t="s">
        <v>2197</v>
      </c>
      <c r="B664" t="s">
        <v>2198</v>
      </c>
      <c r="C664" t="s">
        <v>663</v>
      </c>
      <c r="D664" t="s">
        <v>1051</v>
      </c>
      <c r="E664">
        <v>4</v>
      </c>
      <c r="F664">
        <f>_xlfn.XLOOKUP(Table1[[#This Row],[ProductID]],Products!A:A,Products!D:D,,0)</f>
        <v>150</v>
      </c>
      <c r="I664">
        <v>499</v>
      </c>
      <c r="J664">
        <v>449</v>
      </c>
      <c r="K664" t="s">
        <v>1107</v>
      </c>
      <c r="L664">
        <v>1796</v>
      </c>
      <c r="M664" t="s">
        <v>1098</v>
      </c>
      <c r="N664" t="s">
        <v>1099</v>
      </c>
      <c r="O664">
        <f>Table1[[#This Row],[Unit_Price]]*Table1[[#This Row],[Quantity]]</f>
        <v>600</v>
      </c>
    </row>
    <row r="665" spans="1:15" x14ac:dyDescent="0.3">
      <c r="A665" t="s">
        <v>2199</v>
      </c>
      <c r="B665" t="s">
        <v>2132</v>
      </c>
      <c r="C665" t="s">
        <v>913</v>
      </c>
      <c r="D665" t="s">
        <v>1053</v>
      </c>
      <c r="E665">
        <v>2</v>
      </c>
      <c r="F665">
        <f>_xlfn.XLOOKUP(Table1[[#This Row],[ProductID]],Products!A:A,Products!D:D,,0)</f>
        <v>200</v>
      </c>
      <c r="I665">
        <v>899</v>
      </c>
      <c r="J665">
        <v>809</v>
      </c>
      <c r="K665" t="s">
        <v>1107</v>
      </c>
      <c r="L665">
        <v>1618</v>
      </c>
      <c r="M665" t="s">
        <v>1098</v>
      </c>
      <c r="N665" t="s">
        <v>1099</v>
      </c>
      <c r="O665">
        <f>Table1[[#This Row],[Unit_Price]]*Table1[[#This Row],[Quantity]]</f>
        <v>400</v>
      </c>
    </row>
    <row r="666" spans="1:15" x14ac:dyDescent="0.3">
      <c r="A666" t="s">
        <v>2200</v>
      </c>
      <c r="B666" t="s">
        <v>1306</v>
      </c>
      <c r="C666" t="s">
        <v>245</v>
      </c>
      <c r="D666" t="s">
        <v>1062</v>
      </c>
      <c r="E666">
        <v>2</v>
      </c>
      <c r="F666">
        <f>_xlfn.XLOOKUP(Table1[[#This Row],[ProductID]],Products!A:A,Products!D:D,,0)</f>
        <v>95</v>
      </c>
      <c r="I666">
        <v>349</v>
      </c>
      <c r="J666">
        <v>349</v>
      </c>
      <c r="K666" t="s">
        <v>1102</v>
      </c>
      <c r="L666">
        <v>698</v>
      </c>
      <c r="M666" t="s">
        <v>1098</v>
      </c>
      <c r="N666" t="s">
        <v>1099</v>
      </c>
      <c r="O666">
        <f>Table1[[#This Row],[Unit_Price]]*Table1[[#This Row],[Quantity]]</f>
        <v>190</v>
      </c>
    </row>
    <row r="667" spans="1:15" x14ac:dyDescent="0.3">
      <c r="A667" t="s">
        <v>2201</v>
      </c>
      <c r="B667" t="s">
        <v>2202</v>
      </c>
      <c r="C667" t="s">
        <v>85</v>
      </c>
      <c r="D667" t="s">
        <v>1066</v>
      </c>
      <c r="E667">
        <v>1</v>
      </c>
      <c r="F667">
        <f>_xlfn.XLOOKUP(Table1[[#This Row],[ProductID]],Products!A:A,Products!D:D,,0)</f>
        <v>140</v>
      </c>
      <c r="I667">
        <v>499</v>
      </c>
      <c r="J667">
        <v>499</v>
      </c>
      <c r="K667" t="s">
        <v>1102</v>
      </c>
      <c r="L667">
        <v>499</v>
      </c>
      <c r="M667" t="s">
        <v>1098</v>
      </c>
      <c r="N667" t="s">
        <v>1099</v>
      </c>
      <c r="O667">
        <f>Table1[[#This Row],[Unit_Price]]*Table1[[#This Row],[Quantity]]</f>
        <v>140</v>
      </c>
    </row>
    <row r="668" spans="1:15" x14ac:dyDescent="0.3">
      <c r="A668" t="s">
        <v>2203</v>
      </c>
      <c r="B668" t="s">
        <v>2190</v>
      </c>
      <c r="C668" t="s">
        <v>323</v>
      </c>
      <c r="D668" t="s">
        <v>1073</v>
      </c>
      <c r="E668">
        <v>2</v>
      </c>
      <c r="F668">
        <f>_xlfn.XLOOKUP(Table1[[#This Row],[ProductID]],Products!A:A,Products!D:D,,0)</f>
        <v>100</v>
      </c>
      <c r="I668">
        <v>349</v>
      </c>
      <c r="J668">
        <v>297</v>
      </c>
      <c r="K668" t="s">
        <v>1092</v>
      </c>
      <c r="L668">
        <v>594</v>
      </c>
      <c r="M668" t="s">
        <v>1118</v>
      </c>
      <c r="N668" t="s">
        <v>1099</v>
      </c>
      <c r="O668">
        <f>Table1[[#This Row],[Unit_Price]]*Table1[[#This Row],[Quantity]]</f>
        <v>200</v>
      </c>
    </row>
    <row r="669" spans="1:15" x14ac:dyDescent="0.3">
      <c r="A669" t="s">
        <v>2204</v>
      </c>
      <c r="B669" t="s">
        <v>1496</v>
      </c>
      <c r="C669" t="s">
        <v>1011</v>
      </c>
      <c r="D669" t="s">
        <v>1062</v>
      </c>
      <c r="E669">
        <v>3</v>
      </c>
      <c r="F669">
        <f>_xlfn.XLOOKUP(Table1[[#This Row],[ProductID]],Products!A:A,Products!D:D,,0)</f>
        <v>95</v>
      </c>
      <c r="I669">
        <v>349</v>
      </c>
      <c r="J669">
        <v>349</v>
      </c>
      <c r="K669" t="s">
        <v>1102</v>
      </c>
      <c r="L669">
        <v>1047</v>
      </c>
      <c r="M669" t="s">
        <v>1093</v>
      </c>
      <c r="N669" t="s">
        <v>1099</v>
      </c>
      <c r="O669">
        <f>Table1[[#This Row],[Unit_Price]]*Table1[[#This Row],[Quantity]]</f>
        <v>285</v>
      </c>
    </row>
    <row r="670" spans="1:15" x14ac:dyDescent="0.3">
      <c r="A670" t="s">
        <v>2205</v>
      </c>
      <c r="B670" t="s">
        <v>2206</v>
      </c>
      <c r="C670" t="s">
        <v>341</v>
      </c>
      <c r="D670" t="s">
        <v>1075</v>
      </c>
      <c r="E670">
        <v>2</v>
      </c>
      <c r="F670">
        <f>_xlfn.XLOOKUP(Table1[[#This Row],[ProductID]],Products!A:A,Products!D:D,,0)</f>
        <v>80</v>
      </c>
      <c r="I670">
        <v>499</v>
      </c>
      <c r="J670">
        <v>499</v>
      </c>
      <c r="K670" t="s">
        <v>1102</v>
      </c>
      <c r="L670">
        <v>998</v>
      </c>
      <c r="M670" t="s">
        <v>1093</v>
      </c>
      <c r="N670" t="s">
        <v>1094</v>
      </c>
      <c r="O670">
        <f>Table1[[#This Row],[Unit_Price]]*Table1[[#This Row],[Quantity]]</f>
        <v>160</v>
      </c>
    </row>
    <row r="671" spans="1:15" x14ac:dyDescent="0.3">
      <c r="A671" t="s">
        <v>2207</v>
      </c>
      <c r="B671" t="s">
        <v>2208</v>
      </c>
      <c r="C671" t="s">
        <v>195</v>
      </c>
      <c r="D671" t="s">
        <v>1055</v>
      </c>
      <c r="E671">
        <v>2</v>
      </c>
      <c r="F671">
        <f>_xlfn.XLOOKUP(Table1[[#This Row],[ProductID]],Products!A:A,Products!D:D,,0)</f>
        <v>75</v>
      </c>
      <c r="I671">
        <v>299</v>
      </c>
      <c r="J671">
        <v>269</v>
      </c>
      <c r="K671" t="s">
        <v>1107</v>
      </c>
      <c r="L671">
        <v>538</v>
      </c>
      <c r="M671" t="s">
        <v>1093</v>
      </c>
      <c r="N671" t="s">
        <v>1099</v>
      </c>
      <c r="O671">
        <f>Table1[[#This Row],[Unit_Price]]*Table1[[#This Row],[Quantity]]</f>
        <v>150</v>
      </c>
    </row>
    <row r="672" spans="1:15" x14ac:dyDescent="0.3">
      <c r="A672" t="s">
        <v>2209</v>
      </c>
      <c r="B672" t="s">
        <v>2210</v>
      </c>
      <c r="C672" t="s">
        <v>907</v>
      </c>
      <c r="D672" t="s">
        <v>1055</v>
      </c>
      <c r="E672">
        <v>1</v>
      </c>
      <c r="F672">
        <f>_xlfn.XLOOKUP(Table1[[#This Row],[ProductID]],Products!A:A,Products!D:D,,0)</f>
        <v>75</v>
      </c>
      <c r="I672">
        <v>299</v>
      </c>
      <c r="J672">
        <v>239</v>
      </c>
      <c r="K672" t="s">
        <v>1097</v>
      </c>
      <c r="L672">
        <v>239</v>
      </c>
      <c r="M672" t="s">
        <v>1098</v>
      </c>
      <c r="N672" t="s">
        <v>1099</v>
      </c>
      <c r="O672">
        <f>Table1[[#This Row],[Unit_Price]]*Table1[[#This Row],[Quantity]]</f>
        <v>75</v>
      </c>
    </row>
    <row r="673" spans="1:15" x14ac:dyDescent="0.3">
      <c r="A673" t="s">
        <v>2211</v>
      </c>
      <c r="B673" t="s">
        <v>1845</v>
      </c>
      <c r="C673" t="s">
        <v>114</v>
      </c>
      <c r="D673" t="s">
        <v>1064</v>
      </c>
      <c r="E673">
        <v>2</v>
      </c>
      <c r="F673">
        <f>_xlfn.XLOOKUP(Table1[[#This Row],[ProductID]],Products!A:A,Products!D:D,,0)</f>
        <v>160</v>
      </c>
      <c r="I673">
        <v>699</v>
      </c>
      <c r="J673">
        <v>629</v>
      </c>
      <c r="K673" t="s">
        <v>1107</v>
      </c>
      <c r="L673">
        <v>1258</v>
      </c>
      <c r="M673" t="s">
        <v>1098</v>
      </c>
      <c r="N673" t="s">
        <v>1099</v>
      </c>
      <c r="O673">
        <f>Table1[[#This Row],[Unit_Price]]*Table1[[#This Row],[Quantity]]</f>
        <v>320</v>
      </c>
    </row>
    <row r="674" spans="1:15" x14ac:dyDescent="0.3">
      <c r="A674" t="s">
        <v>2212</v>
      </c>
      <c r="B674" t="s">
        <v>2213</v>
      </c>
      <c r="C674" t="s">
        <v>437</v>
      </c>
      <c r="D674" t="s">
        <v>1075</v>
      </c>
      <c r="E674">
        <v>1</v>
      </c>
      <c r="F674">
        <f>_xlfn.XLOOKUP(Table1[[#This Row],[ProductID]],Products!A:A,Products!D:D,,0)</f>
        <v>80</v>
      </c>
      <c r="I674">
        <v>499</v>
      </c>
      <c r="J674">
        <v>449</v>
      </c>
      <c r="K674" t="s">
        <v>1107</v>
      </c>
      <c r="L674">
        <v>449</v>
      </c>
      <c r="M674" t="s">
        <v>1098</v>
      </c>
      <c r="N674" t="s">
        <v>1099</v>
      </c>
      <c r="O674">
        <f>Table1[[#This Row],[Unit_Price]]*Table1[[#This Row],[Quantity]]</f>
        <v>80</v>
      </c>
    </row>
    <row r="675" spans="1:15" x14ac:dyDescent="0.3">
      <c r="A675" t="s">
        <v>2214</v>
      </c>
      <c r="B675" t="s">
        <v>1434</v>
      </c>
      <c r="C675" t="s">
        <v>283</v>
      </c>
      <c r="D675" t="s">
        <v>1051</v>
      </c>
      <c r="E675">
        <v>2</v>
      </c>
      <c r="F675">
        <f>_xlfn.XLOOKUP(Table1[[#This Row],[ProductID]],Products!A:A,Products!D:D,,0)</f>
        <v>150</v>
      </c>
      <c r="I675">
        <v>499</v>
      </c>
      <c r="J675">
        <v>449</v>
      </c>
      <c r="K675" t="s">
        <v>1107</v>
      </c>
      <c r="L675">
        <v>898</v>
      </c>
      <c r="M675" t="s">
        <v>1098</v>
      </c>
      <c r="N675" t="s">
        <v>1099</v>
      </c>
      <c r="O675">
        <f>Table1[[#This Row],[Unit_Price]]*Table1[[#This Row],[Quantity]]</f>
        <v>300</v>
      </c>
    </row>
    <row r="676" spans="1:15" x14ac:dyDescent="0.3">
      <c r="A676" t="s">
        <v>2215</v>
      </c>
      <c r="B676" t="s">
        <v>1519</v>
      </c>
      <c r="C676" t="s">
        <v>227</v>
      </c>
      <c r="D676" t="s">
        <v>1057</v>
      </c>
      <c r="E676">
        <v>1</v>
      </c>
      <c r="F676">
        <f>_xlfn.XLOOKUP(Table1[[#This Row],[ProductID]],Products!A:A,Products!D:D,,0)</f>
        <v>130</v>
      </c>
      <c r="I676">
        <v>549</v>
      </c>
      <c r="J676">
        <v>467</v>
      </c>
      <c r="K676" t="s">
        <v>1092</v>
      </c>
      <c r="L676">
        <v>467</v>
      </c>
      <c r="M676" t="s">
        <v>1098</v>
      </c>
      <c r="N676" t="s">
        <v>1099</v>
      </c>
      <c r="O676">
        <f>Table1[[#This Row],[Unit_Price]]*Table1[[#This Row],[Quantity]]</f>
        <v>130</v>
      </c>
    </row>
    <row r="677" spans="1:15" x14ac:dyDescent="0.3">
      <c r="A677" t="s">
        <v>2216</v>
      </c>
      <c r="B677" t="s">
        <v>1264</v>
      </c>
      <c r="C677" t="s">
        <v>785</v>
      </c>
      <c r="D677" t="s">
        <v>1055</v>
      </c>
      <c r="E677">
        <v>1</v>
      </c>
      <c r="F677">
        <f>_xlfn.XLOOKUP(Table1[[#This Row],[ProductID]],Products!A:A,Products!D:D,,0)</f>
        <v>75</v>
      </c>
      <c r="I677">
        <v>299</v>
      </c>
      <c r="J677">
        <v>254</v>
      </c>
      <c r="K677" t="s">
        <v>1092</v>
      </c>
      <c r="L677">
        <v>254</v>
      </c>
      <c r="M677" t="s">
        <v>1098</v>
      </c>
      <c r="N677" t="s">
        <v>1099</v>
      </c>
      <c r="O677">
        <f>Table1[[#This Row],[Unit_Price]]*Table1[[#This Row],[Quantity]]</f>
        <v>75</v>
      </c>
    </row>
    <row r="678" spans="1:15" x14ac:dyDescent="0.3">
      <c r="A678" t="s">
        <v>2217</v>
      </c>
      <c r="B678" t="s">
        <v>1987</v>
      </c>
      <c r="C678" t="s">
        <v>179</v>
      </c>
      <c r="D678" t="s">
        <v>1080</v>
      </c>
      <c r="E678">
        <v>4</v>
      </c>
      <c r="F678">
        <f>_xlfn.XLOOKUP(Table1[[#This Row],[ProductID]],Products!A:A,Products!D:D,,0)</f>
        <v>45</v>
      </c>
      <c r="I678">
        <v>249</v>
      </c>
      <c r="J678">
        <v>212</v>
      </c>
      <c r="K678" t="s">
        <v>1092</v>
      </c>
      <c r="L678">
        <v>848</v>
      </c>
      <c r="M678" t="s">
        <v>1093</v>
      </c>
      <c r="N678" t="s">
        <v>1099</v>
      </c>
      <c r="O678">
        <f>Table1[[#This Row],[Unit_Price]]*Table1[[#This Row],[Quantity]]</f>
        <v>180</v>
      </c>
    </row>
    <row r="679" spans="1:15" x14ac:dyDescent="0.3">
      <c r="A679" t="s">
        <v>2218</v>
      </c>
      <c r="B679" t="s">
        <v>1502</v>
      </c>
      <c r="C679" t="s">
        <v>751</v>
      </c>
      <c r="D679" t="s">
        <v>1071</v>
      </c>
      <c r="E679">
        <v>1</v>
      </c>
      <c r="F679">
        <f>_xlfn.XLOOKUP(Table1[[#This Row],[ProductID]],Products!A:A,Products!D:D,,0)</f>
        <v>125</v>
      </c>
      <c r="I679">
        <v>399</v>
      </c>
      <c r="J679">
        <v>359</v>
      </c>
      <c r="K679" t="s">
        <v>1107</v>
      </c>
      <c r="L679">
        <v>359</v>
      </c>
      <c r="M679" t="s">
        <v>1093</v>
      </c>
      <c r="N679" t="s">
        <v>1094</v>
      </c>
      <c r="O679">
        <f>Table1[[#This Row],[Unit_Price]]*Table1[[#This Row],[Quantity]]</f>
        <v>125</v>
      </c>
    </row>
    <row r="680" spans="1:15" x14ac:dyDescent="0.3">
      <c r="A680" t="s">
        <v>2219</v>
      </c>
      <c r="B680" t="s">
        <v>1600</v>
      </c>
      <c r="C680" t="s">
        <v>108</v>
      </c>
      <c r="D680" t="s">
        <v>1062</v>
      </c>
      <c r="E680">
        <v>1</v>
      </c>
      <c r="F680">
        <f>_xlfn.XLOOKUP(Table1[[#This Row],[ProductID]],Products!A:A,Products!D:D,,0)</f>
        <v>95</v>
      </c>
      <c r="I680">
        <v>349</v>
      </c>
      <c r="J680">
        <v>349</v>
      </c>
      <c r="K680" t="s">
        <v>1102</v>
      </c>
      <c r="L680">
        <v>349</v>
      </c>
      <c r="M680" t="s">
        <v>1098</v>
      </c>
      <c r="N680" t="s">
        <v>1099</v>
      </c>
      <c r="O680">
        <f>Table1[[#This Row],[Unit_Price]]*Table1[[#This Row],[Quantity]]</f>
        <v>95</v>
      </c>
    </row>
    <row r="681" spans="1:15" x14ac:dyDescent="0.3">
      <c r="A681" t="s">
        <v>2220</v>
      </c>
      <c r="B681" t="s">
        <v>1797</v>
      </c>
      <c r="C681" t="s">
        <v>423</v>
      </c>
      <c r="D681" t="s">
        <v>1075</v>
      </c>
      <c r="E681">
        <v>1</v>
      </c>
      <c r="F681">
        <f>_xlfn.XLOOKUP(Table1[[#This Row],[ProductID]],Products!A:A,Products!D:D,,0)</f>
        <v>80</v>
      </c>
      <c r="I681">
        <v>499</v>
      </c>
      <c r="J681">
        <v>499</v>
      </c>
      <c r="K681" t="s">
        <v>1102</v>
      </c>
      <c r="L681">
        <v>499</v>
      </c>
      <c r="M681" t="s">
        <v>1093</v>
      </c>
      <c r="N681" t="s">
        <v>1099</v>
      </c>
      <c r="O681">
        <f>Table1[[#This Row],[Unit_Price]]*Table1[[#This Row],[Quantity]]</f>
        <v>80</v>
      </c>
    </row>
    <row r="682" spans="1:15" x14ac:dyDescent="0.3">
      <c r="A682" t="s">
        <v>2221</v>
      </c>
      <c r="B682" t="s">
        <v>2222</v>
      </c>
      <c r="C682" t="s">
        <v>651</v>
      </c>
      <c r="D682" t="s">
        <v>1055</v>
      </c>
      <c r="E682">
        <v>3</v>
      </c>
      <c r="F682">
        <f>_xlfn.XLOOKUP(Table1[[#This Row],[ProductID]],Products!A:A,Products!D:D,,0)</f>
        <v>75</v>
      </c>
      <c r="I682">
        <v>299</v>
      </c>
      <c r="J682">
        <v>239</v>
      </c>
      <c r="K682" t="s">
        <v>1097</v>
      </c>
      <c r="L682">
        <v>717</v>
      </c>
      <c r="M682" t="s">
        <v>1093</v>
      </c>
      <c r="N682" t="s">
        <v>1099</v>
      </c>
      <c r="O682">
        <f>Table1[[#This Row],[Unit_Price]]*Table1[[#This Row],[Quantity]]</f>
        <v>225</v>
      </c>
    </row>
    <row r="683" spans="1:15" x14ac:dyDescent="0.3">
      <c r="A683" t="s">
        <v>2223</v>
      </c>
      <c r="B683" t="s">
        <v>2224</v>
      </c>
      <c r="C683" t="s">
        <v>195</v>
      </c>
      <c r="D683" t="s">
        <v>1078</v>
      </c>
      <c r="E683">
        <v>1</v>
      </c>
      <c r="F683">
        <f>_xlfn.XLOOKUP(Table1[[#This Row],[ProductID]],Products!A:A,Products!D:D,,0)</f>
        <v>80</v>
      </c>
      <c r="I683">
        <v>499</v>
      </c>
      <c r="J683">
        <v>449</v>
      </c>
      <c r="K683" t="s">
        <v>1107</v>
      </c>
      <c r="L683">
        <v>449</v>
      </c>
      <c r="M683" t="s">
        <v>1098</v>
      </c>
      <c r="N683" t="s">
        <v>1099</v>
      </c>
      <c r="O683">
        <f>Table1[[#This Row],[Unit_Price]]*Table1[[#This Row],[Quantity]]</f>
        <v>80</v>
      </c>
    </row>
    <row r="684" spans="1:15" x14ac:dyDescent="0.3">
      <c r="A684" t="s">
        <v>2225</v>
      </c>
      <c r="B684" t="s">
        <v>1351</v>
      </c>
      <c r="C684" t="s">
        <v>813</v>
      </c>
      <c r="D684" t="s">
        <v>1057</v>
      </c>
      <c r="E684">
        <v>1</v>
      </c>
      <c r="F684">
        <f>_xlfn.XLOOKUP(Table1[[#This Row],[ProductID]],Products!A:A,Products!D:D,,0)</f>
        <v>130</v>
      </c>
      <c r="I684">
        <v>549</v>
      </c>
      <c r="J684">
        <v>494</v>
      </c>
      <c r="K684" t="s">
        <v>1107</v>
      </c>
      <c r="L684">
        <v>494</v>
      </c>
      <c r="M684" t="s">
        <v>1098</v>
      </c>
      <c r="N684" t="s">
        <v>1099</v>
      </c>
      <c r="O684">
        <f>Table1[[#This Row],[Unit_Price]]*Table1[[#This Row],[Quantity]]</f>
        <v>130</v>
      </c>
    </row>
    <row r="685" spans="1:15" x14ac:dyDescent="0.3">
      <c r="A685" t="s">
        <v>2226</v>
      </c>
      <c r="B685" t="s">
        <v>2227</v>
      </c>
      <c r="C685" t="s">
        <v>431</v>
      </c>
      <c r="D685" t="s">
        <v>1078</v>
      </c>
      <c r="E685">
        <v>3</v>
      </c>
      <c r="F685">
        <f>_xlfn.XLOOKUP(Table1[[#This Row],[ProductID]],Products!A:A,Products!D:D,,0)</f>
        <v>80</v>
      </c>
      <c r="I685">
        <v>499</v>
      </c>
      <c r="J685">
        <v>499</v>
      </c>
      <c r="K685" t="s">
        <v>1102</v>
      </c>
      <c r="L685">
        <v>1497</v>
      </c>
      <c r="M685" t="s">
        <v>1093</v>
      </c>
      <c r="N685" t="s">
        <v>1123</v>
      </c>
      <c r="O685">
        <f>Table1[[#This Row],[Unit_Price]]*Table1[[#This Row],[Quantity]]</f>
        <v>240</v>
      </c>
    </row>
    <row r="686" spans="1:15" x14ac:dyDescent="0.3">
      <c r="A686" t="s">
        <v>2228</v>
      </c>
      <c r="B686" t="s">
        <v>2229</v>
      </c>
      <c r="C686" t="s">
        <v>769</v>
      </c>
      <c r="D686" t="s">
        <v>1068</v>
      </c>
      <c r="E686">
        <v>2</v>
      </c>
      <c r="F686">
        <f>_xlfn.XLOOKUP(Table1[[#This Row],[ProductID]],Products!A:A,Products!D:D,,0)</f>
        <v>180</v>
      </c>
      <c r="I686">
        <v>449</v>
      </c>
      <c r="J686">
        <v>404</v>
      </c>
      <c r="K686" t="s">
        <v>1107</v>
      </c>
      <c r="L686">
        <v>808</v>
      </c>
      <c r="M686" t="s">
        <v>1093</v>
      </c>
      <c r="N686" t="s">
        <v>1099</v>
      </c>
      <c r="O686">
        <f>Table1[[#This Row],[Unit_Price]]*Table1[[#This Row],[Quantity]]</f>
        <v>360</v>
      </c>
    </row>
    <row r="687" spans="1:15" x14ac:dyDescent="0.3">
      <c r="A687" t="s">
        <v>2230</v>
      </c>
      <c r="B687" t="s">
        <v>2231</v>
      </c>
      <c r="C687" t="s">
        <v>581</v>
      </c>
      <c r="D687" t="s">
        <v>1053</v>
      </c>
      <c r="E687">
        <v>1</v>
      </c>
      <c r="F687">
        <f>_xlfn.XLOOKUP(Table1[[#This Row],[ProductID]],Products!A:A,Products!D:D,,0)</f>
        <v>200</v>
      </c>
      <c r="I687">
        <v>899</v>
      </c>
      <c r="J687">
        <v>899</v>
      </c>
      <c r="K687" t="s">
        <v>1102</v>
      </c>
      <c r="L687">
        <v>899</v>
      </c>
      <c r="M687" t="s">
        <v>1098</v>
      </c>
      <c r="N687" t="s">
        <v>1099</v>
      </c>
      <c r="O687">
        <f>Table1[[#This Row],[Unit_Price]]*Table1[[#This Row],[Quantity]]</f>
        <v>200</v>
      </c>
    </row>
    <row r="688" spans="1:15" x14ac:dyDescent="0.3">
      <c r="A688" t="s">
        <v>2232</v>
      </c>
      <c r="B688" t="s">
        <v>1190</v>
      </c>
      <c r="C688" t="s">
        <v>985</v>
      </c>
      <c r="D688" t="s">
        <v>1066</v>
      </c>
      <c r="E688">
        <v>1</v>
      </c>
      <c r="F688">
        <f>_xlfn.XLOOKUP(Table1[[#This Row],[ProductID]],Products!A:A,Products!D:D,,0)</f>
        <v>140</v>
      </c>
      <c r="I688">
        <v>499</v>
      </c>
      <c r="J688">
        <v>499</v>
      </c>
      <c r="K688" t="s">
        <v>1102</v>
      </c>
      <c r="L688">
        <v>499</v>
      </c>
      <c r="M688" t="s">
        <v>1093</v>
      </c>
      <c r="N688" t="s">
        <v>1123</v>
      </c>
      <c r="O688">
        <f>Table1[[#This Row],[Unit_Price]]*Table1[[#This Row],[Quantity]]</f>
        <v>140</v>
      </c>
    </row>
    <row r="689" spans="1:15" x14ac:dyDescent="0.3">
      <c r="A689" t="s">
        <v>2233</v>
      </c>
      <c r="B689" t="s">
        <v>1502</v>
      </c>
      <c r="C689" t="s">
        <v>339</v>
      </c>
      <c r="D689" t="s">
        <v>1059</v>
      </c>
      <c r="E689">
        <v>1</v>
      </c>
      <c r="F689">
        <f>_xlfn.XLOOKUP(Table1[[#This Row],[ProductID]],Products!A:A,Products!D:D,,0)</f>
        <v>110</v>
      </c>
      <c r="I689">
        <v>399</v>
      </c>
      <c r="J689">
        <v>359</v>
      </c>
      <c r="K689" t="s">
        <v>1107</v>
      </c>
      <c r="L689">
        <v>359</v>
      </c>
      <c r="M689" t="s">
        <v>1093</v>
      </c>
      <c r="N689" t="s">
        <v>1099</v>
      </c>
      <c r="O689">
        <f>Table1[[#This Row],[Unit_Price]]*Table1[[#This Row],[Quantity]]</f>
        <v>110</v>
      </c>
    </row>
    <row r="690" spans="1:15" x14ac:dyDescent="0.3">
      <c r="A690" t="s">
        <v>2234</v>
      </c>
      <c r="B690" t="s">
        <v>1434</v>
      </c>
      <c r="C690" t="s">
        <v>1021</v>
      </c>
      <c r="D690" t="s">
        <v>1051</v>
      </c>
      <c r="E690">
        <v>1</v>
      </c>
      <c r="F690">
        <f>_xlfn.XLOOKUP(Table1[[#This Row],[ProductID]],Products!A:A,Products!D:D,,0)</f>
        <v>150</v>
      </c>
      <c r="I690">
        <v>499</v>
      </c>
      <c r="J690">
        <v>424</v>
      </c>
      <c r="K690" t="s">
        <v>1092</v>
      </c>
      <c r="L690">
        <v>424</v>
      </c>
      <c r="M690" t="s">
        <v>1126</v>
      </c>
      <c r="N690" t="s">
        <v>1099</v>
      </c>
      <c r="O690">
        <f>Table1[[#This Row],[Unit_Price]]*Table1[[#This Row],[Quantity]]</f>
        <v>150</v>
      </c>
    </row>
    <row r="691" spans="1:15" x14ac:dyDescent="0.3">
      <c r="A691" t="s">
        <v>2235</v>
      </c>
      <c r="B691" t="s">
        <v>1449</v>
      </c>
      <c r="C691" t="s">
        <v>173</v>
      </c>
      <c r="D691" t="s">
        <v>1048</v>
      </c>
      <c r="E691">
        <v>2</v>
      </c>
      <c r="F691">
        <f>_xlfn.XLOOKUP(Table1[[#This Row],[ProductID]],Products!A:A,Products!D:D,,0)</f>
        <v>120</v>
      </c>
      <c r="I691">
        <v>599</v>
      </c>
      <c r="J691">
        <v>539</v>
      </c>
      <c r="K691" t="s">
        <v>1107</v>
      </c>
      <c r="L691">
        <v>1078</v>
      </c>
      <c r="M691" t="s">
        <v>1098</v>
      </c>
      <c r="N691" t="s">
        <v>1099</v>
      </c>
      <c r="O691">
        <f>Table1[[#This Row],[Unit_Price]]*Table1[[#This Row],[Quantity]]</f>
        <v>240</v>
      </c>
    </row>
    <row r="692" spans="1:15" x14ac:dyDescent="0.3">
      <c r="A692" t="s">
        <v>2236</v>
      </c>
      <c r="B692" t="s">
        <v>2237</v>
      </c>
      <c r="C692" t="s">
        <v>108</v>
      </c>
      <c r="D692" t="s">
        <v>1059</v>
      </c>
      <c r="E692">
        <v>1</v>
      </c>
      <c r="F692">
        <f>_xlfn.XLOOKUP(Table1[[#This Row],[ProductID]],Products!A:A,Products!D:D,,0)</f>
        <v>110</v>
      </c>
      <c r="I692">
        <v>399</v>
      </c>
      <c r="J692">
        <v>399</v>
      </c>
      <c r="K692" t="s">
        <v>1102</v>
      </c>
      <c r="L692">
        <v>399</v>
      </c>
      <c r="M692" t="s">
        <v>1093</v>
      </c>
      <c r="N692" t="s">
        <v>1099</v>
      </c>
      <c r="O692">
        <f>Table1[[#This Row],[Unit_Price]]*Table1[[#This Row],[Quantity]]</f>
        <v>110</v>
      </c>
    </row>
    <row r="693" spans="1:15" x14ac:dyDescent="0.3">
      <c r="A693" t="s">
        <v>2238</v>
      </c>
      <c r="B693" t="s">
        <v>2239</v>
      </c>
      <c r="C693" t="s">
        <v>731</v>
      </c>
      <c r="D693" t="s">
        <v>1073</v>
      </c>
      <c r="E693">
        <v>1</v>
      </c>
      <c r="F693">
        <f>_xlfn.XLOOKUP(Table1[[#This Row],[ProductID]],Products!A:A,Products!D:D,,0)</f>
        <v>100</v>
      </c>
      <c r="I693">
        <v>349</v>
      </c>
      <c r="J693">
        <v>349</v>
      </c>
      <c r="K693" t="s">
        <v>1102</v>
      </c>
      <c r="L693">
        <v>349</v>
      </c>
      <c r="M693" t="s">
        <v>1098</v>
      </c>
      <c r="N693" t="s">
        <v>1099</v>
      </c>
      <c r="O693">
        <f>Table1[[#This Row],[Unit_Price]]*Table1[[#This Row],[Quantity]]</f>
        <v>100</v>
      </c>
    </row>
    <row r="694" spans="1:15" x14ac:dyDescent="0.3">
      <c r="A694" t="s">
        <v>2240</v>
      </c>
      <c r="B694" t="s">
        <v>1973</v>
      </c>
      <c r="C694" t="s">
        <v>891</v>
      </c>
      <c r="D694" t="s">
        <v>1053</v>
      </c>
      <c r="E694">
        <v>1</v>
      </c>
      <c r="F694">
        <f>_xlfn.XLOOKUP(Table1[[#This Row],[ProductID]],Products!A:A,Products!D:D,,0)</f>
        <v>200</v>
      </c>
      <c r="I694">
        <v>899</v>
      </c>
      <c r="J694">
        <v>809</v>
      </c>
      <c r="K694" t="s">
        <v>1107</v>
      </c>
      <c r="L694">
        <v>809</v>
      </c>
      <c r="M694" t="s">
        <v>1093</v>
      </c>
      <c r="N694" t="s">
        <v>1094</v>
      </c>
      <c r="O694">
        <f>Table1[[#This Row],[Unit_Price]]*Table1[[#This Row],[Quantity]]</f>
        <v>200</v>
      </c>
    </row>
    <row r="695" spans="1:15" x14ac:dyDescent="0.3">
      <c r="A695" t="s">
        <v>2241</v>
      </c>
      <c r="B695" t="s">
        <v>1209</v>
      </c>
      <c r="C695" t="s">
        <v>167</v>
      </c>
      <c r="D695" t="s">
        <v>1064</v>
      </c>
      <c r="E695">
        <v>1</v>
      </c>
      <c r="F695">
        <f>_xlfn.XLOOKUP(Table1[[#This Row],[ProductID]],Products!A:A,Products!D:D,,0)</f>
        <v>160</v>
      </c>
      <c r="I695">
        <v>699</v>
      </c>
      <c r="J695">
        <v>699</v>
      </c>
      <c r="K695" t="s">
        <v>1102</v>
      </c>
      <c r="L695">
        <v>699</v>
      </c>
      <c r="M695" t="s">
        <v>1093</v>
      </c>
      <c r="N695" t="s">
        <v>1099</v>
      </c>
      <c r="O695">
        <f>Table1[[#This Row],[Unit_Price]]*Table1[[#This Row],[Quantity]]</f>
        <v>160</v>
      </c>
    </row>
    <row r="696" spans="1:15" x14ac:dyDescent="0.3">
      <c r="A696" t="s">
        <v>2242</v>
      </c>
      <c r="B696" t="s">
        <v>2243</v>
      </c>
      <c r="C696" t="s">
        <v>741</v>
      </c>
      <c r="D696" t="s">
        <v>1057</v>
      </c>
      <c r="E696">
        <v>4</v>
      </c>
      <c r="F696">
        <f>_xlfn.XLOOKUP(Table1[[#This Row],[ProductID]],Products!A:A,Products!D:D,,0)</f>
        <v>130</v>
      </c>
      <c r="I696">
        <v>549</v>
      </c>
      <c r="J696">
        <v>549</v>
      </c>
      <c r="K696" t="s">
        <v>1102</v>
      </c>
      <c r="L696">
        <v>2196</v>
      </c>
      <c r="M696" t="s">
        <v>1118</v>
      </c>
      <c r="N696" t="s">
        <v>1099</v>
      </c>
      <c r="O696">
        <f>Table1[[#This Row],[Unit_Price]]*Table1[[#This Row],[Quantity]]</f>
        <v>520</v>
      </c>
    </row>
    <row r="697" spans="1:15" x14ac:dyDescent="0.3">
      <c r="A697" t="s">
        <v>2244</v>
      </c>
      <c r="B697" t="s">
        <v>2245</v>
      </c>
      <c r="C697" t="s">
        <v>675</v>
      </c>
      <c r="D697" t="s">
        <v>1080</v>
      </c>
      <c r="E697">
        <v>3</v>
      </c>
      <c r="F697">
        <f>_xlfn.XLOOKUP(Table1[[#This Row],[ProductID]],Products!A:A,Products!D:D,,0)</f>
        <v>45</v>
      </c>
      <c r="I697">
        <v>249</v>
      </c>
      <c r="J697">
        <v>224</v>
      </c>
      <c r="K697" t="s">
        <v>1107</v>
      </c>
      <c r="L697">
        <v>672</v>
      </c>
      <c r="M697" t="s">
        <v>1093</v>
      </c>
      <c r="N697" t="s">
        <v>1099</v>
      </c>
      <c r="O697">
        <f>Table1[[#This Row],[Unit_Price]]*Table1[[#This Row],[Quantity]]</f>
        <v>135</v>
      </c>
    </row>
    <row r="698" spans="1:15" x14ac:dyDescent="0.3">
      <c r="A698" t="s">
        <v>2246</v>
      </c>
      <c r="B698" t="s">
        <v>1106</v>
      </c>
      <c r="C698" t="s">
        <v>1031</v>
      </c>
      <c r="D698" t="s">
        <v>1059</v>
      </c>
      <c r="E698">
        <v>1</v>
      </c>
      <c r="F698">
        <f>_xlfn.XLOOKUP(Table1[[#This Row],[ProductID]],Products!A:A,Products!D:D,,0)</f>
        <v>110</v>
      </c>
      <c r="I698">
        <v>399</v>
      </c>
      <c r="J698">
        <v>319</v>
      </c>
      <c r="K698" t="s">
        <v>1097</v>
      </c>
      <c r="L698">
        <v>319</v>
      </c>
      <c r="M698" t="s">
        <v>1093</v>
      </c>
      <c r="N698" t="s">
        <v>1094</v>
      </c>
      <c r="O698">
        <f>Table1[[#This Row],[Unit_Price]]*Table1[[#This Row],[Quantity]]</f>
        <v>110</v>
      </c>
    </row>
    <row r="699" spans="1:15" x14ac:dyDescent="0.3">
      <c r="A699" t="s">
        <v>2247</v>
      </c>
      <c r="B699" t="s">
        <v>1575</v>
      </c>
      <c r="C699" t="s">
        <v>413</v>
      </c>
      <c r="D699" t="s">
        <v>1078</v>
      </c>
      <c r="E699">
        <v>1</v>
      </c>
      <c r="F699">
        <f>_xlfn.XLOOKUP(Table1[[#This Row],[ProductID]],Products!A:A,Products!D:D,,0)</f>
        <v>80</v>
      </c>
      <c r="I699">
        <v>499</v>
      </c>
      <c r="J699">
        <v>449</v>
      </c>
      <c r="K699" t="s">
        <v>1107</v>
      </c>
      <c r="L699">
        <v>449</v>
      </c>
      <c r="M699" t="s">
        <v>1098</v>
      </c>
      <c r="N699" t="s">
        <v>1099</v>
      </c>
      <c r="O699">
        <f>Table1[[#This Row],[Unit_Price]]*Table1[[#This Row],[Quantity]]</f>
        <v>80</v>
      </c>
    </row>
    <row r="700" spans="1:15" x14ac:dyDescent="0.3">
      <c r="A700" t="s">
        <v>2248</v>
      </c>
      <c r="B700" t="s">
        <v>2139</v>
      </c>
      <c r="C700" t="s">
        <v>401</v>
      </c>
      <c r="D700" t="s">
        <v>1055</v>
      </c>
      <c r="E700">
        <v>1</v>
      </c>
      <c r="F700">
        <f>_xlfn.XLOOKUP(Table1[[#This Row],[ProductID]],Products!A:A,Products!D:D,,0)</f>
        <v>75</v>
      </c>
      <c r="I700">
        <v>299</v>
      </c>
      <c r="J700">
        <v>254</v>
      </c>
      <c r="K700" t="s">
        <v>1092</v>
      </c>
      <c r="L700">
        <v>254</v>
      </c>
      <c r="M700" t="s">
        <v>1098</v>
      </c>
      <c r="N700" t="s">
        <v>1099</v>
      </c>
      <c r="O700">
        <f>Table1[[#This Row],[Unit_Price]]*Table1[[#This Row],[Quantity]]</f>
        <v>75</v>
      </c>
    </row>
    <row r="701" spans="1:15" x14ac:dyDescent="0.3">
      <c r="A701" t="s">
        <v>2249</v>
      </c>
      <c r="B701" t="s">
        <v>1339</v>
      </c>
      <c r="C701" t="s">
        <v>689</v>
      </c>
      <c r="D701" t="s">
        <v>1066</v>
      </c>
      <c r="E701">
        <v>2</v>
      </c>
      <c r="F701">
        <f>_xlfn.XLOOKUP(Table1[[#This Row],[ProductID]],Products!A:A,Products!D:D,,0)</f>
        <v>140</v>
      </c>
      <c r="I701">
        <v>499</v>
      </c>
      <c r="J701">
        <v>499</v>
      </c>
      <c r="K701" t="s">
        <v>1102</v>
      </c>
      <c r="L701">
        <v>998</v>
      </c>
      <c r="M701" t="s">
        <v>1098</v>
      </c>
      <c r="N701" t="s">
        <v>1099</v>
      </c>
      <c r="O701">
        <f>Table1[[#This Row],[Unit_Price]]*Table1[[#This Row],[Quantity]]</f>
        <v>280</v>
      </c>
    </row>
    <row r="702" spans="1:15" x14ac:dyDescent="0.3">
      <c r="A702" t="s">
        <v>2250</v>
      </c>
      <c r="B702" t="s">
        <v>2251</v>
      </c>
      <c r="C702" t="s">
        <v>885</v>
      </c>
      <c r="D702" t="s">
        <v>1053</v>
      </c>
      <c r="E702">
        <v>1</v>
      </c>
      <c r="F702">
        <f>_xlfn.XLOOKUP(Table1[[#This Row],[ProductID]],Products!A:A,Products!D:D,,0)</f>
        <v>200</v>
      </c>
      <c r="I702">
        <v>899</v>
      </c>
      <c r="J702">
        <v>809</v>
      </c>
      <c r="K702" t="s">
        <v>1107</v>
      </c>
      <c r="L702">
        <v>809</v>
      </c>
      <c r="M702" t="s">
        <v>1098</v>
      </c>
      <c r="N702" t="s">
        <v>1099</v>
      </c>
      <c r="O702">
        <f>Table1[[#This Row],[Unit_Price]]*Table1[[#This Row],[Quantity]]</f>
        <v>200</v>
      </c>
    </row>
    <row r="703" spans="1:15" x14ac:dyDescent="0.3">
      <c r="A703" t="s">
        <v>2252</v>
      </c>
      <c r="B703" t="s">
        <v>2112</v>
      </c>
      <c r="C703" t="s">
        <v>156</v>
      </c>
      <c r="D703" t="s">
        <v>1080</v>
      </c>
      <c r="E703">
        <v>2</v>
      </c>
      <c r="F703">
        <f>_xlfn.XLOOKUP(Table1[[#This Row],[ProductID]],Products!A:A,Products!D:D,,0)</f>
        <v>45</v>
      </c>
      <c r="I703">
        <v>249</v>
      </c>
      <c r="J703">
        <v>224</v>
      </c>
      <c r="K703" t="s">
        <v>1107</v>
      </c>
      <c r="L703">
        <v>448</v>
      </c>
      <c r="M703" t="s">
        <v>1093</v>
      </c>
      <c r="N703" t="s">
        <v>1099</v>
      </c>
      <c r="O703">
        <f>Table1[[#This Row],[Unit_Price]]*Table1[[#This Row],[Quantity]]</f>
        <v>90</v>
      </c>
    </row>
    <row r="704" spans="1:15" x14ac:dyDescent="0.3">
      <c r="A704" t="s">
        <v>2253</v>
      </c>
      <c r="B704" t="s">
        <v>2254</v>
      </c>
      <c r="C704" t="s">
        <v>211</v>
      </c>
      <c r="D704" t="s">
        <v>1059</v>
      </c>
      <c r="E704">
        <v>2</v>
      </c>
      <c r="F704">
        <f>_xlfn.XLOOKUP(Table1[[#This Row],[ProductID]],Products!A:A,Products!D:D,,0)</f>
        <v>110</v>
      </c>
      <c r="I704">
        <v>399</v>
      </c>
      <c r="J704">
        <v>339</v>
      </c>
      <c r="K704" t="s">
        <v>1092</v>
      </c>
      <c r="L704">
        <v>678</v>
      </c>
      <c r="M704" t="s">
        <v>1093</v>
      </c>
      <c r="N704" t="s">
        <v>1099</v>
      </c>
      <c r="O704">
        <f>Table1[[#This Row],[Unit_Price]]*Table1[[#This Row],[Quantity]]</f>
        <v>220</v>
      </c>
    </row>
    <row r="705" spans="1:15" x14ac:dyDescent="0.3">
      <c r="A705" t="s">
        <v>2255</v>
      </c>
      <c r="B705" t="s">
        <v>1404</v>
      </c>
      <c r="C705" t="s">
        <v>209</v>
      </c>
      <c r="D705" t="s">
        <v>1048</v>
      </c>
      <c r="E705">
        <v>3</v>
      </c>
      <c r="F705">
        <f>_xlfn.XLOOKUP(Table1[[#This Row],[ProductID]],Products!A:A,Products!D:D,,0)</f>
        <v>120</v>
      </c>
      <c r="I705">
        <v>599</v>
      </c>
      <c r="J705">
        <v>539</v>
      </c>
      <c r="K705" t="s">
        <v>1107</v>
      </c>
      <c r="L705">
        <v>1617</v>
      </c>
      <c r="M705" t="s">
        <v>1093</v>
      </c>
      <c r="N705" t="s">
        <v>1099</v>
      </c>
      <c r="O705">
        <f>Table1[[#This Row],[Unit_Price]]*Table1[[#This Row],[Quantity]]</f>
        <v>360</v>
      </c>
    </row>
    <row r="706" spans="1:15" x14ac:dyDescent="0.3">
      <c r="A706" t="s">
        <v>2256</v>
      </c>
      <c r="B706" t="s">
        <v>2257</v>
      </c>
      <c r="C706" t="s">
        <v>160</v>
      </c>
      <c r="D706" t="s">
        <v>1075</v>
      </c>
      <c r="E706">
        <v>1</v>
      </c>
      <c r="F706">
        <f>_xlfn.XLOOKUP(Table1[[#This Row],[ProductID]],Products!A:A,Products!D:D,,0)</f>
        <v>80</v>
      </c>
      <c r="I706">
        <v>499</v>
      </c>
      <c r="J706">
        <v>399</v>
      </c>
      <c r="K706" t="s">
        <v>1097</v>
      </c>
      <c r="L706">
        <v>399</v>
      </c>
      <c r="M706" t="s">
        <v>1098</v>
      </c>
      <c r="N706" t="s">
        <v>1099</v>
      </c>
      <c r="O706">
        <f>Table1[[#This Row],[Unit_Price]]*Table1[[#This Row],[Quantity]]</f>
        <v>80</v>
      </c>
    </row>
    <row r="707" spans="1:15" x14ac:dyDescent="0.3">
      <c r="A707" t="s">
        <v>2258</v>
      </c>
      <c r="B707" t="s">
        <v>1420</v>
      </c>
      <c r="C707" t="s">
        <v>491</v>
      </c>
      <c r="D707" t="s">
        <v>1051</v>
      </c>
      <c r="E707">
        <v>1</v>
      </c>
      <c r="F707">
        <f>_xlfn.XLOOKUP(Table1[[#This Row],[ProductID]],Products!A:A,Products!D:D,,0)</f>
        <v>150</v>
      </c>
      <c r="I707">
        <v>499</v>
      </c>
      <c r="J707">
        <v>399</v>
      </c>
      <c r="K707" t="s">
        <v>1097</v>
      </c>
      <c r="L707">
        <v>399</v>
      </c>
      <c r="M707" t="s">
        <v>1093</v>
      </c>
      <c r="N707" t="s">
        <v>1094</v>
      </c>
      <c r="O707">
        <f>Table1[[#This Row],[Unit_Price]]*Table1[[#This Row],[Quantity]]</f>
        <v>150</v>
      </c>
    </row>
    <row r="708" spans="1:15" x14ac:dyDescent="0.3">
      <c r="A708" t="s">
        <v>2259</v>
      </c>
      <c r="B708" t="s">
        <v>1414</v>
      </c>
      <c r="C708" t="s">
        <v>261</v>
      </c>
      <c r="D708" t="s">
        <v>1071</v>
      </c>
      <c r="E708">
        <v>2</v>
      </c>
      <c r="F708">
        <f>_xlfn.XLOOKUP(Table1[[#This Row],[ProductID]],Products!A:A,Products!D:D,,0)</f>
        <v>125</v>
      </c>
      <c r="I708">
        <v>399</v>
      </c>
      <c r="J708">
        <v>339</v>
      </c>
      <c r="K708" t="s">
        <v>1092</v>
      </c>
      <c r="L708">
        <v>678</v>
      </c>
      <c r="M708" t="s">
        <v>1098</v>
      </c>
      <c r="N708" t="s">
        <v>1099</v>
      </c>
      <c r="O708">
        <f>Table1[[#This Row],[Unit_Price]]*Table1[[#This Row],[Quantity]]</f>
        <v>250</v>
      </c>
    </row>
    <row r="709" spans="1:15" x14ac:dyDescent="0.3">
      <c r="A709" t="s">
        <v>2260</v>
      </c>
      <c r="B709" t="s">
        <v>2261</v>
      </c>
      <c r="C709" t="s">
        <v>891</v>
      </c>
      <c r="D709" t="s">
        <v>1068</v>
      </c>
      <c r="E709">
        <v>1</v>
      </c>
      <c r="F709">
        <f>_xlfn.XLOOKUP(Table1[[#This Row],[ProductID]],Products!A:A,Products!D:D,,0)</f>
        <v>180</v>
      </c>
      <c r="I709">
        <v>449</v>
      </c>
      <c r="J709">
        <v>382</v>
      </c>
      <c r="K709" t="s">
        <v>1092</v>
      </c>
      <c r="L709">
        <v>382</v>
      </c>
      <c r="M709" t="s">
        <v>1098</v>
      </c>
      <c r="N709" t="s">
        <v>1099</v>
      </c>
      <c r="O709">
        <f>Table1[[#This Row],[Unit_Price]]*Table1[[#This Row],[Quantity]]</f>
        <v>180</v>
      </c>
    </row>
    <row r="710" spans="1:15" x14ac:dyDescent="0.3">
      <c r="A710" t="s">
        <v>2262</v>
      </c>
      <c r="B710" t="s">
        <v>2263</v>
      </c>
      <c r="C710" t="s">
        <v>353</v>
      </c>
      <c r="D710" t="s">
        <v>1066</v>
      </c>
      <c r="E710">
        <v>1</v>
      </c>
      <c r="F710">
        <f>_xlfn.XLOOKUP(Table1[[#This Row],[ProductID]],Products!A:A,Products!D:D,,0)</f>
        <v>140</v>
      </c>
      <c r="I710">
        <v>499</v>
      </c>
      <c r="J710">
        <v>499</v>
      </c>
      <c r="K710" t="s">
        <v>1102</v>
      </c>
      <c r="L710">
        <v>499</v>
      </c>
      <c r="M710" t="s">
        <v>1126</v>
      </c>
      <c r="N710" t="s">
        <v>1099</v>
      </c>
      <c r="O710">
        <f>Table1[[#This Row],[Unit_Price]]*Table1[[#This Row],[Quantity]]</f>
        <v>140</v>
      </c>
    </row>
    <row r="711" spans="1:15" x14ac:dyDescent="0.3">
      <c r="A711" t="s">
        <v>2264</v>
      </c>
      <c r="B711" t="s">
        <v>2265</v>
      </c>
      <c r="C711" t="s">
        <v>407</v>
      </c>
      <c r="D711" t="s">
        <v>1071</v>
      </c>
      <c r="E711">
        <v>3</v>
      </c>
      <c r="F711">
        <f>_xlfn.XLOOKUP(Table1[[#This Row],[ProductID]],Products!A:A,Products!D:D,,0)</f>
        <v>125</v>
      </c>
      <c r="I711">
        <v>399</v>
      </c>
      <c r="J711">
        <v>399</v>
      </c>
      <c r="K711" t="s">
        <v>1102</v>
      </c>
      <c r="L711">
        <v>1197</v>
      </c>
      <c r="M711" t="s">
        <v>1118</v>
      </c>
      <c r="N711" t="s">
        <v>1099</v>
      </c>
      <c r="O711">
        <f>Table1[[#This Row],[Unit_Price]]*Table1[[#This Row],[Quantity]]</f>
        <v>375</v>
      </c>
    </row>
    <row r="712" spans="1:15" x14ac:dyDescent="0.3">
      <c r="A712" t="s">
        <v>2266</v>
      </c>
      <c r="B712" t="s">
        <v>2267</v>
      </c>
      <c r="C712" t="s">
        <v>447</v>
      </c>
      <c r="D712" t="s">
        <v>1080</v>
      </c>
      <c r="E712">
        <v>1</v>
      </c>
      <c r="F712">
        <f>_xlfn.XLOOKUP(Table1[[#This Row],[ProductID]],Products!A:A,Products!D:D,,0)</f>
        <v>45</v>
      </c>
      <c r="I712">
        <v>249</v>
      </c>
      <c r="J712">
        <v>212</v>
      </c>
      <c r="K712" t="s">
        <v>1092</v>
      </c>
      <c r="L712">
        <v>212</v>
      </c>
      <c r="M712" t="s">
        <v>1118</v>
      </c>
      <c r="N712" t="s">
        <v>1099</v>
      </c>
      <c r="O712">
        <f>Table1[[#This Row],[Unit_Price]]*Table1[[#This Row],[Quantity]]</f>
        <v>45</v>
      </c>
    </row>
    <row r="713" spans="1:15" x14ac:dyDescent="0.3">
      <c r="A713" t="s">
        <v>2268</v>
      </c>
      <c r="B713" t="s">
        <v>1811</v>
      </c>
      <c r="C713" t="s">
        <v>124</v>
      </c>
      <c r="D713" t="s">
        <v>1055</v>
      </c>
      <c r="E713">
        <v>4</v>
      </c>
      <c r="F713">
        <f>_xlfn.XLOOKUP(Table1[[#This Row],[ProductID]],Products!A:A,Products!D:D,,0)</f>
        <v>75</v>
      </c>
      <c r="I713">
        <v>299</v>
      </c>
      <c r="J713">
        <v>254</v>
      </c>
      <c r="K713" t="s">
        <v>1092</v>
      </c>
      <c r="L713">
        <v>1016</v>
      </c>
      <c r="M713" t="s">
        <v>1093</v>
      </c>
      <c r="N713" t="s">
        <v>1094</v>
      </c>
      <c r="O713">
        <f>Table1[[#This Row],[Unit_Price]]*Table1[[#This Row],[Quantity]]</f>
        <v>300</v>
      </c>
    </row>
    <row r="714" spans="1:15" x14ac:dyDescent="0.3">
      <c r="A714" t="s">
        <v>2269</v>
      </c>
      <c r="B714" t="s">
        <v>1995</v>
      </c>
      <c r="C714" t="s">
        <v>673</v>
      </c>
      <c r="D714" t="s">
        <v>1068</v>
      </c>
      <c r="E714">
        <v>1</v>
      </c>
      <c r="F714">
        <f>_xlfn.XLOOKUP(Table1[[#This Row],[ProductID]],Products!A:A,Products!D:D,,0)</f>
        <v>180</v>
      </c>
      <c r="I714">
        <v>449</v>
      </c>
      <c r="J714">
        <v>359</v>
      </c>
      <c r="K714" t="s">
        <v>1097</v>
      </c>
      <c r="L714">
        <v>359</v>
      </c>
      <c r="M714" t="s">
        <v>1098</v>
      </c>
      <c r="N714" t="s">
        <v>1099</v>
      </c>
      <c r="O714">
        <f>Table1[[#This Row],[Unit_Price]]*Table1[[#This Row],[Quantity]]</f>
        <v>180</v>
      </c>
    </row>
    <row r="715" spans="1:15" x14ac:dyDescent="0.3">
      <c r="A715" t="s">
        <v>2270</v>
      </c>
      <c r="B715" t="s">
        <v>1343</v>
      </c>
      <c r="C715" t="s">
        <v>897</v>
      </c>
      <c r="D715" t="s">
        <v>1075</v>
      </c>
      <c r="E715">
        <v>1</v>
      </c>
      <c r="F715">
        <f>_xlfn.XLOOKUP(Table1[[#This Row],[ProductID]],Products!A:A,Products!D:D,,0)</f>
        <v>80</v>
      </c>
      <c r="I715">
        <v>499</v>
      </c>
      <c r="J715">
        <v>449</v>
      </c>
      <c r="K715" t="s">
        <v>1107</v>
      </c>
      <c r="L715">
        <v>449</v>
      </c>
      <c r="M715" t="s">
        <v>1093</v>
      </c>
      <c r="N715" t="s">
        <v>1094</v>
      </c>
      <c r="O715">
        <f>Table1[[#This Row],[Unit_Price]]*Table1[[#This Row],[Quantity]]</f>
        <v>80</v>
      </c>
    </row>
    <row r="716" spans="1:15" x14ac:dyDescent="0.3">
      <c r="A716" t="s">
        <v>2271</v>
      </c>
      <c r="B716" t="s">
        <v>2272</v>
      </c>
      <c r="C716" t="s">
        <v>239</v>
      </c>
      <c r="D716" t="s">
        <v>1073</v>
      </c>
      <c r="E716">
        <v>2</v>
      </c>
      <c r="F716">
        <f>_xlfn.XLOOKUP(Table1[[#This Row],[ProductID]],Products!A:A,Products!D:D,,0)</f>
        <v>100</v>
      </c>
      <c r="I716">
        <v>349</v>
      </c>
      <c r="J716">
        <v>297</v>
      </c>
      <c r="K716" t="s">
        <v>1092</v>
      </c>
      <c r="L716">
        <v>594</v>
      </c>
      <c r="M716" t="s">
        <v>1093</v>
      </c>
      <c r="N716" t="s">
        <v>1099</v>
      </c>
      <c r="O716">
        <f>Table1[[#This Row],[Unit_Price]]*Table1[[#This Row],[Quantity]]</f>
        <v>200</v>
      </c>
    </row>
    <row r="717" spans="1:15" x14ac:dyDescent="0.3">
      <c r="A717" t="s">
        <v>2273</v>
      </c>
      <c r="B717" t="s">
        <v>1120</v>
      </c>
      <c r="C717" t="s">
        <v>271</v>
      </c>
      <c r="D717" t="s">
        <v>1059</v>
      </c>
      <c r="E717">
        <v>2</v>
      </c>
      <c r="F717">
        <f>_xlfn.XLOOKUP(Table1[[#This Row],[ProductID]],Products!A:A,Products!D:D,,0)</f>
        <v>110</v>
      </c>
      <c r="I717">
        <v>399</v>
      </c>
      <c r="J717">
        <v>399</v>
      </c>
      <c r="K717" t="s">
        <v>1102</v>
      </c>
      <c r="L717">
        <v>798</v>
      </c>
      <c r="M717" t="s">
        <v>1098</v>
      </c>
      <c r="N717" t="s">
        <v>1099</v>
      </c>
      <c r="O717">
        <f>Table1[[#This Row],[Unit_Price]]*Table1[[#This Row],[Quantity]]</f>
        <v>220</v>
      </c>
    </row>
    <row r="718" spans="1:15" x14ac:dyDescent="0.3">
      <c r="A718" t="s">
        <v>2274</v>
      </c>
      <c r="B718" t="s">
        <v>2275</v>
      </c>
      <c r="C718" t="s">
        <v>869</v>
      </c>
      <c r="D718" t="s">
        <v>1078</v>
      </c>
      <c r="E718">
        <v>3</v>
      </c>
      <c r="F718">
        <f>_xlfn.XLOOKUP(Table1[[#This Row],[ProductID]],Products!A:A,Products!D:D,,0)</f>
        <v>80</v>
      </c>
      <c r="I718">
        <v>499</v>
      </c>
      <c r="J718">
        <v>399</v>
      </c>
      <c r="K718" t="s">
        <v>1097</v>
      </c>
      <c r="L718">
        <v>1197</v>
      </c>
      <c r="M718" t="s">
        <v>1126</v>
      </c>
      <c r="N718" t="s">
        <v>1099</v>
      </c>
      <c r="O718">
        <f>Table1[[#This Row],[Unit_Price]]*Table1[[#This Row],[Quantity]]</f>
        <v>240</v>
      </c>
    </row>
    <row r="719" spans="1:15" x14ac:dyDescent="0.3">
      <c r="A719" t="s">
        <v>2276</v>
      </c>
      <c r="B719" t="s">
        <v>1480</v>
      </c>
      <c r="C719" t="s">
        <v>719</v>
      </c>
      <c r="D719" t="s">
        <v>1053</v>
      </c>
      <c r="E719">
        <v>1</v>
      </c>
      <c r="F719">
        <f>_xlfn.XLOOKUP(Table1[[#This Row],[ProductID]],Products!A:A,Products!D:D,,0)</f>
        <v>200</v>
      </c>
      <c r="I719">
        <v>899</v>
      </c>
      <c r="J719">
        <v>809</v>
      </c>
      <c r="K719" t="s">
        <v>1107</v>
      </c>
      <c r="L719">
        <v>809</v>
      </c>
      <c r="M719" t="s">
        <v>1093</v>
      </c>
      <c r="N719" t="s">
        <v>1099</v>
      </c>
      <c r="O719">
        <f>Table1[[#This Row],[Unit_Price]]*Table1[[#This Row],[Quantity]]</f>
        <v>200</v>
      </c>
    </row>
    <row r="720" spans="1:15" x14ac:dyDescent="0.3">
      <c r="A720" t="s">
        <v>2277</v>
      </c>
      <c r="B720" t="s">
        <v>1449</v>
      </c>
      <c r="C720" t="s">
        <v>1013</v>
      </c>
      <c r="D720" t="s">
        <v>1057</v>
      </c>
      <c r="E720">
        <v>2</v>
      </c>
      <c r="F720">
        <f>_xlfn.XLOOKUP(Table1[[#This Row],[ProductID]],Products!A:A,Products!D:D,,0)</f>
        <v>130</v>
      </c>
      <c r="I720">
        <v>549</v>
      </c>
      <c r="J720">
        <v>549</v>
      </c>
      <c r="K720" t="s">
        <v>1102</v>
      </c>
      <c r="L720">
        <v>1098</v>
      </c>
      <c r="M720" t="s">
        <v>1098</v>
      </c>
      <c r="N720" t="s">
        <v>1099</v>
      </c>
      <c r="O720">
        <f>Table1[[#This Row],[Unit_Price]]*Table1[[#This Row],[Quantity]]</f>
        <v>260</v>
      </c>
    </row>
    <row r="721" spans="1:15" x14ac:dyDescent="0.3">
      <c r="A721" t="s">
        <v>2278</v>
      </c>
      <c r="B721" t="s">
        <v>1490</v>
      </c>
      <c r="C721" t="s">
        <v>843</v>
      </c>
      <c r="D721" t="s">
        <v>1062</v>
      </c>
      <c r="E721">
        <v>3</v>
      </c>
      <c r="F721">
        <f>_xlfn.XLOOKUP(Table1[[#This Row],[ProductID]],Products!A:A,Products!D:D,,0)</f>
        <v>95</v>
      </c>
      <c r="I721">
        <v>349</v>
      </c>
      <c r="J721">
        <v>314</v>
      </c>
      <c r="K721" t="s">
        <v>1107</v>
      </c>
      <c r="L721">
        <v>942</v>
      </c>
      <c r="M721" t="s">
        <v>1126</v>
      </c>
      <c r="N721" t="s">
        <v>1099</v>
      </c>
      <c r="O721">
        <f>Table1[[#This Row],[Unit_Price]]*Table1[[#This Row],[Quantity]]</f>
        <v>285</v>
      </c>
    </row>
    <row r="722" spans="1:15" x14ac:dyDescent="0.3">
      <c r="A722" t="s">
        <v>2279</v>
      </c>
      <c r="B722" t="s">
        <v>1870</v>
      </c>
      <c r="C722" t="s">
        <v>633</v>
      </c>
      <c r="D722" t="s">
        <v>1080</v>
      </c>
      <c r="E722">
        <v>3</v>
      </c>
      <c r="F722">
        <f>_xlfn.XLOOKUP(Table1[[#This Row],[ProductID]],Products!A:A,Products!D:D,,0)</f>
        <v>45</v>
      </c>
      <c r="I722">
        <v>249</v>
      </c>
      <c r="J722">
        <v>199</v>
      </c>
      <c r="K722" t="s">
        <v>1097</v>
      </c>
      <c r="L722">
        <v>597</v>
      </c>
      <c r="M722" t="s">
        <v>1093</v>
      </c>
      <c r="N722" t="s">
        <v>1099</v>
      </c>
      <c r="O722">
        <f>Table1[[#This Row],[Unit_Price]]*Table1[[#This Row],[Quantity]]</f>
        <v>135</v>
      </c>
    </row>
    <row r="723" spans="1:15" x14ac:dyDescent="0.3">
      <c r="A723" t="s">
        <v>2280</v>
      </c>
      <c r="B723" t="s">
        <v>2224</v>
      </c>
      <c r="C723" t="s">
        <v>883</v>
      </c>
      <c r="D723" t="s">
        <v>1053</v>
      </c>
      <c r="E723">
        <v>2</v>
      </c>
      <c r="F723">
        <f>_xlfn.XLOOKUP(Table1[[#This Row],[ProductID]],Products!A:A,Products!D:D,,0)</f>
        <v>200</v>
      </c>
      <c r="I723">
        <v>899</v>
      </c>
      <c r="J723">
        <v>809</v>
      </c>
      <c r="K723" t="s">
        <v>1107</v>
      </c>
      <c r="L723">
        <v>1618</v>
      </c>
      <c r="M723" t="s">
        <v>1093</v>
      </c>
      <c r="N723" t="s">
        <v>1099</v>
      </c>
      <c r="O723">
        <f>Table1[[#This Row],[Unit_Price]]*Table1[[#This Row],[Quantity]]</f>
        <v>400</v>
      </c>
    </row>
    <row r="724" spans="1:15" x14ac:dyDescent="0.3">
      <c r="A724" t="s">
        <v>2281</v>
      </c>
      <c r="B724" t="s">
        <v>1349</v>
      </c>
      <c r="C724" t="s">
        <v>943</v>
      </c>
      <c r="D724" t="s">
        <v>1073</v>
      </c>
      <c r="E724">
        <v>1</v>
      </c>
      <c r="F724">
        <f>_xlfn.XLOOKUP(Table1[[#This Row],[ProductID]],Products!A:A,Products!D:D,,0)</f>
        <v>100</v>
      </c>
      <c r="I724">
        <v>349</v>
      </c>
      <c r="J724">
        <v>349</v>
      </c>
      <c r="K724" t="s">
        <v>1102</v>
      </c>
      <c r="L724">
        <v>349</v>
      </c>
      <c r="M724" t="s">
        <v>1098</v>
      </c>
      <c r="N724" t="s">
        <v>1099</v>
      </c>
      <c r="O724">
        <f>Table1[[#This Row],[Unit_Price]]*Table1[[#This Row],[Quantity]]</f>
        <v>100</v>
      </c>
    </row>
    <row r="725" spans="1:15" x14ac:dyDescent="0.3">
      <c r="A725" t="s">
        <v>2282</v>
      </c>
      <c r="B725" t="s">
        <v>1207</v>
      </c>
      <c r="C725" t="s">
        <v>154</v>
      </c>
      <c r="D725" t="s">
        <v>1055</v>
      </c>
      <c r="E725">
        <v>2</v>
      </c>
      <c r="F725">
        <f>_xlfn.XLOOKUP(Table1[[#This Row],[ProductID]],Products!A:A,Products!D:D,,0)</f>
        <v>75</v>
      </c>
      <c r="I725">
        <v>299</v>
      </c>
      <c r="J725">
        <v>299</v>
      </c>
      <c r="K725" t="s">
        <v>1102</v>
      </c>
      <c r="L725">
        <v>598</v>
      </c>
      <c r="M725" t="s">
        <v>1093</v>
      </c>
      <c r="N725" t="s">
        <v>1123</v>
      </c>
      <c r="O725">
        <f>Table1[[#This Row],[Unit_Price]]*Table1[[#This Row],[Quantity]]</f>
        <v>150</v>
      </c>
    </row>
    <row r="726" spans="1:15" x14ac:dyDescent="0.3">
      <c r="A726" t="s">
        <v>2283</v>
      </c>
      <c r="B726" t="s">
        <v>1938</v>
      </c>
      <c r="C726" t="s">
        <v>277</v>
      </c>
      <c r="D726" t="s">
        <v>1048</v>
      </c>
      <c r="E726">
        <v>1</v>
      </c>
      <c r="F726">
        <f>_xlfn.XLOOKUP(Table1[[#This Row],[ProductID]],Products!A:A,Products!D:D,,0)</f>
        <v>120</v>
      </c>
      <c r="I726">
        <v>599</v>
      </c>
      <c r="J726">
        <v>539</v>
      </c>
      <c r="K726" t="s">
        <v>1107</v>
      </c>
      <c r="L726">
        <v>539</v>
      </c>
      <c r="M726" t="s">
        <v>1093</v>
      </c>
      <c r="N726" t="s">
        <v>1099</v>
      </c>
      <c r="O726">
        <f>Table1[[#This Row],[Unit_Price]]*Table1[[#This Row],[Quantity]]</f>
        <v>120</v>
      </c>
    </row>
    <row r="727" spans="1:15" x14ac:dyDescent="0.3">
      <c r="A727" t="s">
        <v>2284</v>
      </c>
      <c r="B727" t="s">
        <v>2285</v>
      </c>
      <c r="C727" t="s">
        <v>753</v>
      </c>
      <c r="D727" t="s">
        <v>1053</v>
      </c>
      <c r="E727">
        <v>2</v>
      </c>
      <c r="F727">
        <f>_xlfn.XLOOKUP(Table1[[#This Row],[ProductID]],Products!A:A,Products!D:D,,0)</f>
        <v>200</v>
      </c>
      <c r="I727">
        <v>899</v>
      </c>
      <c r="J727">
        <v>719</v>
      </c>
      <c r="K727" t="s">
        <v>1097</v>
      </c>
      <c r="L727">
        <v>1438</v>
      </c>
      <c r="M727" t="s">
        <v>1093</v>
      </c>
      <c r="N727" t="s">
        <v>1099</v>
      </c>
      <c r="O727">
        <f>Table1[[#This Row],[Unit_Price]]*Table1[[#This Row],[Quantity]]</f>
        <v>400</v>
      </c>
    </row>
    <row r="728" spans="1:15" x14ac:dyDescent="0.3">
      <c r="A728" t="s">
        <v>2286</v>
      </c>
      <c r="B728" t="s">
        <v>2287</v>
      </c>
      <c r="C728" t="s">
        <v>893</v>
      </c>
      <c r="D728" t="s">
        <v>1080</v>
      </c>
      <c r="E728">
        <v>2</v>
      </c>
      <c r="F728">
        <f>_xlfn.XLOOKUP(Table1[[#This Row],[ProductID]],Products!A:A,Products!D:D,,0)</f>
        <v>45</v>
      </c>
      <c r="I728">
        <v>249</v>
      </c>
      <c r="J728">
        <v>249</v>
      </c>
      <c r="K728" t="s">
        <v>1102</v>
      </c>
      <c r="L728">
        <v>498</v>
      </c>
      <c r="M728" t="s">
        <v>1098</v>
      </c>
      <c r="N728" t="s">
        <v>1099</v>
      </c>
      <c r="O728">
        <f>Table1[[#This Row],[Unit_Price]]*Table1[[#This Row],[Quantity]]</f>
        <v>90</v>
      </c>
    </row>
    <row r="729" spans="1:15" x14ac:dyDescent="0.3">
      <c r="A729" t="s">
        <v>2288</v>
      </c>
      <c r="B729" t="s">
        <v>1639</v>
      </c>
      <c r="C729" t="s">
        <v>267</v>
      </c>
      <c r="D729" t="s">
        <v>1053</v>
      </c>
      <c r="E729">
        <v>2</v>
      </c>
      <c r="F729">
        <f>_xlfn.XLOOKUP(Table1[[#This Row],[ProductID]],Products!A:A,Products!D:D,,0)</f>
        <v>200</v>
      </c>
      <c r="I729">
        <v>899</v>
      </c>
      <c r="J729">
        <v>764</v>
      </c>
      <c r="K729" t="s">
        <v>1092</v>
      </c>
      <c r="L729">
        <v>1528</v>
      </c>
      <c r="M729" t="s">
        <v>1093</v>
      </c>
      <c r="N729" t="s">
        <v>1094</v>
      </c>
      <c r="O729">
        <f>Table1[[#This Row],[Unit_Price]]*Table1[[#This Row],[Quantity]]</f>
        <v>400</v>
      </c>
    </row>
    <row r="730" spans="1:15" x14ac:dyDescent="0.3">
      <c r="A730" t="s">
        <v>2289</v>
      </c>
      <c r="B730" t="s">
        <v>1828</v>
      </c>
      <c r="C730" t="s">
        <v>387</v>
      </c>
      <c r="D730" t="s">
        <v>1071</v>
      </c>
      <c r="E730">
        <v>1</v>
      </c>
      <c r="F730">
        <f>_xlfn.XLOOKUP(Table1[[#This Row],[ProductID]],Products!A:A,Products!D:D,,0)</f>
        <v>125</v>
      </c>
      <c r="I730">
        <v>399</v>
      </c>
      <c r="J730">
        <v>399</v>
      </c>
      <c r="K730" t="s">
        <v>1102</v>
      </c>
      <c r="L730">
        <v>399</v>
      </c>
      <c r="M730" t="s">
        <v>1098</v>
      </c>
      <c r="N730" t="s">
        <v>1099</v>
      </c>
      <c r="O730">
        <f>Table1[[#This Row],[Unit_Price]]*Table1[[#This Row],[Quantity]]</f>
        <v>125</v>
      </c>
    </row>
    <row r="731" spans="1:15" x14ac:dyDescent="0.3">
      <c r="A731" t="s">
        <v>2290</v>
      </c>
      <c r="B731" t="s">
        <v>1180</v>
      </c>
      <c r="C731" t="s">
        <v>381</v>
      </c>
      <c r="D731" t="s">
        <v>1051</v>
      </c>
      <c r="E731">
        <v>1</v>
      </c>
      <c r="F731">
        <f>_xlfn.XLOOKUP(Table1[[#This Row],[ProductID]],Products!A:A,Products!D:D,,0)</f>
        <v>150</v>
      </c>
      <c r="I731">
        <v>499</v>
      </c>
      <c r="J731">
        <v>424</v>
      </c>
      <c r="K731" t="s">
        <v>1092</v>
      </c>
      <c r="L731">
        <v>424</v>
      </c>
      <c r="M731" t="s">
        <v>1093</v>
      </c>
      <c r="N731" t="s">
        <v>1123</v>
      </c>
      <c r="O731">
        <f>Table1[[#This Row],[Unit_Price]]*Table1[[#This Row],[Quantity]]</f>
        <v>150</v>
      </c>
    </row>
    <row r="732" spans="1:15" x14ac:dyDescent="0.3">
      <c r="A732" t="s">
        <v>2291</v>
      </c>
      <c r="B732" t="s">
        <v>1608</v>
      </c>
      <c r="C732" t="s">
        <v>1017</v>
      </c>
      <c r="D732" t="s">
        <v>1064</v>
      </c>
      <c r="E732">
        <v>1</v>
      </c>
      <c r="F732">
        <f>_xlfn.XLOOKUP(Table1[[#This Row],[ProductID]],Products!A:A,Products!D:D,,0)</f>
        <v>160</v>
      </c>
      <c r="I732">
        <v>699</v>
      </c>
      <c r="J732">
        <v>629</v>
      </c>
      <c r="K732" t="s">
        <v>1107</v>
      </c>
      <c r="L732">
        <v>629</v>
      </c>
      <c r="M732" t="s">
        <v>1093</v>
      </c>
      <c r="N732" t="s">
        <v>1099</v>
      </c>
      <c r="O732">
        <f>Table1[[#This Row],[Unit_Price]]*Table1[[#This Row],[Quantity]]</f>
        <v>160</v>
      </c>
    </row>
    <row r="733" spans="1:15" x14ac:dyDescent="0.3">
      <c r="A733" t="s">
        <v>2292</v>
      </c>
      <c r="B733" t="s">
        <v>1168</v>
      </c>
      <c r="C733" t="s">
        <v>513</v>
      </c>
      <c r="D733" t="s">
        <v>1055</v>
      </c>
      <c r="E733">
        <v>3</v>
      </c>
      <c r="F733">
        <f>_xlfn.XLOOKUP(Table1[[#This Row],[ProductID]],Products!A:A,Products!D:D,,0)</f>
        <v>75</v>
      </c>
      <c r="I733">
        <v>299</v>
      </c>
      <c r="J733">
        <v>239</v>
      </c>
      <c r="K733" t="s">
        <v>1097</v>
      </c>
      <c r="L733">
        <v>717</v>
      </c>
      <c r="M733" t="s">
        <v>1098</v>
      </c>
      <c r="N733" t="s">
        <v>1099</v>
      </c>
      <c r="O733">
        <f>Table1[[#This Row],[Unit_Price]]*Table1[[#This Row],[Quantity]]</f>
        <v>225</v>
      </c>
    </row>
    <row r="734" spans="1:15" x14ac:dyDescent="0.3">
      <c r="A734" t="s">
        <v>2293</v>
      </c>
      <c r="B734" t="s">
        <v>2294</v>
      </c>
      <c r="C734" t="s">
        <v>365</v>
      </c>
      <c r="D734" t="s">
        <v>1066</v>
      </c>
      <c r="E734">
        <v>1</v>
      </c>
      <c r="F734">
        <f>_xlfn.XLOOKUP(Table1[[#This Row],[ProductID]],Products!A:A,Products!D:D,,0)</f>
        <v>140</v>
      </c>
      <c r="I734">
        <v>499</v>
      </c>
      <c r="J734">
        <v>424</v>
      </c>
      <c r="K734" t="s">
        <v>1092</v>
      </c>
      <c r="L734">
        <v>424</v>
      </c>
      <c r="M734" t="s">
        <v>1093</v>
      </c>
      <c r="N734" t="s">
        <v>1099</v>
      </c>
      <c r="O734">
        <f>Table1[[#This Row],[Unit_Price]]*Table1[[#This Row],[Quantity]]</f>
        <v>140</v>
      </c>
    </row>
    <row r="735" spans="1:15" x14ac:dyDescent="0.3">
      <c r="A735" t="s">
        <v>2295</v>
      </c>
      <c r="B735" t="s">
        <v>1610</v>
      </c>
      <c r="C735" t="s">
        <v>63</v>
      </c>
      <c r="D735" t="s">
        <v>1080</v>
      </c>
      <c r="E735">
        <v>4</v>
      </c>
      <c r="F735">
        <f>_xlfn.XLOOKUP(Table1[[#This Row],[ProductID]],Products!A:A,Products!D:D,,0)</f>
        <v>45</v>
      </c>
      <c r="I735">
        <v>249</v>
      </c>
      <c r="J735">
        <v>212</v>
      </c>
      <c r="K735" t="s">
        <v>1092</v>
      </c>
      <c r="L735">
        <v>848</v>
      </c>
      <c r="M735" t="s">
        <v>1093</v>
      </c>
      <c r="N735" t="s">
        <v>1099</v>
      </c>
      <c r="O735">
        <f>Table1[[#This Row],[Unit_Price]]*Table1[[#This Row],[Quantity]]</f>
        <v>180</v>
      </c>
    </row>
    <row r="736" spans="1:15" x14ac:dyDescent="0.3">
      <c r="A736" t="s">
        <v>2296</v>
      </c>
      <c r="B736" t="s">
        <v>2297</v>
      </c>
      <c r="C736" t="s">
        <v>643</v>
      </c>
      <c r="D736" t="s">
        <v>1078</v>
      </c>
      <c r="E736">
        <v>2</v>
      </c>
      <c r="F736">
        <f>_xlfn.XLOOKUP(Table1[[#This Row],[ProductID]],Products!A:A,Products!D:D,,0)</f>
        <v>80</v>
      </c>
      <c r="I736">
        <v>499</v>
      </c>
      <c r="J736">
        <v>449</v>
      </c>
      <c r="K736" t="s">
        <v>1107</v>
      </c>
      <c r="L736">
        <v>898</v>
      </c>
      <c r="M736" t="s">
        <v>1098</v>
      </c>
      <c r="N736" t="s">
        <v>1099</v>
      </c>
      <c r="O736">
        <f>Table1[[#This Row],[Unit_Price]]*Table1[[#This Row],[Quantity]]</f>
        <v>160</v>
      </c>
    </row>
    <row r="737" spans="1:15" x14ac:dyDescent="0.3">
      <c r="A737" t="s">
        <v>2298</v>
      </c>
      <c r="B737" t="s">
        <v>2095</v>
      </c>
      <c r="C737" t="s">
        <v>961</v>
      </c>
      <c r="D737" t="s">
        <v>1078</v>
      </c>
      <c r="E737">
        <v>3</v>
      </c>
      <c r="F737">
        <f>_xlfn.XLOOKUP(Table1[[#This Row],[ProductID]],Products!A:A,Products!D:D,,0)</f>
        <v>80</v>
      </c>
      <c r="I737">
        <v>499</v>
      </c>
      <c r="J737">
        <v>499</v>
      </c>
      <c r="K737" t="s">
        <v>1102</v>
      </c>
      <c r="L737">
        <v>1497</v>
      </c>
      <c r="M737" t="s">
        <v>1093</v>
      </c>
      <c r="N737" t="s">
        <v>1099</v>
      </c>
      <c r="O737">
        <f>Table1[[#This Row],[Unit_Price]]*Table1[[#This Row],[Quantity]]</f>
        <v>240</v>
      </c>
    </row>
    <row r="738" spans="1:15" x14ac:dyDescent="0.3">
      <c r="A738" t="s">
        <v>2299</v>
      </c>
      <c r="B738" t="s">
        <v>1319</v>
      </c>
      <c r="C738" t="s">
        <v>679</v>
      </c>
      <c r="D738" t="s">
        <v>1064</v>
      </c>
      <c r="E738">
        <v>1</v>
      </c>
      <c r="F738">
        <f>_xlfn.XLOOKUP(Table1[[#This Row],[ProductID]],Products!A:A,Products!D:D,,0)</f>
        <v>160</v>
      </c>
      <c r="I738">
        <v>699</v>
      </c>
      <c r="J738">
        <v>559</v>
      </c>
      <c r="K738" t="s">
        <v>1097</v>
      </c>
      <c r="L738">
        <v>559</v>
      </c>
      <c r="M738" t="s">
        <v>1093</v>
      </c>
      <c r="N738" t="s">
        <v>1099</v>
      </c>
      <c r="O738">
        <f>Table1[[#This Row],[Unit_Price]]*Table1[[#This Row],[Quantity]]</f>
        <v>160</v>
      </c>
    </row>
    <row r="739" spans="1:15" x14ac:dyDescent="0.3">
      <c r="A739" t="s">
        <v>2300</v>
      </c>
      <c r="B739" t="s">
        <v>1410</v>
      </c>
      <c r="C739" t="s">
        <v>122</v>
      </c>
      <c r="D739" t="s">
        <v>1053</v>
      </c>
      <c r="E739">
        <v>1</v>
      </c>
      <c r="F739">
        <f>_xlfn.XLOOKUP(Table1[[#This Row],[ProductID]],Products!A:A,Products!D:D,,0)</f>
        <v>200</v>
      </c>
      <c r="I739">
        <v>899</v>
      </c>
      <c r="J739">
        <v>899</v>
      </c>
      <c r="K739" t="s">
        <v>1102</v>
      </c>
      <c r="L739">
        <v>899</v>
      </c>
      <c r="M739" t="s">
        <v>1093</v>
      </c>
      <c r="N739" t="s">
        <v>1099</v>
      </c>
      <c r="O739">
        <f>Table1[[#This Row],[Unit_Price]]*Table1[[#This Row],[Quantity]]</f>
        <v>200</v>
      </c>
    </row>
    <row r="740" spans="1:15" x14ac:dyDescent="0.3">
      <c r="A740" t="s">
        <v>2301</v>
      </c>
      <c r="B740" t="s">
        <v>1331</v>
      </c>
      <c r="C740" t="s">
        <v>95</v>
      </c>
      <c r="D740" t="s">
        <v>1071</v>
      </c>
      <c r="E740">
        <v>1</v>
      </c>
      <c r="F740">
        <f>_xlfn.XLOOKUP(Table1[[#This Row],[ProductID]],Products!A:A,Products!D:D,,0)</f>
        <v>125</v>
      </c>
      <c r="I740">
        <v>399</v>
      </c>
      <c r="J740">
        <v>399</v>
      </c>
      <c r="K740" t="s">
        <v>1102</v>
      </c>
      <c r="L740">
        <v>399</v>
      </c>
      <c r="M740" t="s">
        <v>1098</v>
      </c>
      <c r="N740" t="s">
        <v>1099</v>
      </c>
      <c r="O740">
        <f>Table1[[#This Row],[Unit_Price]]*Table1[[#This Row],[Quantity]]</f>
        <v>125</v>
      </c>
    </row>
    <row r="741" spans="1:15" x14ac:dyDescent="0.3">
      <c r="A741" t="s">
        <v>2302</v>
      </c>
      <c r="B741" t="s">
        <v>1329</v>
      </c>
      <c r="C741" t="s">
        <v>363</v>
      </c>
      <c r="D741" t="s">
        <v>1051</v>
      </c>
      <c r="E741">
        <v>1</v>
      </c>
      <c r="F741">
        <f>_xlfn.XLOOKUP(Table1[[#This Row],[ProductID]],Products!A:A,Products!D:D,,0)</f>
        <v>150</v>
      </c>
      <c r="I741">
        <v>499</v>
      </c>
      <c r="J741">
        <v>449</v>
      </c>
      <c r="K741" t="s">
        <v>1107</v>
      </c>
      <c r="L741">
        <v>449</v>
      </c>
      <c r="M741" t="s">
        <v>1093</v>
      </c>
      <c r="N741" t="s">
        <v>1094</v>
      </c>
      <c r="O741">
        <f>Table1[[#This Row],[Unit_Price]]*Table1[[#This Row],[Quantity]]</f>
        <v>150</v>
      </c>
    </row>
    <row r="742" spans="1:15" x14ac:dyDescent="0.3">
      <c r="A742" t="s">
        <v>2303</v>
      </c>
      <c r="B742" t="s">
        <v>2304</v>
      </c>
      <c r="C742" t="s">
        <v>731</v>
      </c>
      <c r="D742" t="s">
        <v>1080</v>
      </c>
      <c r="E742">
        <v>1</v>
      </c>
      <c r="F742">
        <f>_xlfn.XLOOKUP(Table1[[#This Row],[ProductID]],Products!A:A,Products!D:D,,0)</f>
        <v>45</v>
      </c>
      <c r="I742">
        <v>249</v>
      </c>
      <c r="J742">
        <v>224</v>
      </c>
      <c r="K742" t="s">
        <v>1107</v>
      </c>
      <c r="L742">
        <v>224</v>
      </c>
      <c r="M742" t="s">
        <v>1098</v>
      </c>
      <c r="N742" t="s">
        <v>1099</v>
      </c>
      <c r="O742">
        <f>Table1[[#This Row],[Unit_Price]]*Table1[[#This Row],[Quantity]]</f>
        <v>45</v>
      </c>
    </row>
    <row r="743" spans="1:15" x14ac:dyDescent="0.3">
      <c r="A743" t="s">
        <v>2305</v>
      </c>
      <c r="B743" t="s">
        <v>1690</v>
      </c>
      <c r="C743" t="s">
        <v>211</v>
      </c>
      <c r="D743" t="s">
        <v>1078</v>
      </c>
      <c r="E743">
        <v>2</v>
      </c>
      <c r="F743">
        <f>_xlfn.XLOOKUP(Table1[[#This Row],[ProductID]],Products!A:A,Products!D:D,,0)</f>
        <v>80</v>
      </c>
      <c r="I743">
        <v>499</v>
      </c>
      <c r="J743">
        <v>449</v>
      </c>
      <c r="K743" t="s">
        <v>1107</v>
      </c>
      <c r="L743">
        <v>898</v>
      </c>
      <c r="M743" t="s">
        <v>1118</v>
      </c>
      <c r="N743" t="s">
        <v>1099</v>
      </c>
      <c r="O743">
        <f>Table1[[#This Row],[Unit_Price]]*Table1[[#This Row],[Quantity]]</f>
        <v>160</v>
      </c>
    </row>
    <row r="744" spans="1:15" x14ac:dyDescent="0.3">
      <c r="A744" t="s">
        <v>2306</v>
      </c>
      <c r="B744" t="s">
        <v>1826</v>
      </c>
      <c r="C744" t="s">
        <v>1001</v>
      </c>
      <c r="D744" t="s">
        <v>1066</v>
      </c>
      <c r="E744">
        <v>2</v>
      </c>
      <c r="F744">
        <f>_xlfn.XLOOKUP(Table1[[#This Row],[ProductID]],Products!A:A,Products!D:D,,0)</f>
        <v>140</v>
      </c>
      <c r="I744">
        <v>499</v>
      </c>
      <c r="J744">
        <v>399</v>
      </c>
      <c r="K744" t="s">
        <v>1097</v>
      </c>
      <c r="L744">
        <v>798</v>
      </c>
      <c r="M744" t="s">
        <v>1098</v>
      </c>
      <c r="N744" t="s">
        <v>1094</v>
      </c>
      <c r="O744">
        <f>Table1[[#This Row],[Unit_Price]]*Table1[[#This Row],[Quantity]]</f>
        <v>280</v>
      </c>
    </row>
    <row r="745" spans="1:15" x14ac:dyDescent="0.3">
      <c r="A745" t="s">
        <v>2307</v>
      </c>
      <c r="B745" t="s">
        <v>1662</v>
      </c>
      <c r="C745" t="s">
        <v>941</v>
      </c>
      <c r="D745" t="s">
        <v>1078</v>
      </c>
      <c r="E745">
        <v>3</v>
      </c>
      <c r="F745">
        <f>_xlfn.XLOOKUP(Table1[[#This Row],[ProductID]],Products!A:A,Products!D:D,,0)</f>
        <v>80</v>
      </c>
      <c r="I745">
        <v>499</v>
      </c>
      <c r="J745">
        <v>399</v>
      </c>
      <c r="K745" t="s">
        <v>1097</v>
      </c>
      <c r="L745">
        <v>1197</v>
      </c>
      <c r="M745" t="s">
        <v>1093</v>
      </c>
      <c r="N745" t="s">
        <v>1099</v>
      </c>
      <c r="O745">
        <f>Table1[[#This Row],[Unit_Price]]*Table1[[#This Row],[Quantity]]</f>
        <v>240</v>
      </c>
    </row>
    <row r="746" spans="1:15" x14ac:dyDescent="0.3">
      <c r="A746" t="s">
        <v>2308</v>
      </c>
      <c r="B746" t="s">
        <v>1999</v>
      </c>
      <c r="C746" t="s">
        <v>275</v>
      </c>
      <c r="D746" t="s">
        <v>1059</v>
      </c>
      <c r="E746">
        <v>2</v>
      </c>
      <c r="F746">
        <f>_xlfn.XLOOKUP(Table1[[#This Row],[ProductID]],Products!A:A,Products!D:D,,0)</f>
        <v>110</v>
      </c>
      <c r="I746">
        <v>399</v>
      </c>
      <c r="J746">
        <v>319</v>
      </c>
      <c r="K746" t="s">
        <v>1097</v>
      </c>
      <c r="L746">
        <v>638</v>
      </c>
      <c r="M746" t="s">
        <v>1098</v>
      </c>
      <c r="N746" t="s">
        <v>1099</v>
      </c>
      <c r="O746">
        <f>Table1[[#This Row],[Unit_Price]]*Table1[[#This Row],[Quantity]]</f>
        <v>220</v>
      </c>
    </row>
    <row r="747" spans="1:15" x14ac:dyDescent="0.3">
      <c r="A747" t="s">
        <v>2309</v>
      </c>
      <c r="B747" t="s">
        <v>1681</v>
      </c>
      <c r="C747" t="s">
        <v>411</v>
      </c>
      <c r="D747" t="s">
        <v>1059</v>
      </c>
      <c r="E747">
        <v>1</v>
      </c>
      <c r="F747">
        <f>_xlfn.XLOOKUP(Table1[[#This Row],[ProductID]],Products!A:A,Products!D:D,,0)</f>
        <v>110</v>
      </c>
      <c r="I747">
        <v>399</v>
      </c>
      <c r="J747">
        <v>339</v>
      </c>
      <c r="K747" t="s">
        <v>1092</v>
      </c>
      <c r="L747">
        <v>339</v>
      </c>
      <c r="M747" t="s">
        <v>1098</v>
      </c>
      <c r="N747" t="s">
        <v>1099</v>
      </c>
      <c r="O747">
        <f>Table1[[#This Row],[Unit_Price]]*Table1[[#This Row],[Quantity]]</f>
        <v>110</v>
      </c>
    </row>
    <row r="748" spans="1:15" x14ac:dyDescent="0.3">
      <c r="A748" t="s">
        <v>2310</v>
      </c>
      <c r="B748" t="s">
        <v>1657</v>
      </c>
      <c r="C748" t="s">
        <v>165</v>
      </c>
      <c r="D748" t="s">
        <v>1075</v>
      </c>
      <c r="E748">
        <v>4</v>
      </c>
      <c r="F748">
        <f>_xlfn.XLOOKUP(Table1[[#This Row],[ProductID]],Products!A:A,Products!D:D,,0)</f>
        <v>80</v>
      </c>
      <c r="I748">
        <v>499</v>
      </c>
      <c r="J748">
        <v>499</v>
      </c>
      <c r="K748" t="s">
        <v>1102</v>
      </c>
      <c r="L748">
        <v>1996</v>
      </c>
      <c r="M748" t="s">
        <v>1098</v>
      </c>
      <c r="N748" t="s">
        <v>1099</v>
      </c>
      <c r="O748">
        <f>Table1[[#This Row],[Unit_Price]]*Table1[[#This Row],[Quantity]]</f>
        <v>320</v>
      </c>
    </row>
    <row r="749" spans="1:15" x14ac:dyDescent="0.3">
      <c r="A749" t="s">
        <v>2311</v>
      </c>
      <c r="B749" t="s">
        <v>2312</v>
      </c>
      <c r="C749" t="s">
        <v>671</v>
      </c>
      <c r="D749" t="s">
        <v>1062</v>
      </c>
      <c r="E749">
        <v>1</v>
      </c>
      <c r="F749">
        <f>_xlfn.XLOOKUP(Table1[[#This Row],[ProductID]],Products!A:A,Products!D:D,,0)</f>
        <v>95</v>
      </c>
      <c r="I749">
        <v>349</v>
      </c>
      <c r="J749">
        <v>279</v>
      </c>
      <c r="K749" t="s">
        <v>1097</v>
      </c>
      <c r="L749">
        <v>279</v>
      </c>
      <c r="M749" t="s">
        <v>1093</v>
      </c>
      <c r="N749" t="s">
        <v>1099</v>
      </c>
      <c r="O749">
        <f>Table1[[#This Row],[Unit_Price]]*Table1[[#This Row],[Quantity]]</f>
        <v>95</v>
      </c>
    </row>
    <row r="750" spans="1:15" x14ac:dyDescent="0.3">
      <c r="A750" t="s">
        <v>2313</v>
      </c>
      <c r="B750" t="s">
        <v>1101</v>
      </c>
      <c r="C750" t="s">
        <v>657</v>
      </c>
      <c r="D750" t="s">
        <v>1062</v>
      </c>
      <c r="E750">
        <v>1</v>
      </c>
      <c r="F750">
        <f>_xlfn.XLOOKUP(Table1[[#This Row],[ProductID]],Products!A:A,Products!D:D,,0)</f>
        <v>95</v>
      </c>
      <c r="I750">
        <v>349</v>
      </c>
      <c r="J750">
        <v>297</v>
      </c>
      <c r="K750" t="s">
        <v>1092</v>
      </c>
      <c r="L750">
        <v>297</v>
      </c>
      <c r="M750" t="s">
        <v>1098</v>
      </c>
      <c r="N750" t="s">
        <v>1099</v>
      </c>
      <c r="O750">
        <f>Table1[[#This Row],[Unit_Price]]*Table1[[#This Row],[Quantity]]</f>
        <v>95</v>
      </c>
    </row>
    <row r="751" spans="1:15" x14ac:dyDescent="0.3">
      <c r="A751" t="s">
        <v>2314</v>
      </c>
      <c r="B751" t="s">
        <v>1154</v>
      </c>
      <c r="C751" t="s">
        <v>569</v>
      </c>
      <c r="D751" t="s">
        <v>1062</v>
      </c>
      <c r="E751">
        <v>4</v>
      </c>
      <c r="F751">
        <f>_xlfn.XLOOKUP(Table1[[#This Row],[ProductID]],Products!A:A,Products!D:D,,0)</f>
        <v>95</v>
      </c>
      <c r="I751">
        <v>349</v>
      </c>
      <c r="J751">
        <v>279</v>
      </c>
      <c r="K751" t="s">
        <v>1097</v>
      </c>
      <c r="L751">
        <v>1116</v>
      </c>
      <c r="M751" t="s">
        <v>1098</v>
      </c>
      <c r="N751" t="s">
        <v>1099</v>
      </c>
      <c r="O751">
        <f>Table1[[#This Row],[Unit_Price]]*Table1[[#This Row],[Quantity]]</f>
        <v>380</v>
      </c>
    </row>
    <row r="752" spans="1:15" x14ac:dyDescent="0.3">
      <c r="A752" t="s">
        <v>2315</v>
      </c>
      <c r="B752" t="s">
        <v>2316</v>
      </c>
      <c r="C752" t="s">
        <v>553</v>
      </c>
      <c r="D752" t="s">
        <v>1071</v>
      </c>
      <c r="E752">
        <v>1</v>
      </c>
      <c r="F752">
        <f>_xlfn.XLOOKUP(Table1[[#This Row],[ProductID]],Products!A:A,Products!D:D,,0)</f>
        <v>125</v>
      </c>
      <c r="I752">
        <v>399</v>
      </c>
      <c r="J752">
        <v>359</v>
      </c>
      <c r="K752" t="s">
        <v>1107</v>
      </c>
      <c r="L752">
        <v>359</v>
      </c>
      <c r="M752" t="s">
        <v>1093</v>
      </c>
      <c r="N752" t="s">
        <v>1099</v>
      </c>
      <c r="O752">
        <f>Table1[[#This Row],[Unit_Price]]*Table1[[#This Row],[Quantity]]</f>
        <v>125</v>
      </c>
    </row>
    <row r="753" spans="1:15" x14ac:dyDescent="0.3">
      <c r="A753" t="s">
        <v>2317</v>
      </c>
      <c r="B753" t="s">
        <v>1505</v>
      </c>
      <c r="C753" t="s">
        <v>629</v>
      </c>
      <c r="D753" t="s">
        <v>1080</v>
      </c>
      <c r="E753">
        <v>1</v>
      </c>
      <c r="F753">
        <f>_xlfn.XLOOKUP(Table1[[#This Row],[ProductID]],Products!A:A,Products!D:D,,0)</f>
        <v>45</v>
      </c>
      <c r="I753">
        <v>249</v>
      </c>
      <c r="J753">
        <v>199</v>
      </c>
      <c r="K753" t="s">
        <v>1097</v>
      </c>
      <c r="L753">
        <v>199</v>
      </c>
      <c r="M753" t="s">
        <v>1098</v>
      </c>
      <c r="N753" t="s">
        <v>1099</v>
      </c>
      <c r="O753">
        <f>Table1[[#This Row],[Unit_Price]]*Table1[[#This Row],[Quantity]]</f>
        <v>45</v>
      </c>
    </row>
    <row r="754" spans="1:15" x14ac:dyDescent="0.3">
      <c r="A754" t="s">
        <v>2318</v>
      </c>
      <c r="B754" t="s">
        <v>2155</v>
      </c>
      <c r="C754" t="s">
        <v>709</v>
      </c>
      <c r="D754" t="s">
        <v>1062</v>
      </c>
      <c r="E754">
        <v>1</v>
      </c>
      <c r="F754">
        <f>_xlfn.XLOOKUP(Table1[[#This Row],[ProductID]],Products!A:A,Products!D:D,,0)</f>
        <v>95</v>
      </c>
      <c r="I754">
        <v>349</v>
      </c>
      <c r="J754">
        <v>349</v>
      </c>
      <c r="K754" t="s">
        <v>1102</v>
      </c>
      <c r="L754">
        <v>349</v>
      </c>
      <c r="M754" t="s">
        <v>1098</v>
      </c>
      <c r="N754" t="s">
        <v>1099</v>
      </c>
      <c r="O754">
        <f>Table1[[#This Row],[Unit_Price]]*Table1[[#This Row],[Quantity]]</f>
        <v>95</v>
      </c>
    </row>
    <row r="755" spans="1:15" x14ac:dyDescent="0.3">
      <c r="A755" t="s">
        <v>2319</v>
      </c>
      <c r="B755" t="s">
        <v>1712</v>
      </c>
      <c r="C755" t="s">
        <v>999</v>
      </c>
      <c r="D755" t="s">
        <v>1071</v>
      </c>
      <c r="E755">
        <v>1</v>
      </c>
      <c r="F755">
        <f>_xlfn.XLOOKUP(Table1[[#This Row],[ProductID]],Products!A:A,Products!D:D,,0)</f>
        <v>125</v>
      </c>
      <c r="I755">
        <v>399</v>
      </c>
      <c r="J755">
        <v>339</v>
      </c>
      <c r="K755" t="s">
        <v>1092</v>
      </c>
      <c r="L755">
        <v>339</v>
      </c>
      <c r="M755" t="s">
        <v>1098</v>
      </c>
      <c r="N755" t="s">
        <v>1099</v>
      </c>
      <c r="O755">
        <f>Table1[[#This Row],[Unit_Price]]*Table1[[#This Row],[Quantity]]</f>
        <v>125</v>
      </c>
    </row>
    <row r="756" spans="1:15" x14ac:dyDescent="0.3">
      <c r="A756" t="s">
        <v>2320</v>
      </c>
      <c r="B756" t="s">
        <v>1632</v>
      </c>
      <c r="C756" t="s">
        <v>327</v>
      </c>
      <c r="D756" t="s">
        <v>1071</v>
      </c>
      <c r="E756">
        <v>2</v>
      </c>
      <c r="F756">
        <f>_xlfn.XLOOKUP(Table1[[#This Row],[ProductID]],Products!A:A,Products!D:D,,0)</f>
        <v>125</v>
      </c>
      <c r="I756">
        <v>399</v>
      </c>
      <c r="J756">
        <v>319</v>
      </c>
      <c r="K756" t="s">
        <v>1097</v>
      </c>
      <c r="L756">
        <v>638</v>
      </c>
      <c r="M756" t="s">
        <v>1098</v>
      </c>
      <c r="N756" t="s">
        <v>1099</v>
      </c>
      <c r="O756">
        <f>Table1[[#This Row],[Unit_Price]]*Table1[[#This Row],[Quantity]]</f>
        <v>250</v>
      </c>
    </row>
    <row r="757" spans="1:15" x14ac:dyDescent="0.3">
      <c r="A757" t="s">
        <v>2321</v>
      </c>
      <c r="B757" t="s">
        <v>2322</v>
      </c>
      <c r="C757" t="s">
        <v>279</v>
      </c>
      <c r="D757" t="s">
        <v>1078</v>
      </c>
      <c r="E757">
        <v>2</v>
      </c>
      <c r="F757">
        <f>_xlfn.XLOOKUP(Table1[[#This Row],[ProductID]],Products!A:A,Products!D:D,,0)</f>
        <v>80</v>
      </c>
      <c r="I757">
        <v>499</v>
      </c>
      <c r="J757">
        <v>424</v>
      </c>
      <c r="K757" t="s">
        <v>1092</v>
      </c>
      <c r="L757">
        <v>848</v>
      </c>
      <c r="M757" t="s">
        <v>1098</v>
      </c>
      <c r="N757" t="s">
        <v>1099</v>
      </c>
      <c r="O757">
        <f>Table1[[#This Row],[Unit_Price]]*Table1[[#This Row],[Quantity]]</f>
        <v>160</v>
      </c>
    </row>
    <row r="758" spans="1:15" x14ac:dyDescent="0.3">
      <c r="A758" t="s">
        <v>2323</v>
      </c>
      <c r="B758" t="s">
        <v>2324</v>
      </c>
      <c r="C758" t="s">
        <v>869</v>
      </c>
      <c r="D758" t="s">
        <v>1059</v>
      </c>
      <c r="E758">
        <v>1</v>
      </c>
      <c r="F758">
        <f>_xlfn.XLOOKUP(Table1[[#This Row],[ProductID]],Products!A:A,Products!D:D,,0)</f>
        <v>110</v>
      </c>
      <c r="I758">
        <v>399</v>
      </c>
      <c r="J758">
        <v>399</v>
      </c>
      <c r="K758" t="s">
        <v>1102</v>
      </c>
      <c r="L758">
        <v>399</v>
      </c>
      <c r="M758" t="s">
        <v>1126</v>
      </c>
      <c r="N758" t="s">
        <v>1099</v>
      </c>
      <c r="O758">
        <f>Table1[[#This Row],[Unit_Price]]*Table1[[#This Row],[Quantity]]</f>
        <v>110</v>
      </c>
    </row>
    <row r="759" spans="1:15" x14ac:dyDescent="0.3">
      <c r="A759" t="s">
        <v>2325</v>
      </c>
      <c r="B759" t="s">
        <v>1895</v>
      </c>
      <c r="C759" t="s">
        <v>561</v>
      </c>
      <c r="D759" t="s">
        <v>1080</v>
      </c>
      <c r="E759">
        <v>2</v>
      </c>
      <c r="F759">
        <f>_xlfn.XLOOKUP(Table1[[#This Row],[ProductID]],Products!A:A,Products!D:D,,0)</f>
        <v>45</v>
      </c>
      <c r="I759">
        <v>249</v>
      </c>
      <c r="J759">
        <v>199</v>
      </c>
      <c r="K759" t="s">
        <v>1097</v>
      </c>
      <c r="L759">
        <v>398</v>
      </c>
      <c r="M759" t="s">
        <v>1098</v>
      </c>
      <c r="N759" t="s">
        <v>1099</v>
      </c>
      <c r="O759">
        <f>Table1[[#This Row],[Unit_Price]]*Table1[[#This Row],[Quantity]]</f>
        <v>90</v>
      </c>
    </row>
    <row r="760" spans="1:15" x14ac:dyDescent="0.3">
      <c r="A760" t="s">
        <v>2326</v>
      </c>
      <c r="B760" t="s">
        <v>1140</v>
      </c>
      <c r="C760" t="s">
        <v>527</v>
      </c>
      <c r="D760" t="s">
        <v>1080</v>
      </c>
      <c r="E760">
        <v>2</v>
      </c>
      <c r="F760">
        <f>_xlfn.XLOOKUP(Table1[[#This Row],[ProductID]],Products!A:A,Products!D:D,,0)</f>
        <v>45</v>
      </c>
      <c r="I760">
        <v>249</v>
      </c>
      <c r="J760">
        <v>212</v>
      </c>
      <c r="K760" t="s">
        <v>1092</v>
      </c>
      <c r="L760">
        <v>424</v>
      </c>
      <c r="M760" t="s">
        <v>1098</v>
      </c>
      <c r="N760" t="s">
        <v>1123</v>
      </c>
      <c r="O760">
        <f>Table1[[#This Row],[Unit_Price]]*Table1[[#This Row],[Quantity]]</f>
        <v>90</v>
      </c>
    </row>
    <row r="761" spans="1:15" x14ac:dyDescent="0.3">
      <c r="A761" t="s">
        <v>2327</v>
      </c>
      <c r="B761" t="s">
        <v>2328</v>
      </c>
      <c r="C761" t="s">
        <v>885</v>
      </c>
      <c r="D761" t="s">
        <v>1057</v>
      </c>
      <c r="E761">
        <v>2</v>
      </c>
      <c r="F761">
        <f>_xlfn.XLOOKUP(Table1[[#This Row],[ProductID]],Products!A:A,Products!D:D,,0)</f>
        <v>130</v>
      </c>
      <c r="I761">
        <v>549</v>
      </c>
      <c r="J761">
        <v>549</v>
      </c>
      <c r="K761" t="s">
        <v>1102</v>
      </c>
      <c r="L761">
        <v>1098</v>
      </c>
      <c r="M761" t="s">
        <v>1098</v>
      </c>
      <c r="N761" t="s">
        <v>1099</v>
      </c>
      <c r="O761">
        <f>Table1[[#This Row],[Unit_Price]]*Table1[[#This Row],[Quantity]]</f>
        <v>260</v>
      </c>
    </row>
    <row r="762" spans="1:15" x14ac:dyDescent="0.3">
      <c r="A762" t="s">
        <v>2329</v>
      </c>
      <c r="B762" t="s">
        <v>1734</v>
      </c>
      <c r="C762" t="s">
        <v>443</v>
      </c>
      <c r="D762" t="s">
        <v>1057</v>
      </c>
      <c r="E762">
        <v>1</v>
      </c>
      <c r="F762">
        <f>_xlfn.XLOOKUP(Table1[[#This Row],[ProductID]],Products!A:A,Products!D:D,,0)</f>
        <v>130</v>
      </c>
      <c r="I762">
        <v>549</v>
      </c>
      <c r="J762">
        <v>549</v>
      </c>
      <c r="K762" t="s">
        <v>1102</v>
      </c>
      <c r="L762">
        <v>549</v>
      </c>
      <c r="M762" t="s">
        <v>1098</v>
      </c>
      <c r="N762" t="s">
        <v>1099</v>
      </c>
      <c r="O762">
        <f>Table1[[#This Row],[Unit_Price]]*Table1[[#This Row],[Quantity]]</f>
        <v>130</v>
      </c>
    </row>
    <row r="763" spans="1:15" x14ac:dyDescent="0.3">
      <c r="A763" t="s">
        <v>2330</v>
      </c>
      <c r="B763" t="s">
        <v>1205</v>
      </c>
      <c r="C763" t="s">
        <v>349</v>
      </c>
      <c r="D763" t="s">
        <v>1062</v>
      </c>
      <c r="E763">
        <v>2</v>
      </c>
      <c r="F763">
        <f>_xlfn.XLOOKUP(Table1[[#This Row],[ProductID]],Products!A:A,Products!D:D,,0)</f>
        <v>95</v>
      </c>
      <c r="I763">
        <v>349</v>
      </c>
      <c r="J763">
        <v>297</v>
      </c>
      <c r="K763" t="s">
        <v>1092</v>
      </c>
      <c r="L763">
        <v>594</v>
      </c>
      <c r="M763" t="s">
        <v>1098</v>
      </c>
      <c r="N763" t="s">
        <v>1099</v>
      </c>
      <c r="O763">
        <f>Table1[[#This Row],[Unit_Price]]*Table1[[#This Row],[Quantity]]</f>
        <v>190</v>
      </c>
    </row>
    <row r="764" spans="1:15" x14ac:dyDescent="0.3">
      <c r="A764" t="s">
        <v>2331</v>
      </c>
      <c r="B764" t="s">
        <v>1109</v>
      </c>
      <c r="C764" t="s">
        <v>1031</v>
      </c>
      <c r="D764" t="s">
        <v>1051</v>
      </c>
      <c r="E764">
        <v>2</v>
      </c>
      <c r="F764">
        <f>_xlfn.XLOOKUP(Table1[[#This Row],[ProductID]],Products!A:A,Products!D:D,,0)</f>
        <v>150</v>
      </c>
      <c r="I764">
        <v>499</v>
      </c>
      <c r="J764">
        <v>399</v>
      </c>
      <c r="K764" t="s">
        <v>1097</v>
      </c>
      <c r="L764">
        <v>798</v>
      </c>
      <c r="M764" t="s">
        <v>1098</v>
      </c>
      <c r="N764" t="s">
        <v>1099</v>
      </c>
      <c r="O764">
        <f>Table1[[#This Row],[Unit_Price]]*Table1[[#This Row],[Quantity]]</f>
        <v>300</v>
      </c>
    </row>
    <row r="765" spans="1:15" x14ac:dyDescent="0.3">
      <c r="A765" t="s">
        <v>2332</v>
      </c>
      <c r="B765" t="s">
        <v>2333</v>
      </c>
      <c r="C765" t="s">
        <v>989</v>
      </c>
      <c r="D765" t="s">
        <v>1080</v>
      </c>
      <c r="E765">
        <v>1</v>
      </c>
      <c r="F765">
        <f>_xlfn.XLOOKUP(Table1[[#This Row],[ProductID]],Products!A:A,Products!D:D,,0)</f>
        <v>45</v>
      </c>
      <c r="I765">
        <v>249</v>
      </c>
      <c r="J765">
        <v>199</v>
      </c>
      <c r="K765" t="s">
        <v>1097</v>
      </c>
      <c r="L765">
        <v>199</v>
      </c>
      <c r="M765" t="s">
        <v>1098</v>
      </c>
      <c r="N765" t="s">
        <v>1099</v>
      </c>
      <c r="O765">
        <f>Table1[[#This Row],[Unit_Price]]*Table1[[#This Row],[Quantity]]</f>
        <v>45</v>
      </c>
    </row>
    <row r="766" spans="1:15" x14ac:dyDescent="0.3">
      <c r="A766" t="s">
        <v>2334</v>
      </c>
      <c r="B766" t="s">
        <v>1993</v>
      </c>
      <c r="C766" t="s">
        <v>243</v>
      </c>
      <c r="D766" t="s">
        <v>1055</v>
      </c>
      <c r="E766">
        <v>1</v>
      </c>
      <c r="F766">
        <f>_xlfn.XLOOKUP(Table1[[#This Row],[ProductID]],Products!A:A,Products!D:D,,0)</f>
        <v>75</v>
      </c>
      <c r="I766">
        <v>299</v>
      </c>
      <c r="J766">
        <v>299</v>
      </c>
      <c r="K766" t="s">
        <v>1102</v>
      </c>
      <c r="L766">
        <v>299</v>
      </c>
      <c r="M766" t="s">
        <v>1093</v>
      </c>
      <c r="N766" t="s">
        <v>1094</v>
      </c>
      <c r="O766">
        <f>Table1[[#This Row],[Unit_Price]]*Table1[[#This Row],[Quantity]]</f>
        <v>75</v>
      </c>
    </row>
    <row r="767" spans="1:15" x14ac:dyDescent="0.3">
      <c r="A767" t="s">
        <v>2335</v>
      </c>
      <c r="B767" t="s">
        <v>1570</v>
      </c>
      <c r="C767" t="s">
        <v>501</v>
      </c>
      <c r="D767" t="s">
        <v>1068</v>
      </c>
      <c r="E767">
        <v>1</v>
      </c>
      <c r="F767">
        <f>_xlfn.XLOOKUP(Table1[[#This Row],[ProductID]],Products!A:A,Products!D:D,,0)</f>
        <v>180</v>
      </c>
      <c r="I767">
        <v>449</v>
      </c>
      <c r="J767">
        <v>449</v>
      </c>
      <c r="K767" t="s">
        <v>1102</v>
      </c>
      <c r="L767">
        <v>449</v>
      </c>
      <c r="M767" t="s">
        <v>1098</v>
      </c>
      <c r="N767" t="s">
        <v>1099</v>
      </c>
      <c r="O767">
        <f>Table1[[#This Row],[Unit_Price]]*Table1[[#This Row],[Quantity]]</f>
        <v>180</v>
      </c>
    </row>
    <row r="768" spans="1:15" x14ac:dyDescent="0.3">
      <c r="A768" t="s">
        <v>2336</v>
      </c>
      <c r="B768" t="s">
        <v>2337</v>
      </c>
      <c r="C768" t="s">
        <v>809</v>
      </c>
      <c r="D768" t="s">
        <v>1073</v>
      </c>
      <c r="E768">
        <v>1</v>
      </c>
      <c r="F768">
        <f>_xlfn.XLOOKUP(Table1[[#This Row],[ProductID]],Products!A:A,Products!D:D,,0)</f>
        <v>100</v>
      </c>
      <c r="I768">
        <v>349</v>
      </c>
      <c r="J768">
        <v>297</v>
      </c>
      <c r="K768" t="s">
        <v>1092</v>
      </c>
      <c r="L768">
        <v>297</v>
      </c>
      <c r="M768" t="s">
        <v>1093</v>
      </c>
      <c r="N768" t="s">
        <v>1099</v>
      </c>
      <c r="O768">
        <f>Table1[[#This Row],[Unit_Price]]*Table1[[#This Row],[Quantity]]</f>
        <v>100</v>
      </c>
    </row>
    <row r="769" spans="1:15" x14ac:dyDescent="0.3">
      <c r="A769" t="s">
        <v>2338</v>
      </c>
      <c r="B769" t="s">
        <v>1343</v>
      </c>
      <c r="C769" t="s">
        <v>899</v>
      </c>
      <c r="D769" t="s">
        <v>1080</v>
      </c>
      <c r="E769">
        <v>2</v>
      </c>
      <c r="F769">
        <f>_xlfn.XLOOKUP(Table1[[#This Row],[ProductID]],Products!A:A,Products!D:D,,0)</f>
        <v>45</v>
      </c>
      <c r="I769">
        <v>249</v>
      </c>
      <c r="J769">
        <v>212</v>
      </c>
      <c r="K769" t="s">
        <v>1092</v>
      </c>
      <c r="L769">
        <v>424</v>
      </c>
      <c r="M769" t="s">
        <v>1098</v>
      </c>
      <c r="N769" t="s">
        <v>1099</v>
      </c>
      <c r="O769">
        <f>Table1[[#This Row],[Unit_Price]]*Table1[[#This Row],[Quantity]]</f>
        <v>90</v>
      </c>
    </row>
    <row r="770" spans="1:15" x14ac:dyDescent="0.3">
      <c r="A770" t="s">
        <v>2339</v>
      </c>
      <c r="B770" t="s">
        <v>1723</v>
      </c>
      <c r="C770" t="s">
        <v>483</v>
      </c>
      <c r="D770" t="s">
        <v>1066</v>
      </c>
      <c r="E770">
        <v>3</v>
      </c>
      <c r="F770">
        <f>_xlfn.XLOOKUP(Table1[[#This Row],[ProductID]],Products!A:A,Products!D:D,,0)</f>
        <v>140</v>
      </c>
      <c r="I770">
        <v>499</v>
      </c>
      <c r="J770">
        <v>499</v>
      </c>
      <c r="K770" t="s">
        <v>1102</v>
      </c>
      <c r="L770">
        <v>1497</v>
      </c>
      <c r="M770" t="s">
        <v>1093</v>
      </c>
      <c r="N770" t="s">
        <v>1099</v>
      </c>
      <c r="O770">
        <f>Table1[[#This Row],[Unit_Price]]*Table1[[#This Row],[Quantity]]</f>
        <v>420</v>
      </c>
    </row>
    <row r="771" spans="1:15" x14ac:dyDescent="0.3">
      <c r="A771" t="s">
        <v>2340</v>
      </c>
      <c r="B771" t="s">
        <v>1396</v>
      </c>
      <c r="C771" t="s">
        <v>1001</v>
      </c>
      <c r="D771" t="s">
        <v>1053</v>
      </c>
      <c r="E771">
        <v>1</v>
      </c>
      <c r="F771">
        <f>_xlfn.XLOOKUP(Table1[[#This Row],[ProductID]],Products!A:A,Products!D:D,,0)</f>
        <v>200</v>
      </c>
      <c r="I771">
        <v>899</v>
      </c>
      <c r="J771">
        <v>809</v>
      </c>
      <c r="K771" t="s">
        <v>1107</v>
      </c>
      <c r="L771">
        <v>809</v>
      </c>
      <c r="M771" t="s">
        <v>1093</v>
      </c>
      <c r="N771" t="s">
        <v>1094</v>
      </c>
      <c r="O771">
        <f>Table1[[#This Row],[Unit_Price]]*Table1[[#This Row],[Quantity]]</f>
        <v>200</v>
      </c>
    </row>
    <row r="772" spans="1:15" x14ac:dyDescent="0.3">
      <c r="A772" t="s">
        <v>2341</v>
      </c>
      <c r="B772" t="s">
        <v>2342</v>
      </c>
      <c r="C772" t="s">
        <v>1011</v>
      </c>
      <c r="D772" t="s">
        <v>1075</v>
      </c>
      <c r="E772">
        <v>1</v>
      </c>
      <c r="F772">
        <f>_xlfn.XLOOKUP(Table1[[#This Row],[ProductID]],Products!A:A,Products!D:D,,0)</f>
        <v>80</v>
      </c>
      <c r="I772">
        <v>499</v>
      </c>
      <c r="J772">
        <v>499</v>
      </c>
      <c r="K772" t="s">
        <v>1102</v>
      </c>
      <c r="L772">
        <v>499</v>
      </c>
      <c r="M772" t="s">
        <v>1118</v>
      </c>
      <c r="N772" t="s">
        <v>1099</v>
      </c>
      <c r="O772">
        <f>Table1[[#This Row],[Unit_Price]]*Table1[[#This Row],[Quantity]]</f>
        <v>80</v>
      </c>
    </row>
    <row r="773" spans="1:15" x14ac:dyDescent="0.3">
      <c r="A773" t="s">
        <v>2343</v>
      </c>
      <c r="B773" t="s">
        <v>2344</v>
      </c>
      <c r="C773" t="s">
        <v>781</v>
      </c>
      <c r="D773" t="s">
        <v>1068</v>
      </c>
      <c r="E773">
        <v>1</v>
      </c>
      <c r="F773">
        <f>_xlfn.XLOOKUP(Table1[[#This Row],[ProductID]],Products!A:A,Products!D:D,,0)</f>
        <v>180</v>
      </c>
      <c r="I773">
        <v>449</v>
      </c>
      <c r="J773">
        <v>359</v>
      </c>
      <c r="K773" t="s">
        <v>1097</v>
      </c>
      <c r="L773">
        <v>359</v>
      </c>
      <c r="M773" t="s">
        <v>1093</v>
      </c>
      <c r="N773" t="s">
        <v>1099</v>
      </c>
      <c r="O773">
        <f>Table1[[#This Row],[Unit_Price]]*Table1[[#This Row],[Quantity]]</f>
        <v>180</v>
      </c>
    </row>
    <row r="774" spans="1:15" x14ac:dyDescent="0.3">
      <c r="A774" t="s">
        <v>2345</v>
      </c>
      <c r="B774" t="s">
        <v>2098</v>
      </c>
      <c r="C774" t="s">
        <v>327</v>
      </c>
      <c r="D774" t="s">
        <v>1053</v>
      </c>
      <c r="E774">
        <v>1</v>
      </c>
      <c r="F774">
        <f>_xlfn.XLOOKUP(Table1[[#This Row],[ProductID]],Products!A:A,Products!D:D,,0)</f>
        <v>200</v>
      </c>
      <c r="I774">
        <v>899</v>
      </c>
      <c r="J774">
        <v>899</v>
      </c>
      <c r="K774" t="s">
        <v>1102</v>
      </c>
      <c r="L774">
        <v>899</v>
      </c>
      <c r="M774" t="s">
        <v>1098</v>
      </c>
      <c r="N774" t="s">
        <v>1123</v>
      </c>
      <c r="O774">
        <f>Table1[[#This Row],[Unit_Price]]*Table1[[#This Row],[Quantity]]</f>
        <v>200</v>
      </c>
    </row>
    <row r="775" spans="1:15" x14ac:dyDescent="0.3">
      <c r="A775" t="s">
        <v>2346</v>
      </c>
      <c r="B775" t="s">
        <v>2347</v>
      </c>
      <c r="C775" t="s">
        <v>631</v>
      </c>
      <c r="D775" t="s">
        <v>1073</v>
      </c>
      <c r="E775">
        <v>3</v>
      </c>
      <c r="F775">
        <f>_xlfn.XLOOKUP(Table1[[#This Row],[ProductID]],Products!A:A,Products!D:D,,0)</f>
        <v>100</v>
      </c>
      <c r="I775">
        <v>349</v>
      </c>
      <c r="J775">
        <v>297</v>
      </c>
      <c r="K775" t="s">
        <v>1092</v>
      </c>
      <c r="L775">
        <v>891</v>
      </c>
      <c r="M775" t="s">
        <v>1093</v>
      </c>
      <c r="N775" t="s">
        <v>1099</v>
      </c>
      <c r="O775">
        <f>Table1[[#This Row],[Unit_Price]]*Table1[[#This Row],[Quantity]]</f>
        <v>300</v>
      </c>
    </row>
    <row r="776" spans="1:15" x14ac:dyDescent="0.3">
      <c r="A776" t="s">
        <v>2348</v>
      </c>
      <c r="B776" t="s">
        <v>1900</v>
      </c>
      <c r="C776" t="s">
        <v>89</v>
      </c>
      <c r="D776" t="s">
        <v>1080</v>
      </c>
      <c r="E776">
        <v>2</v>
      </c>
      <c r="F776">
        <f>_xlfn.XLOOKUP(Table1[[#This Row],[ProductID]],Products!A:A,Products!D:D,,0)</f>
        <v>45</v>
      </c>
      <c r="I776">
        <v>249</v>
      </c>
      <c r="J776">
        <v>199</v>
      </c>
      <c r="K776" t="s">
        <v>1097</v>
      </c>
      <c r="L776">
        <v>398</v>
      </c>
      <c r="M776" t="s">
        <v>1098</v>
      </c>
      <c r="N776" t="s">
        <v>1099</v>
      </c>
      <c r="O776">
        <f>Table1[[#This Row],[Unit_Price]]*Table1[[#This Row],[Quantity]]</f>
        <v>90</v>
      </c>
    </row>
    <row r="777" spans="1:15" x14ac:dyDescent="0.3">
      <c r="A777" t="s">
        <v>2349</v>
      </c>
      <c r="B777" t="s">
        <v>2350</v>
      </c>
      <c r="C777" t="s">
        <v>621</v>
      </c>
      <c r="D777" t="s">
        <v>1055</v>
      </c>
      <c r="E777">
        <v>3</v>
      </c>
      <c r="F777">
        <f>_xlfn.XLOOKUP(Table1[[#This Row],[ProductID]],Products!A:A,Products!D:D,,0)</f>
        <v>75</v>
      </c>
      <c r="I777">
        <v>299</v>
      </c>
      <c r="J777">
        <v>269</v>
      </c>
      <c r="K777" t="s">
        <v>1107</v>
      </c>
      <c r="L777">
        <v>807</v>
      </c>
      <c r="M777" t="s">
        <v>1098</v>
      </c>
      <c r="N777" t="s">
        <v>1099</v>
      </c>
      <c r="O777">
        <f>Table1[[#This Row],[Unit_Price]]*Table1[[#This Row],[Quantity]]</f>
        <v>225</v>
      </c>
    </row>
    <row r="778" spans="1:15" x14ac:dyDescent="0.3">
      <c r="A778" t="s">
        <v>2351</v>
      </c>
      <c r="B778" t="s">
        <v>1859</v>
      </c>
      <c r="C778" t="s">
        <v>705</v>
      </c>
      <c r="D778" t="s">
        <v>1057</v>
      </c>
      <c r="E778">
        <v>1</v>
      </c>
      <c r="F778">
        <f>_xlfn.XLOOKUP(Table1[[#This Row],[ProductID]],Products!A:A,Products!D:D,,0)</f>
        <v>130</v>
      </c>
      <c r="I778">
        <v>549</v>
      </c>
      <c r="J778">
        <v>467</v>
      </c>
      <c r="K778" t="s">
        <v>1092</v>
      </c>
      <c r="L778">
        <v>467</v>
      </c>
      <c r="M778" t="s">
        <v>1118</v>
      </c>
      <c r="N778" t="s">
        <v>1099</v>
      </c>
      <c r="O778">
        <f>Table1[[#This Row],[Unit_Price]]*Table1[[#This Row],[Quantity]]</f>
        <v>130</v>
      </c>
    </row>
    <row r="779" spans="1:15" x14ac:dyDescent="0.3">
      <c r="A779" t="s">
        <v>2352</v>
      </c>
      <c r="B779" t="s">
        <v>2095</v>
      </c>
      <c r="C779" t="s">
        <v>160</v>
      </c>
      <c r="D779" t="s">
        <v>1075</v>
      </c>
      <c r="E779">
        <v>3</v>
      </c>
      <c r="F779">
        <f>_xlfn.XLOOKUP(Table1[[#This Row],[ProductID]],Products!A:A,Products!D:D,,0)</f>
        <v>80</v>
      </c>
      <c r="I779">
        <v>499</v>
      </c>
      <c r="J779">
        <v>449</v>
      </c>
      <c r="K779" t="s">
        <v>1107</v>
      </c>
      <c r="L779">
        <v>1347</v>
      </c>
      <c r="M779" t="s">
        <v>1098</v>
      </c>
      <c r="N779" t="s">
        <v>1099</v>
      </c>
      <c r="O779">
        <f>Table1[[#This Row],[Unit_Price]]*Table1[[#This Row],[Quantity]]</f>
        <v>240</v>
      </c>
    </row>
    <row r="780" spans="1:15" x14ac:dyDescent="0.3">
      <c r="A780" t="s">
        <v>2353</v>
      </c>
      <c r="B780" t="s">
        <v>2354</v>
      </c>
      <c r="C780" t="s">
        <v>999</v>
      </c>
      <c r="D780" t="s">
        <v>1059</v>
      </c>
      <c r="E780">
        <v>2</v>
      </c>
      <c r="F780">
        <f>_xlfn.XLOOKUP(Table1[[#This Row],[ProductID]],Products!A:A,Products!D:D,,0)</f>
        <v>110</v>
      </c>
      <c r="I780">
        <v>399</v>
      </c>
      <c r="J780">
        <v>399</v>
      </c>
      <c r="K780" t="s">
        <v>1102</v>
      </c>
      <c r="L780">
        <v>798</v>
      </c>
      <c r="M780" t="s">
        <v>1126</v>
      </c>
      <c r="N780" t="s">
        <v>1099</v>
      </c>
      <c r="O780">
        <f>Table1[[#This Row],[Unit_Price]]*Table1[[#This Row],[Quantity]]</f>
        <v>220</v>
      </c>
    </row>
    <row r="781" spans="1:15" x14ac:dyDescent="0.3">
      <c r="A781" t="s">
        <v>2355</v>
      </c>
      <c r="B781" t="s">
        <v>1505</v>
      </c>
      <c r="C781" t="s">
        <v>65</v>
      </c>
      <c r="D781" t="s">
        <v>1059</v>
      </c>
      <c r="E781">
        <v>1</v>
      </c>
      <c r="F781">
        <f>_xlfn.XLOOKUP(Table1[[#This Row],[ProductID]],Products!A:A,Products!D:D,,0)</f>
        <v>110</v>
      </c>
      <c r="I781">
        <v>399</v>
      </c>
      <c r="J781">
        <v>399</v>
      </c>
      <c r="K781" t="s">
        <v>1102</v>
      </c>
      <c r="L781">
        <v>399</v>
      </c>
      <c r="M781" t="s">
        <v>1093</v>
      </c>
      <c r="N781" t="s">
        <v>1099</v>
      </c>
      <c r="O781">
        <f>Table1[[#This Row],[Unit_Price]]*Table1[[#This Row],[Quantity]]</f>
        <v>110</v>
      </c>
    </row>
    <row r="782" spans="1:15" x14ac:dyDescent="0.3">
      <c r="A782" t="s">
        <v>2356</v>
      </c>
      <c r="B782" t="s">
        <v>1953</v>
      </c>
      <c r="C782" t="s">
        <v>148</v>
      </c>
      <c r="D782" t="s">
        <v>1073</v>
      </c>
      <c r="E782">
        <v>1</v>
      </c>
      <c r="F782">
        <f>_xlfn.XLOOKUP(Table1[[#This Row],[ProductID]],Products!A:A,Products!D:D,,0)</f>
        <v>100</v>
      </c>
      <c r="I782">
        <v>349</v>
      </c>
      <c r="J782">
        <v>297</v>
      </c>
      <c r="K782" t="s">
        <v>1092</v>
      </c>
      <c r="L782">
        <v>297</v>
      </c>
      <c r="M782" t="s">
        <v>1098</v>
      </c>
      <c r="N782" t="s">
        <v>1099</v>
      </c>
      <c r="O782">
        <f>Table1[[#This Row],[Unit_Price]]*Table1[[#This Row],[Quantity]]</f>
        <v>100</v>
      </c>
    </row>
    <row r="783" spans="1:15" x14ac:dyDescent="0.3">
      <c r="A783" t="s">
        <v>2357</v>
      </c>
      <c r="B783" t="s">
        <v>1281</v>
      </c>
      <c r="C783" t="s">
        <v>315</v>
      </c>
      <c r="D783" t="s">
        <v>1080</v>
      </c>
      <c r="E783">
        <v>1</v>
      </c>
      <c r="F783">
        <f>_xlfn.XLOOKUP(Table1[[#This Row],[ProductID]],Products!A:A,Products!D:D,,0)</f>
        <v>45</v>
      </c>
      <c r="I783">
        <v>249</v>
      </c>
      <c r="J783">
        <v>249</v>
      </c>
      <c r="K783" t="s">
        <v>1102</v>
      </c>
      <c r="L783">
        <v>249</v>
      </c>
      <c r="M783" t="s">
        <v>1098</v>
      </c>
      <c r="N783" t="s">
        <v>1099</v>
      </c>
      <c r="O783">
        <f>Table1[[#This Row],[Unit_Price]]*Table1[[#This Row],[Quantity]]</f>
        <v>45</v>
      </c>
    </row>
    <row r="784" spans="1:15" x14ac:dyDescent="0.3">
      <c r="A784" t="s">
        <v>2358</v>
      </c>
      <c r="B784" t="s">
        <v>1537</v>
      </c>
      <c r="C784" t="s">
        <v>973</v>
      </c>
      <c r="D784" t="s">
        <v>1062</v>
      </c>
      <c r="E784">
        <v>1</v>
      </c>
      <c r="F784">
        <f>_xlfn.XLOOKUP(Table1[[#This Row],[ProductID]],Products!A:A,Products!D:D,,0)</f>
        <v>95</v>
      </c>
      <c r="I784">
        <v>349</v>
      </c>
      <c r="J784">
        <v>349</v>
      </c>
      <c r="K784" t="s">
        <v>1102</v>
      </c>
      <c r="L784">
        <v>349</v>
      </c>
      <c r="M784" t="s">
        <v>1093</v>
      </c>
      <c r="N784" t="s">
        <v>1094</v>
      </c>
      <c r="O784">
        <f>Table1[[#This Row],[Unit_Price]]*Table1[[#This Row],[Quantity]]</f>
        <v>95</v>
      </c>
    </row>
    <row r="785" spans="1:15" x14ac:dyDescent="0.3">
      <c r="A785" t="s">
        <v>2359</v>
      </c>
      <c r="B785" t="s">
        <v>1902</v>
      </c>
      <c r="C785" t="s">
        <v>741</v>
      </c>
      <c r="D785" t="s">
        <v>1053</v>
      </c>
      <c r="E785">
        <v>1</v>
      </c>
      <c r="F785">
        <f>_xlfn.XLOOKUP(Table1[[#This Row],[ProductID]],Products!A:A,Products!D:D,,0)</f>
        <v>200</v>
      </c>
      <c r="I785">
        <v>899</v>
      </c>
      <c r="J785">
        <v>764</v>
      </c>
      <c r="K785" t="s">
        <v>1092</v>
      </c>
      <c r="L785">
        <v>764</v>
      </c>
      <c r="M785" t="s">
        <v>1118</v>
      </c>
      <c r="N785" t="s">
        <v>1099</v>
      </c>
      <c r="O785">
        <f>Table1[[#This Row],[Unit_Price]]*Table1[[#This Row],[Quantity]]</f>
        <v>200</v>
      </c>
    </row>
    <row r="786" spans="1:15" x14ac:dyDescent="0.3">
      <c r="A786" t="s">
        <v>2360</v>
      </c>
      <c r="B786" t="s">
        <v>1134</v>
      </c>
      <c r="C786" t="s">
        <v>463</v>
      </c>
      <c r="D786" t="s">
        <v>1051</v>
      </c>
      <c r="E786">
        <v>1</v>
      </c>
      <c r="F786">
        <f>_xlfn.XLOOKUP(Table1[[#This Row],[ProductID]],Products!A:A,Products!D:D,,0)</f>
        <v>150</v>
      </c>
      <c r="I786">
        <v>499</v>
      </c>
      <c r="J786">
        <v>449</v>
      </c>
      <c r="K786" t="s">
        <v>1107</v>
      </c>
      <c r="L786">
        <v>449</v>
      </c>
      <c r="M786" t="s">
        <v>1098</v>
      </c>
      <c r="N786" t="s">
        <v>1099</v>
      </c>
      <c r="O786">
        <f>Table1[[#This Row],[Unit_Price]]*Table1[[#This Row],[Quantity]]</f>
        <v>150</v>
      </c>
    </row>
    <row r="787" spans="1:15" x14ac:dyDescent="0.3">
      <c r="A787" t="s">
        <v>2361</v>
      </c>
      <c r="B787" t="s">
        <v>2322</v>
      </c>
      <c r="C787" t="s">
        <v>365</v>
      </c>
      <c r="D787" t="s">
        <v>1071</v>
      </c>
      <c r="E787">
        <v>2</v>
      </c>
      <c r="F787">
        <f>_xlfn.XLOOKUP(Table1[[#This Row],[ProductID]],Products!A:A,Products!D:D,,0)</f>
        <v>125</v>
      </c>
      <c r="I787">
        <v>399</v>
      </c>
      <c r="J787">
        <v>339</v>
      </c>
      <c r="K787" t="s">
        <v>1092</v>
      </c>
      <c r="L787">
        <v>678</v>
      </c>
      <c r="M787" t="s">
        <v>1093</v>
      </c>
      <c r="N787" t="s">
        <v>1094</v>
      </c>
      <c r="O787">
        <f>Table1[[#This Row],[Unit_Price]]*Table1[[#This Row],[Quantity]]</f>
        <v>250</v>
      </c>
    </row>
    <row r="788" spans="1:15" x14ac:dyDescent="0.3">
      <c r="A788" t="s">
        <v>2362</v>
      </c>
      <c r="B788" t="s">
        <v>1258</v>
      </c>
      <c r="C788" t="s">
        <v>134</v>
      </c>
      <c r="D788" t="s">
        <v>1073</v>
      </c>
      <c r="E788">
        <v>2</v>
      </c>
      <c r="F788">
        <f>_xlfn.XLOOKUP(Table1[[#This Row],[ProductID]],Products!A:A,Products!D:D,,0)</f>
        <v>100</v>
      </c>
      <c r="I788">
        <v>349</v>
      </c>
      <c r="J788">
        <v>297</v>
      </c>
      <c r="K788" t="s">
        <v>1092</v>
      </c>
      <c r="L788">
        <v>594</v>
      </c>
      <c r="M788" t="s">
        <v>1118</v>
      </c>
      <c r="N788" t="s">
        <v>1099</v>
      </c>
      <c r="O788">
        <f>Table1[[#This Row],[Unit_Price]]*Table1[[#This Row],[Quantity]]</f>
        <v>200</v>
      </c>
    </row>
    <row r="789" spans="1:15" x14ac:dyDescent="0.3">
      <c r="A789" t="s">
        <v>2363</v>
      </c>
      <c r="B789" t="s">
        <v>2030</v>
      </c>
      <c r="C789" t="s">
        <v>287</v>
      </c>
      <c r="D789" t="s">
        <v>1048</v>
      </c>
      <c r="E789">
        <v>1</v>
      </c>
      <c r="F789">
        <f>_xlfn.XLOOKUP(Table1[[#This Row],[ProductID]],Products!A:A,Products!D:D,,0)</f>
        <v>120</v>
      </c>
      <c r="I789">
        <v>599</v>
      </c>
      <c r="J789">
        <v>539</v>
      </c>
      <c r="K789" t="s">
        <v>1107</v>
      </c>
      <c r="L789">
        <v>539</v>
      </c>
      <c r="M789" t="s">
        <v>1098</v>
      </c>
      <c r="N789" t="s">
        <v>1099</v>
      </c>
      <c r="O789">
        <f>Table1[[#This Row],[Unit_Price]]*Table1[[#This Row],[Quantity]]</f>
        <v>120</v>
      </c>
    </row>
    <row r="790" spans="1:15" x14ac:dyDescent="0.3">
      <c r="A790" t="s">
        <v>2364</v>
      </c>
      <c r="B790" t="s">
        <v>2365</v>
      </c>
      <c r="C790" t="s">
        <v>477</v>
      </c>
      <c r="D790" t="s">
        <v>1064</v>
      </c>
      <c r="E790">
        <v>2</v>
      </c>
      <c r="F790">
        <f>_xlfn.XLOOKUP(Table1[[#This Row],[ProductID]],Products!A:A,Products!D:D,,0)</f>
        <v>160</v>
      </c>
      <c r="I790">
        <v>699</v>
      </c>
      <c r="J790">
        <v>629</v>
      </c>
      <c r="K790" t="s">
        <v>1107</v>
      </c>
      <c r="L790">
        <v>1258</v>
      </c>
      <c r="M790" t="s">
        <v>1098</v>
      </c>
      <c r="N790" t="s">
        <v>1099</v>
      </c>
      <c r="O790">
        <f>Table1[[#This Row],[Unit_Price]]*Table1[[#This Row],[Quantity]]</f>
        <v>320</v>
      </c>
    </row>
    <row r="791" spans="1:15" x14ac:dyDescent="0.3">
      <c r="A791" t="s">
        <v>2366</v>
      </c>
      <c r="B791" t="s">
        <v>1813</v>
      </c>
      <c r="C791" t="s">
        <v>819</v>
      </c>
      <c r="D791" t="s">
        <v>1068</v>
      </c>
      <c r="E791">
        <v>2</v>
      </c>
      <c r="F791">
        <f>_xlfn.XLOOKUP(Table1[[#This Row],[ProductID]],Products!A:A,Products!D:D,,0)</f>
        <v>180</v>
      </c>
      <c r="I791">
        <v>449</v>
      </c>
      <c r="J791">
        <v>404</v>
      </c>
      <c r="K791" t="s">
        <v>1107</v>
      </c>
      <c r="L791">
        <v>808</v>
      </c>
      <c r="M791" t="s">
        <v>1093</v>
      </c>
      <c r="N791" t="s">
        <v>1099</v>
      </c>
      <c r="O791">
        <f>Table1[[#This Row],[Unit_Price]]*Table1[[#This Row],[Quantity]]</f>
        <v>360</v>
      </c>
    </row>
    <row r="792" spans="1:15" x14ac:dyDescent="0.3">
      <c r="A792" t="s">
        <v>2367</v>
      </c>
      <c r="B792" t="s">
        <v>2368</v>
      </c>
      <c r="C792" t="s">
        <v>723</v>
      </c>
      <c r="D792" t="s">
        <v>1075</v>
      </c>
      <c r="E792">
        <v>1</v>
      </c>
      <c r="F792">
        <f>_xlfn.XLOOKUP(Table1[[#This Row],[ProductID]],Products!A:A,Products!D:D,,0)</f>
        <v>80</v>
      </c>
      <c r="I792">
        <v>499</v>
      </c>
      <c r="J792">
        <v>449</v>
      </c>
      <c r="K792" t="s">
        <v>1107</v>
      </c>
      <c r="L792">
        <v>449</v>
      </c>
      <c r="M792" t="s">
        <v>1093</v>
      </c>
      <c r="N792" t="s">
        <v>1099</v>
      </c>
      <c r="O792">
        <f>Table1[[#This Row],[Unit_Price]]*Table1[[#This Row],[Quantity]]</f>
        <v>80</v>
      </c>
    </row>
    <row r="793" spans="1:15" x14ac:dyDescent="0.3">
      <c r="A793" t="s">
        <v>2369</v>
      </c>
      <c r="B793" t="s">
        <v>2370</v>
      </c>
      <c r="C793" t="s">
        <v>911</v>
      </c>
      <c r="D793" t="s">
        <v>1059</v>
      </c>
      <c r="E793">
        <v>2</v>
      </c>
      <c r="F793">
        <f>_xlfn.XLOOKUP(Table1[[#This Row],[ProductID]],Products!A:A,Products!D:D,,0)</f>
        <v>110</v>
      </c>
      <c r="I793">
        <v>399</v>
      </c>
      <c r="J793">
        <v>339</v>
      </c>
      <c r="K793" t="s">
        <v>1092</v>
      </c>
      <c r="L793">
        <v>678</v>
      </c>
      <c r="M793" t="s">
        <v>1126</v>
      </c>
      <c r="N793" t="s">
        <v>1099</v>
      </c>
      <c r="O793">
        <f>Table1[[#This Row],[Unit_Price]]*Table1[[#This Row],[Quantity]]</f>
        <v>220</v>
      </c>
    </row>
    <row r="794" spans="1:15" x14ac:dyDescent="0.3">
      <c r="A794" t="s">
        <v>2371</v>
      </c>
      <c r="B794" t="s">
        <v>1472</v>
      </c>
      <c r="C794" t="s">
        <v>87</v>
      </c>
      <c r="D794" t="s">
        <v>1053</v>
      </c>
      <c r="E794">
        <v>2</v>
      </c>
      <c r="F794">
        <f>_xlfn.XLOOKUP(Table1[[#This Row],[ProductID]],Products!A:A,Products!D:D,,0)</f>
        <v>200</v>
      </c>
      <c r="I794">
        <v>899</v>
      </c>
      <c r="J794">
        <v>899</v>
      </c>
      <c r="K794" t="s">
        <v>1102</v>
      </c>
      <c r="L794">
        <v>1798</v>
      </c>
      <c r="M794" t="s">
        <v>1098</v>
      </c>
      <c r="N794" t="s">
        <v>1123</v>
      </c>
      <c r="O794">
        <f>Table1[[#This Row],[Unit_Price]]*Table1[[#This Row],[Quantity]]</f>
        <v>400</v>
      </c>
    </row>
    <row r="795" spans="1:15" x14ac:dyDescent="0.3">
      <c r="A795" t="s">
        <v>2372</v>
      </c>
      <c r="B795" t="s">
        <v>1500</v>
      </c>
      <c r="C795" t="s">
        <v>231</v>
      </c>
      <c r="D795" t="s">
        <v>1075</v>
      </c>
      <c r="E795">
        <v>2</v>
      </c>
      <c r="F795">
        <f>_xlfn.XLOOKUP(Table1[[#This Row],[ProductID]],Products!A:A,Products!D:D,,0)</f>
        <v>80</v>
      </c>
      <c r="I795">
        <v>499</v>
      </c>
      <c r="J795">
        <v>499</v>
      </c>
      <c r="K795" t="s">
        <v>1102</v>
      </c>
      <c r="L795">
        <v>998</v>
      </c>
      <c r="M795" t="s">
        <v>1093</v>
      </c>
      <c r="N795" t="s">
        <v>1123</v>
      </c>
      <c r="O795">
        <f>Table1[[#This Row],[Unit_Price]]*Table1[[#This Row],[Quantity]]</f>
        <v>160</v>
      </c>
    </row>
    <row r="796" spans="1:15" x14ac:dyDescent="0.3">
      <c r="A796" t="s">
        <v>2373</v>
      </c>
      <c r="B796" t="s">
        <v>2342</v>
      </c>
      <c r="C796" t="s">
        <v>481</v>
      </c>
      <c r="D796" t="s">
        <v>1051</v>
      </c>
      <c r="E796">
        <v>3</v>
      </c>
      <c r="F796">
        <f>_xlfn.XLOOKUP(Table1[[#This Row],[ProductID]],Products!A:A,Products!D:D,,0)</f>
        <v>150</v>
      </c>
      <c r="I796">
        <v>499</v>
      </c>
      <c r="J796">
        <v>424</v>
      </c>
      <c r="K796" t="s">
        <v>1092</v>
      </c>
      <c r="L796">
        <v>1272</v>
      </c>
      <c r="M796" t="s">
        <v>1093</v>
      </c>
      <c r="N796" t="s">
        <v>1099</v>
      </c>
      <c r="O796">
        <f>Table1[[#This Row],[Unit_Price]]*Table1[[#This Row],[Quantity]]</f>
        <v>450</v>
      </c>
    </row>
    <row r="797" spans="1:15" x14ac:dyDescent="0.3">
      <c r="A797" t="s">
        <v>2374</v>
      </c>
      <c r="B797" t="s">
        <v>2202</v>
      </c>
      <c r="C797" t="s">
        <v>331</v>
      </c>
      <c r="D797" t="s">
        <v>1048</v>
      </c>
      <c r="E797">
        <v>2</v>
      </c>
      <c r="F797">
        <f>_xlfn.XLOOKUP(Table1[[#This Row],[ProductID]],Products!A:A,Products!D:D,,0)</f>
        <v>120</v>
      </c>
      <c r="I797">
        <v>599</v>
      </c>
      <c r="J797">
        <v>539</v>
      </c>
      <c r="K797" t="s">
        <v>1107</v>
      </c>
      <c r="L797">
        <v>1078</v>
      </c>
      <c r="M797" t="s">
        <v>1098</v>
      </c>
      <c r="N797" t="s">
        <v>1123</v>
      </c>
      <c r="O797">
        <f>Table1[[#This Row],[Unit_Price]]*Table1[[#This Row],[Quantity]]</f>
        <v>240</v>
      </c>
    </row>
    <row r="798" spans="1:15" x14ac:dyDescent="0.3">
      <c r="A798" t="s">
        <v>2375</v>
      </c>
      <c r="B798" t="s">
        <v>1455</v>
      </c>
      <c r="C798" t="s">
        <v>987</v>
      </c>
      <c r="D798" t="s">
        <v>1075</v>
      </c>
      <c r="E798">
        <v>1</v>
      </c>
      <c r="F798">
        <f>_xlfn.XLOOKUP(Table1[[#This Row],[ProductID]],Products!A:A,Products!D:D,,0)</f>
        <v>80</v>
      </c>
      <c r="I798">
        <v>499</v>
      </c>
      <c r="J798">
        <v>449</v>
      </c>
      <c r="K798" t="s">
        <v>1107</v>
      </c>
      <c r="L798">
        <v>449</v>
      </c>
      <c r="M798" t="s">
        <v>1098</v>
      </c>
      <c r="N798" t="s">
        <v>1099</v>
      </c>
      <c r="O798">
        <f>Table1[[#This Row],[Unit_Price]]*Table1[[#This Row],[Quantity]]</f>
        <v>80</v>
      </c>
    </row>
    <row r="799" spans="1:15" x14ac:dyDescent="0.3">
      <c r="A799" t="s">
        <v>2376</v>
      </c>
      <c r="B799" t="s">
        <v>2377</v>
      </c>
      <c r="C799" t="s">
        <v>263</v>
      </c>
      <c r="D799" t="s">
        <v>1075</v>
      </c>
      <c r="E799">
        <v>1</v>
      </c>
      <c r="F799">
        <f>_xlfn.XLOOKUP(Table1[[#This Row],[ProductID]],Products!A:A,Products!D:D,,0)</f>
        <v>80</v>
      </c>
      <c r="I799">
        <v>499</v>
      </c>
      <c r="J799">
        <v>449</v>
      </c>
      <c r="K799" t="s">
        <v>1107</v>
      </c>
      <c r="L799">
        <v>449</v>
      </c>
      <c r="M799" t="s">
        <v>1093</v>
      </c>
      <c r="N799" t="s">
        <v>1123</v>
      </c>
      <c r="O799">
        <f>Table1[[#This Row],[Unit_Price]]*Table1[[#This Row],[Quantity]]</f>
        <v>80</v>
      </c>
    </row>
    <row r="800" spans="1:15" x14ac:dyDescent="0.3">
      <c r="A800" t="s">
        <v>2378</v>
      </c>
      <c r="B800" t="s">
        <v>1180</v>
      </c>
      <c r="C800" t="s">
        <v>455</v>
      </c>
      <c r="D800" t="s">
        <v>1051</v>
      </c>
      <c r="E800">
        <v>1</v>
      </c>
      <c r="F800">
        <f>_xlfn.XLOOKUP(Table1[[#This Row],[ProductID]],Products!A:A,Products!D:D,,0)</f>
        <v>150</v>
      </c>
      <c r="I800">
        <v>499</v>
      </c>
      <c r="J800">
        <v>424</v>
      </c>
      <c r="K800" t="s">
        <v>1092</v>
      </c>
      <c r="L800">
        <v>424</v>
      </c>
      <c r="M800" t="s">
        <v>1098</v>
      </c>
      <c r="N800" t="s">
        <v>1099</v>
      </c>
      <c r="O800">
        <f>Table1[[#This Row],[Unit_Price]]*Table1[[#This Row],[Quantity]]</f>
        <v>150</v>
      </c>
    </row>
    <row r="801" spans="1:15" x14ac:dyDescent="0.3">
      <c r="A801" t="s">
        <v>2379</v>
      </c>
      <c r="B801" t="s">
        <v>2172</v>
      </c>
      <c r="C801" t="s">
        <v>915</v>
      </c>
      <c r="D801" t="s">
        <v>1062</v>
      </c>
      <c r="E801">
        <v>2</v>
      </c>
      <c r="F801">
        <f>_xlfn.XLOOKUP(Table1[[#This Row],[ProductID]],Products!A:A,Products!D:D,,0)</f>
        <v>95</v>
      </c>
      <c r="I801">
        <v>349</v>
      </c>
      <c r="J801">
        <v>279</v>
      </c>
      <c r="K801" t="s">
        <v>1097</v>
      </c>
      <c r="L801">
        <v>558</v>
      </c>
      <c r="M801" t="s">
        <v>1098</v>
      </c>
      <c r="N801" t="s">
        <v>1099</v>
      </c>
      <c r="O801">
        <f>Table1[[#This Row],[Unit_Price]]*Table1[[#This Row],[Quantity]]</f>
        <v>190</v>
      </c>
    </row>
    <row r="802" spans="1:15" x14ac:dyDescent="0.3">
      <c r="A802" t="s">
        <v>2380</v>
      </c>
      <c r="B802" t="s">
        <v>2080</v>
      </c>
      <c r="C802" t="s">
        <v>471</v>
      </c>
      <c r="D802" t="s">
        <v>1059</v>
      </c>
      <c r="E802">
        <v>2</v>
      </c>
      <c r="F802">
        <f>_xlfn.XLOOKUP(Table1[[#This Row],[ProductID]],Products!A:A,Products!D:D,,0)</f>
        <v>110</v>
      </c>
      <c r="I802">
        <v>399</v>
      </c>
      <c r="J802">
        <v>359</v>
      </c>
      <c r="K802" t="s">
        <v>1107</v>
      </c>
      <c r="L802">
        <v>718</v>
      </c>
      <c r="M802" t="s">
        <v>1093</v>
      </c>
      <c r="N802" t="s">
        <v>1099</v>
      </c>
      <c r="O802">
        <f>Table1[[#This Row],[Unit_Price]]*Table1[[#This Row],[Quantity]]</f>
        <v>220</v>
      </c>
    </row>
    <row r="803" spans="1:15" x14ac:dyDescent="0.3">
      <c r="A803" t="s">
        <v>2381</v>
      </c>
      <c r="B803" t="s">
        <v>2382</v>
      </c>
      <c r="C803" t="s">
        <v>713</v>
      </c>
      <c r="D803" t="s">
        <v>1062</v>
      </c>
      <c r="E803">
        <v>1</v>
      </c>
      <c r="F803">
        <f>_xlfn.XLOOKUP(Table1[[#This Row],[ProductID]],Products!A:A,Products!D:D,,0)</f>
        <v>95</v>
      </c>
      <c r="I803">
        <v>349</v>
      </c>
      <c r="J803">
        <v>349</v>
      </c>
      <c r="K803" t="s">
        <v>1102</v>
      </c>
      <c r="L803">
        <v>349</v>
      </c>
      <c r="M803" t="s">
        <v>1093</v>
      </c>
      <c r="N803" t="s">
        <v>1099</v>
      </c>
      <c r="O803">
        <f>Table1[[#This Row],[Unit_Price]]*Table1[[#This Row],[Quantity]]</f>
        <v>95</v>
      </c>
    </row>
    <row r="804" spans="1:15" x14ac:dyDescent="0.3">
      <c r="A804" t="s">
        <v>2383</v>
      </c>
      <c r="B804" t="s">
        <v>1666</v>
      </c>
      <c r="C804" t="s">
        <v>657</v>
      </c>
      <c r="D804" t="s">
        <v>1048</v>
      </c>
      <c r="E804">
        <v>3</v>
      </c>
      <c r="F804">
        <f>_xlfn.XLOOKUP(Table1[[#This Row],[ProductID]],Products!A:A,Products!D:D,,0)</f>
        <v>120</v>
      </c>
      <c r="I804">
        <v>599</v>
      </c>
      <c r="J804">
        <v>539</v>
      </c>
      <c r="K804" t="s">
        <v>1107</v>
      </c>
      <c r="L804">
        <v>1617</v>
      </c>
      <c r="M804" t="s">
        <v>1093</v>
      </c>
      <c r="N804" t="s">
        <v>1094</v>
      </c>
      <c r="O804">
        <f>Table1[[#This Row],[Unit_Price]]*Table1[[#This Row],[Quantity]]</f>
        <v>360</v>
      </c>
    </row>
    <row r="805" spans="1:15" x14ac:dyDescent="0.3">
      <c r="A805" t="s">
        <v>2384</v>
      </c>
      <c r="B805" t="s">
        <v>2385</v>
      </c>
      <c r="C805" t="s">
        <v>439</v>
      </c>
      <c r="D805" t="s">
        <v>1051</v>
      </c>
      <c r="E805">
        <v>1</v>
      </c>
      <c r="F805">
        <f>_xlfn.XLOOKUP(Table1[[#This Row],[ProductID]],Products!A:A,Products!D:D,,0)</f>
        <v>150</v>
      </c>
      <c r="I805">
        <v>499</v>
      </c>
      <c r="J805">
        <v>449</v>
      </c>
      <c r="K805" t="s">
        <v>1107</v>
      </c>
      <c r="L805">
        <v>449</v>
      </c>
      <c r="M805" t="s">
        <v>1093</v>
      </c>
      <c r="N805" t="s">
        <v>1094</v>
      </c>
      <c r="O805">
        <f>Table1[[#This Row],[Unit_Price]]*Table1[[#This Row],[Quantity]]</f>
        <v>150</v>
      </c>
    </row>
    <row r="806" spans="1:15" x14ac:dyDescent="0.3">
      <c r="A806" t="s">
        <v>2386</v>
      </c>
      <c r="B806" t="s">
        <v>1830</v>
      </c>
      <c r="C806" t="s">
        <v>533</v>
      </c>
      <c r="D806" t="s">
        <v>1078</v>
      </c>
      <c r="E806">
        <v>2</v>
      </c>
      <c r="F806">
        <f>_xlfn.XLOOKUP(Table1[[#This Row],[ProductID]],Products!A:A,Products!D:D,,0)</f>
        <v>80</v>
      </c>
      <c r="I806">
        <v>499</v>
      </c>
      <c r="J806">
        <v>424</v>
      </c>
      <c r="K806" t="s">
        <v>1092</v>
      </c>
      <c r="L806">
        <v>848</v>
      </c>
      <c r="M806" t="s">
        <v>1093</v>
      </c>
      <c r="N806" t="s">
        <v>1094</v>
      </c>
      <c r="O806">
        <f>Table1[[#This Row],[Unit_Price]]*Table1[[#This Row],[Quantity]]</f>
        <v>160</v>
      </c>
    </row>
    <row r="807" spans="1:15" x14ac:dyDescent="0.3">
      <c r="A807" t="s">
        <v>2387</v>
      </c>
      <c r="B807" t="s">
        <v>1527</v>
      </c>
      <c r="C807" t="s">
        <v>585</v>
      </c>
      <c r="D807" t="s">
        <v>1064</v>
      </c>
      <c r="E807">
        <v>1</v>
      </c>
      <c r="F807">
        <f>_xlfn.XLOOKUP(Table1[[#This Row],[ProductID]],Products!A:A,Products!D:D,,0)</f>
        <v>160</v>
      </c>
      <c r="I807">
        <v>699</v>
      </c>
      <c r="J807">
        <v>559</v>
      </c>
      <c r="K807" t="s">
        <v>1097</v>
      </c>
      <c r="L807">
        <v>559</v>
      </c>
      <c r="M807" t="s">
        <v>1118</v>
      </c>
      <c r="N807" t="s">
        <v>1099</v>
      </c>
      <c r="O807">
        <f>Table1[[#This Row],[Unit_Price]]*Table1[[#This Row],[Quantity]]</f>
        <v>160</v>
      </c>
    </row>
    <row r="808" spans="1:15" x14ac:dyDescent="0.3">
      <c r="A808" t="s">
        <v>2388</v>
      </c>
      <c r="B808" t="s">
        <v>2389</v>
      </c>
      <c r="C808" t="s">
        <v>69</v>
      </c>
      <c r="D808" t="s">
        <v>1075</v>
      </c>
      <c r="E808">
        <v>2</v>
      </c>
      <c r="F808">
        <f>_xlfn.XLOOKUP(Table1[[#This Row],[ProductID]],Products!A:A,Products!D:D,,0)</f>
        <v>80</v>
      </c>
      <c r="I808">
        <v>499</v>
      </c>
      <c r="J808">
        <v>399</v>
      </c>
      <c r="K808" t="s">
        <v>1097</v>
      </c>
      <c r="L808">
        <v>798</v>
      </c>
      <c r="M808" t="s">
        <v>1093</v>
      </c>
      <c r="N808" t="s">
        <v>1099</v>
      </c>
      <c r="O808">
        <f>Table1[[#This Row],[Unit_Price]]*Table1[[#This Row],[Quantity]]</f>
        <v>160</v>
      </c>
    </row>
    <row r="809" spans="1:15" x14ac:dyDescent="0.3">
      <c r="A809" t="s">
        <v>2390</v>
      </c>
      <c r="B809" t="s">
        <v>2391</v>
      </c>
      <c r="C809" t="s">
        <v>647</v>
      </c>
      <c r="D809" t="s">
        <v>1078</v>
      </c>
      <c r="E809">
        <v>4</v>
      </c>
      <c r="F809">
        <f>_xlfn.XLOOKUP(Table1[[#This Row],[ProductID]],Products!A:A,Products!D:D,,0)</f>
        <v>80</v>
      </c>
      <c r="I809">
        <v>499</v>
      </c>
      <c r="J809">
        <v>399</v>
      </c>
      <c r="K809" t="s">
        <v>1097</v>
      </c>
      <c r="L809">
        <v>1596</v>
      </c>
      <c r="M809" t="s">
        <v>1093</v>
      </c>
      <c r="N809" t="s">
        <v>1094</v>
      </c>
      <c r="O809">
        <f>Table1[[#This Row],[Unit_Price]]*Table1[[#This Row],[Quantity]]</f>
        <v>320</v>
      </c>
    </row>
    <row r="810" spans="1:15" x14ac:dyDescent="0.3">
      <c r="A810" t="s">
        <v>2392</v>
      </c>
      <c r="B810" t="s">
        <v>1198</v>
      </c>
      <c r="C810" t="s">
        <v>915</v>
      </c>
      <c r="D810" t="s">
        <v>1080</v>
      </c>
      <c r="E810">
        <v>1</v>
      </c>
      <c r="F810">
        <f>_xlfn.XLOOKUP(Table1[[#This Row],[ProductID]],Products!A:A,Products!D:D,,0)</f>
        <v>45</v>
      </c>
      <c r="I810">
        <v>249</v>
      </c>
      <c r="J810">
        <v>224</v>
      </c>
      <c r="K810" t="s">
        <v>1107</v>
      </c>
      <c r="L810">
        <v>224</v>
      </c>
      <c r="M810" t="s">
        <v>1098</v>
      </c>
      <c r="N810" t="s">
        <v>1123</v>
      </c>
      <c r="O810">
        <f>Table1[[#This Row],[Unit_Price]]*Table1[[#This Row],[Quantity]]</f>
        <v>45</v>
      </c>
    </row>
    <row r="811" spans="1:15" x14ac:dyDescent="0.3">
      <c r="A811" t="s">
        <v>2393</v>
      </c>
      <c r="B811" t="s">
        <v>1252</v>
      </c>
      <c r="C811" t="s">
        <v>283</v>
      </c>
      <c r="D811" t="s">
        <v>1066</v>
      </c>
      <c r="E811">
        <v>1</v>
      </c>
      <c r="F811">
        <f>_xlfn.XLOOKUP(Table1[[#This Row],[ProductID]],Products!A:A,Products!D:D,,0)</f>
        <v>140</v>
      </c>
      <c r="I811">
        <v>499</v>
      </c>
      <c r="J811">
        <v>399</v>
      </c>
      <c r="K811" t="s">
        <v>1097</v>
      </c>
      <c r="L811">
        <v>399</v>
      </c>
      <c r="M811" t="s">
        <v>1093</v>
      </c>
      <c r="N811" t="s">
        <v>1099</v>
      </c>
      <c r="O811">
        <f>Table1[[#This Row],[Unit_Price]]*Table1[[#This Row],[Quantity]]</f>
        <v>140</v>
      </c>
    </row>
    <row r="812" spans="1:15" x14ac:dyDescent="0.3">
      <c r="A812" t="s">
        <v>2394</v>
      </c>
      <c r="B812" t="s">
        <v>2395</v>
      </c>
      <c r="C812" t="s">
        <v>779</v>
      </c>
      <c r="D812" t="s">
        <v>1059</v>
      </c>
      <c r="E812">
        <v>1</v>
      </c>
      <c r="F812">
        <f>_xlfn.XLOOKUP(Table1[[#This Row],[ProductID]],Products!A:A,Products!D:D,,0)</f>
        <v>110</v>
      </c>
      <c r="I812">
        <v>399</v>
      </c>
      <c r="J812">
        <v>359</v>
      </c>
      <c r="K812" t="s">
        <v>1107</v>
      </c>
      <c r="L812">
        <v>359</v>
      </c>
      <c r="M812" t="s">
        <v>1098</v>
      </c>
      <c r="N812" t="s">
        <v>1099</v>
      </c>
      <c r="O812">
        <f>Table1[[#This Row],[Unit_Price]]*Table1[[#This Row],[Quantity]]</f>
        <v>110</v>
      </c>
    </row>
    <row r="813" spans="1:15" x14ac:dyDescent="0.3">
      <c r="A813" t="s">
        <v>2396</v>
      </c>
      <c r="B813" t="s">
        <v>2397</v>
      </c>
      <c r="C813" t="s">
        <v>435</v>
      </c>
      <c r="D813" t="s">
        <v>1053</v>
      </c>
      <c r="E813">
        <v>2</v>
      </c>
      <c r="F813">
        <f>_xlfn.XLOOKUP(Table1[[#This Row],[ProductID]],Products!A:A,Products!D:D,,0)</f>
        <v>200</v>
      </c>
      <c r="I813">
        <v>899</v>
      </c>
      <c r="J813">
        <v>899</v>
      </c>
      <c r="K813" t="s">
        <v>1102</v>
      </c>
      <c r="L813">
        <v>1798</v>
      </c>
      <c r="M813" t="s">
        <v>1098</v>
      </c>
      <c r="N813" t="s">
        <v>1099</v>
      </c>
      <c r="O813">
        <f>Table1[[#This Row],[Unit_Price]]*Table1[[#This Row],[Quantity]]</f>
        <v>400</v>
      </c>
    </row>
    <row r="814" spans="1:15" x14ac:dyDescent="0.3">
      <c r="A814" t="s">
        <v>2398</v>
      </c>
      <c r="B814" t="s">
        <v>1463</v>
      </c>
      <c r="C814" t="s">
        <v>597</v>
      </c>
      <c r="D814" t="s">
        <v>1062</v>
      </c>
      <c r="E814">
        <v>1</v>
      </c>
      <c r="F814">
        <f>_xlfn.XLOOKUP(Table1[[#This Row],[ProductID]],Products!A:A,Products!D:D,,0)</f>
        <v>95</v>
      </c>
      <c r="I814">
        <v>349</v>
      </c>
      <c r="J814">
        <v>314</v>
      </c>
      <c r="K814" t="s">
        <v>1107</v>
      </c>
      <c r="L814">
        <v>314</v>
      </c>
      <c r="M814" t="s">
        <v>1093</v>
      </c>
      <c r="N814" t="s">
        <v>1094</v>
      </c>
      <c r="O814">
        <f>Table1[[#This Row],[Unit_Price]]*Table1[[#This Row],[Quantity]]</f>
        <v>95</v>
      </c>
    </row>
    <row r="815" spans="1:15" x14ac:dyDescent="0.3">
      <c r="A815" t="s">
        <v>2399</v>
      </c>
      <c r="B815" t="s">
        <v>2400</v>
      </c>
      <c r="C815" t="s">
        <v>497</v>
      </c>
      <c r="D815" t="s">
        <v>1053</v>
      </c>
      <c r="E815">
        <v>1</v>
      </c>
      <c r="F815">
        <f>_xlfn.XLOOKUP(Table1[[#This Row],[ProductID]],Products!A:A,Products!D:D,,0)</f>
        <v>200</v>
      </c>
      <c r="I815">
        <v>899</v>
      </c>
      <c r="J815">
        <v>809</v>
      </c>
      <c r="K815" t="s">
        <v>1107</v>
      </c>
      <c r="L815">
        <v>809</v>
      </c>
      <c r="M815" t="s">
        <v>1093</v>
      </c>
      <c r="N815" t="s">
        <v>1094</v>
      </c>
      <c r="O815">
        <f>Table1[[#This Row],[Unit_Price]]*Table1[[#This Row],[Quantity]]</f>
        <v>200</v>
      </c>
    </row>
    <row r="816" spans="1:15" x14ac:dyDescent="0.3">
      <c r="A816" t="s">
        <v>2401</v>
      </c>
      <c r="B816" t="s">
        <v>1595</v>
      </c>
      <c r="C816" t="s">
        <v>911</v>
      </c>
      <c r="D816" t="s">
        <v>1073</v>
      </c>
      <c r="E816">
        <v>3</v>
      </c>
      <c r="F816">
        <f>_xlfn.XLOOKUP(Table1[[#This Row],[ProductID]],Products!A:A,Products!D:D,,0)</f>
        <v>100</v>
      </c>
      <c r="I816">
        <v>349</v>
      </c>
      <c r="J816">
        <v>314</v>
      </c>
      <c r="K816" t="s">
        <v>1107</v>
      </c>
      <c r="L816">
        <v>942</v>
      </c>
      <c r="M816" t="s">
        <v>1098</v>
      </c>
      <c r="N816" t="s">
        <v>1099</v>
      </c>
      <c r="O816">
        <f>Table1[[#This Row],[Unit_Price]]*Table1[[#This Row],[Quantity]]</f>
        <v>300</v>
      </c>
    </row>
    <row r="817" spans="1:15" x14ac:dyDescent="0.3">
      <c r="A817" t="s">
        <v>2402</v>
      </c>
      <c r="B817" t="s">
        <v>2403</v>
      </c>
      <c r="C817" t="s">
        <v>479</v>
      </c>
      <c r="D817" t="s">
        <v>1059</v>
      </c>
      <c r="E817">
        <v>2</v>
      </c>
      <c r="F817">
        <f>_xlfn.XLOOKUP(Table1[[#This Row],[ProductID]],Products!A:A,Products!D:D,,0)</f>
        <v>110</v>
      </c>
      <c r="I817">
        <v>399</v>
      </c>
      <c r="J817">
        <v>359</v>
      </c>
      <c r="K817" t="s">
        <v>1107</v>
      </c>
      <c r="L817">
        <v>718</v>
      </c>
      <c r="M817" t="s">
        <v>1093</v>
      </c>
      <c r="N817" t="s">
        <v>1099</v>
      </c>
      <c r="O817">
        <f>Table1[[#This Row],[Unit_Price]]*Table1[[#This Row],[Quantity]]</f>
        <v>220</v>
      </c>
    </row>
    <row r="818" spans="1:15" x14ac:dyDescent="0.3">
      <c r="A818" t="s">
        <v>2404</v>
      </c>
      <c r="B818" t="s">
        <v>2132</v>
      </c>
      <c r="C818" t="s">
        <v>837</v>
      </c>
      <c r="D818" t="s">
        <v>1075</v>
      </c>
      <c r="E818">
        <v>1</v>
      </c>
      <c r="F818">
        <f>_xlfn.XLOOKUP(Table1[[#This Row],[ProductID]],Products!A:A,Products!D:D,,0)</f>
        <v>80</v>
      </c>
      <c r="I818">
        <v>499</v>
      </c>
      <c r="J818">
        <v>449</v>
      </c>
      <c r="K818" t="s">
        <v>1107</v>
      </c>
      <c r="L818">
        <v>449</v>
      </c>
      <c r="M818" t="s">
        <v>1098</v>
      </c>
      <c r="N818" t="s">
        <v>1099</v>
      </c>
      <c r="O818">
        <f>Table1[[#This Row],[Unit_Price]]*Table1[[#This Row],[Quantity]]</f>
        <v>80</v>
      </c>
    </row>
    <row r="819" spans="1:15" x14ac:dyDescent="0.3">
      <c r="A819" t="s">
        <v>2405</v>
      </c>
      <c r="B819" t="s">
        <v>2075</v>
      </c>
      <c r="C819" t="s">
        <v>865</v>
      </c>
      <c r="D819" t="s">
        <v>1064</v>
      </c>
      <c r="E819">
        <v>1</v>
      </c>
      <c r="F819">
        <f>_xlfn.XLOOKUP(Table1[[#This Row],[ProductID]],Products!A:A,Products!D:D,,0)</f>
        <v>160</v>
      </c>
      <c r="I819">
        <v>699</v>
      </c>
      <c r="J819">
        <v>629</v>
      </c>
      <c r="K819" t="s">
        <v>1107</v>
      </c>
      <c r="L819">
        <v>629</v>
      </c>
      <c r="M819" t="s">
        <v>1093</v>
      </c>
      <c r="N819" t="s">
        <v>1099</v>
      </c>
      <c r="O819">
        <f>Table1[[#This Row],[Unit_Price]]*Table1[[#This Row],[Quantity]]</f>
        <v>160</v>
      </c>
    </row>
    <row r="820" spans="1:15" x14ac:dyDescent="0.3">
      <c r="A820" t="s">
        <v>2406</v>
      </c>
      <c r="B820" t="s">
        <v>2407</v>
      </c>
      <c r="C820" t="s">
        <v>1013</v>
      </c>
      <c r="D820" t="s">
        <v>1064</v>
      </c>
      <c r="E820">
        <v>3</v>
      </c>
      <c r="F820">
        <f>_xlfn.XLOOKUP(Table1[[#This Row],[ProductID]],Products!A:A,Products!D:D,,0)</f>
        <v>160</v>
      </c>
      <c r="I820">
        <v>699</v>
      </c>
      <c r="J820">
        <v>559</v>
      </c>
      <c r="K820" t="s">
        <v>1097</v>
      </c>
      <c r="L820">
        <v>1677</v>
      </c>
      <c r="M820" t="s">
        <v>1098</v>
      </c>
      <c r="N820" t="s">
        <v>1094</v>
      </c>
      <c r="O820">
        <f>Table1[[#This Row],[Unit_Price]]*Table1[[#This Row],[Quantity]]</f>
        <v>480</v>
      </c>
    </row>
    <row r="821" spans="1:15" x14ac:dyDescent="0.3">
      <c r="A821" t="s">
        <v>2408</v>
      </c>
      <c r="B821" t="s">
        <v>1250</v>
      </c>
      <c r="C821" t="s">
        <v>993</v>
      </c>
      <c r="D821" t="s">
        <v>1078</v>
      </c>
      <c r="E821">
        <v>1</v>
      </c>
      <c r="F821">
        <f>_xlfn.XLOOKUP(Table1[[#This Row],[ProductID]],Products!A:A,Products!D:D,,0)</f>
        <v>80</v>
      </c>
      <c r="I821">
        <v>499</v>
      </c>
      <c r="J821">
        <v>399</v>
      </c>
      <c r="K821" t="s">
        <v>1097</v>
      </c>
      <c r="L821">
        <v>399</v>
      </c>
      <c r="M821" t="s">
        <v>1093</v>
      </c>
      <c r="N821" t="s">
        <v>1099</v>
      </c>
      <c r="O821">
        <f>Table1[[#This Row],[Unit_Price]]*Table1[[#This Row],[Quantity]]</f>
        <v>80</v>
      </c>
    </row>
    <row r="822" spans="1:15" x14ac:dyDescent="0.3">
      <c r="A822" t="s">
        <v>2409</v>
      </c>
      <c r="B822" t="s">
        <v>1622</v>
      </c>
      <c r="C822" t="s">
        <v>351</v>
      </c>
      <c r="D822" t="s">
        <v>1053</v>
      </c>
      <c r="E822">
        <v>2</v>
      </c>
      <c r="F822">
        <f>_xlfn.XLOOKUP(Table1[[#This Row],[ProductID]],Products!A:A,Products!D:D,,0)</f>
        <v>200</v>
      </c>
      <c r="I822">
        <v>899</v>
      </c>
      <c r="J822">
        <v>719</v>
      </c>
      <c r="K822" t="s">
        <v>1097</v>
      </c>
      <c r="L822">
        <v>1438</v>
      </c>
      <c r="M822" t="s">
        <v>1098</v>
      </c>
      <c r="N822" t="s">
        <v>1123</v>
      </c>
      <c r="O822">
        <f>Table1[[#This Row],[Unit_Price]]*Table1[[#This Row],[Quantity]]</f>
        <v>400</v>
      </c>
    </row>
    <row r="823" spans="1:15" x14ac:dyDescent="0.3">
      <c r="A823" t="s">
        <v>2410</v>
      </c>
      <c r="B823" t="s">
        <v>1445</v>
      </c>
      <c r="C823" t="s">
        <v>587</v>
      </c>
      <c r="D823" t="s">
        <v>1053</v>
      </c>
      <c r="E823">
        <v>1</v>
      </c>
      <c r="F823">
        <f>_xlfn.XLOOKUP(Table1[[#This Row],[ProductID]],Products!A:A,Products!D:D,,0)</f>
        <v>200</v>
      </c>
      <c r="I823">
        <v>899</v>
      </c>
      <c r="J823">
        <v>899</v>
      </c>
      <c r="K823" t="s">
        <v>1102</v>
      </c>
      <c r="L823">
        <v>899</v>
      </c>
      <c r="M823" t="s">
        <v>1118</v>
      </c>
      <c r="N823" t="s">
        <v>1123</v>
      </c>
      <c r="O823">
        <f>Table1[[#This Row],[Unit_Price]]*Table1[[#This Row],[Quantity]]</f>
        <v>200</v>
      </c>
    </row>
    <row r="824" spans="1:15" x14ac:dyDescent="0.3">
      <c r="A824" t="s">
        <v>2411</v>
      </c>
      <c r="B824" t="s">
        <v>1486</v>
      </c>
      <c r="C824" t="s">
        <v>1041</v>
      </c>
      <c r="D824" t="s">
        <v>1064</v>
      </c>
      <c r="E824">
        <v>1</v>
      </c>
      <c r="F824">
        <f>_xlfn.XLOOKUP(Table1[[#This Row],[ProductID]],Products!A:A,Products!D:D,,0)</f>
        <v>160</v>
      </c>
      <c r="I824">
        <v>699</v>
      </c>
      <c r="J824">
        <v>594</v>
      </c>
      <c r="K824" t="s">
        <v>1092</v>
      </c>
      <c r="L824">
        <v>594</v>
      </c>
      <c r="M824" t="s">
        <v>1098</v>
      </c>
      <c r="N824" t="s">
        <v>1099</v>
      </c>
      <c r="O824">
        <f>Table1[[#This Row],[Unit_Price]]*Table1[[#This Row],[Quantity]]</f>
        <v>160</v>
      </c>
    </row>
    <row r="825" spans="1:15" x14ac:dyDescent="0.3">
      <c r="A825" t="s">
        <v>2412</v>
      </c>
      <c r="B825" t="s">
        <v>2413</v>
      </c>
      <c r="C825" t="s">
        <v>977</v>
      </c>
      <c r="D825" t="s">
        <v>1064</v>
      </c>
      <c r="E825">
        <v>2</v>
      </c>
      <c r="F825">
        <f>_xlfn.XLOOKUP(Table1[[#This Row],[ProductID]],Products!A:A,Products!D:D,,0)</f>
        <v>160</v>
      </c>
      <c r="I825">
        <v>699</v>
      </c>
      <c r="J825">
        <v>699</v>
      </c>
      <c r="K825" t="s">
        <v>1102</v>
      </c>
      <c r="L825">
        <v>1398</v>
      </c>
      <c r="M825" t="s">
        <v>1093</v>
      </c>
      <c r="N825" t="s">
        <v>1094</v>
      </c>
      <c r="O825">
        <f>Table1[[#This Row],[Unit_Price]]*Table1[[#This Row],[Quantity]]</f>
        <v>320</v>
      </c>
    </row>
    <row r="826" spans="1:15" x14ac:dyDescent="0.3">
      <c r="A826" t="s">
        <v>2414</v>
      </c>
      <c r="B826" t="s">
        <v>1734</v>
      </c>
      <c r="C826" t="s">
        <v>937</v>
      </c>
      <c r="D826" t="s">
        <v>1064</v>
      </c>
      <c r="E826">
        <v>1</v>
      </c>
      <c r="F826">
        <f>_xlfn.XLOOKUP(Table1[[#This Row],[ProductID]],Products!A:A,Products!D:D,,0)</f>
        <v>160</v>
      </c>
      <c r="I826">
        <v>699</v>
      </c>
      <c r="J826">
        <v>699</v>
      </c>
      <c r="K826" t="s">
        <v>1102</v>
      </c>
      <c r="L826">
        <v>699</v>
      </c>
      <c r="M826" t="s">
        <v>1093</v>
      </c>
      <c r="N826" t="s">
        <v>1099</v>
      </c>
      <c r="O826">
        <f>Table1[[#This Row],[Unit_Price]]*Table1[[#This Row],[Quantity]]</f>
        <v>160</v>
      </c>
    </row>
    <row r="827" spans="1:15" x14ac:dyDescent="0.3">
      <c r="A827" t="s">
        <v>2415</v>
      </c>
      <c r="B827" t="s">
        <v>1987</v>
      </c>
      <c r="C827" t="s">
        <v>883</v>
      </c>
      <c r="D827" t="s">
        <v>1064</v>
      </c>
      <c r="E827">
        <v>2</v>
      </c>
      <c r="F827">
        <f>_xlfn.XLOOKUP(Table1[[#This Row],[ProductID]],Products!A:A,Products!D:D,,0)</f>
        <v>160</v>
      </c>
      <c r="I827">
        <v>699</v>
      </c>
      <c r="J827">
        <v>629</v>
      </c>
      <c r="K827" t="s">
        <v>1107</v>
      </c>
      <c r="L827">
        <v>1258</v>
      </c>
      <c r="M827" t="s">
        <v>1098</v>
      </c>
      <c r="N827" t="s">
        <v>1099</v>
      </c>
      <c r="O827">
        <f>Table1[[#This Row],[Unit_Price]]*Table1[[#This Row],[Quantity]]</f>
        <v>320</v>
      </c>
    </row>
    <row r="828" spans="1:15" x14ac:dyDescent="0.3">
      <c r="A828" t="s">
        <v>2416</v>
      </c>
      <c r="B828" t="s">
        <v>1270</v>
      </c>
      <c r="C828" t="s">
        <v>239</v>
      </c>
      <c r="D828" t="s">
        <v>1062</v>
      </c>
      <c r="E828">
        <v>3</v>
      </c>
      <c r="F828">
        <f>_xlfn.XLOOKUP(Table1[[#This Row],[ProductID]],Products!A:A,Products!D:D,,0)</f>
        <v>95</v>
      </c>
      <c r="I828">
        <v>349</v>
      </c>
      <c r="J828">
        <v>279</v>
      </c>
      <c r="K828" t="s">
        <v>1097</v>
      </c>
      <c r="L828">
        <v>837</v>
      </c>
      <c r="M828" t="s">
        <v>1126</v>
      </c>
      <c r="N828" t="s">
        <v>1123</v>
      </c>
      <c r="O828">
        <f>Table1[[#This Row],[Unit_Price]]*Table1[[#This Row],[Quantity]]</f>
        <v>285</v>
      </c>
    </row>
    <row r="829" spans="1:15" x14ac:dyDescent="0.3">
      <c r="A829" t="s">
        <v>2417</v>
      </c>
      <c r="B829" t="s">
        <v>2418</v>
      </c>
      <c r="C829" t="s">
        <v>977</v>
      </c>
      <c r="D829" t="s">
        <v>1055</v>
      </c>
      <c r="E829">
        <v>1</v>
      </c>
      <c r="F829">
        <f>_xlfn.XLOOKUP(Table1[[#This Row],[ProductID]],Products!A:A,Products!D:D,,0)</f>
        <v>75</v>
      </c>
      <c r="I829">
        <v>299</v>
      </c>
      <c r="J829">
        <v>299</v>
      </c>
      <c r="K829" t="s">
        <v>1102</v>
      </c>
      <c r="L829">
        <v>299</v>
      </c>
      <c r="M829" t="s">
        <v>1098</v>
      </c>
      <c r="N829" t="s">
        <v>1099</v>
      </c>
      <c r="O829">
        <f>Table1[[#This Row],[Unit_Price]]*Table1[[#This Row],[Quantity]]</f>
        <v>75</v>
      </c>
    </row>
    <row r="830" spans="1:15" x14ac:dyDescent="0.3">
      <c r="A830" t="s">
        <v>2419</v>
      </c>
      <c r="B830" t="s">
        <v>1895</v>
      </c>
      <c r="C830" t="s">
        <v>309</v>
      </c>
      <c r="D830" t="s">
        <v>1048</v>
      </c>
      <c r="E830">
        <v>2</v>
      </c>
      <c r="F830">
        <f>_xlfn.XLOOKUP(Table1[[#This Row],[ProductID]],Products!A:A,Products!D:D,,0)</f>
        <v>120</v>
      </c>
      <c r="I830">
        <v>599</v>
      </c>
      <c r="J830">
        <v>539</v>
      </c>
      <c r="K830" t="s">
        <v>1107</v>
      </c>
      <c r="L830">
        <v>1078</v>
      </c>
      <c r="M830" t="s">
        <v>1126</v>
      </c>
      <c r="N830" t="s">
        <v>1099</v>
      </c>
      <c r="O830">
        <f>Table1[[#This Row],[Unit_Price]]*Table1[[#This Row],[Quantity]]</f>
        <v>240</v>
      </c>
    </row>
    <row r="831" spans="1:15" x14ac:dyDescent="0.3">
      <c r="A831" t="s">
        <v>2420</v>
      </c>
      <c r="B831" t="s">
        <v>2421</v>
      </c>
      <c r="C831" t="s">
        <v>581</v>
      </c>
      <c r="D831" t="s">
        <v>1062</v>
      </c>
      <c r="E831">
        <v>1</v>
      </c>
      <c r="F831">
        <f>_xlfn.XLOOKUP(Table1[[#This Row],[ProductID]],Products!A:A,Products!D:D,,0)</f>
        <v>95</v>
      </c>
      <c r="I831">
        <v>349</v>
      </c>
      <c r="J831">
        <v>314</v>
      </c>
      <c r="K831" t="s">
        <v>1107</v>
      </c>
      <c r="L831">
        <v>314</v>
      </c>
      <c r="M831" t="s">
        <v>1093</v>
      </c>
      <c r="N831" t="s">
        <v>1094</v>
      </c>
      <c r="O831">
        <f>Table1[[#This Row],[Unit_Price]]*Table1[[#This Row],[Quantity]]</f>
        <v>95</v>
      </c>
    </row>
    <row r="832" spans="1:15" x14ac:dyDescent="0.3">
      <c r="A832" t="s">
        <v>2422</v>
      </c>
      <c r="B832" t="s">
        <v>1331</v>
      </c>
      <c r="C832" t="s">
        <v>375</v>
      </c>
      <c r="D832" t="s">
        <v>1075</v>
      </c>
      <c r="E832">
        <v>3</v>
      </c>
      <c r="F832">
        <f>_xlfn.XLOOKUP(Table1[[#This Row],[ProductID]],Products!A:A,Products!D:D,,0)</f>
        <v>80</v>
      </c>
      <c r="I832">
        <v>499</v>
      </c>
      <c r="J832">
        <v>424</v>
      </c>
      <c r="K832" t="s">
        <v>1092</v>
      </c>
      <c r="L832">
        <v>1272</v>
      </c>
      <c r="M832" t="s">
        <v>1098</v>
      </c>
      <c r="N832" t="s">
        <v>1099</v>
      </c>
      <c r="O832">
        <f>Table1[[#This Row],[Unit_Price]]*Table1[[#This Row],[Quantity]]</f>
        <v>240</v>
      </c>
    </row>
    <row r="833" spans="1:15" x14ac:dyDescent="0.3">
      <c r="A833" t="s">
        <v>2423</v>
      </c>
      <c r="B833" t="s">
        <v>2139</v>
      </c>
      <c r="C833" t="s">
        <v>1011</v>
      </c>
      <c r="D833" t="s">
        <v>1080</v>
      </c>
      <c r="E833">
        <v>1</v>
      </c>
      <c r="F833">
        <f>_xlfn.XLOOKUP(Table1[[#This Row],[ProductID]],Products!A:A,Products!D:D,,0)</f>
        <v>45</v>
      </c>
      <c r="I833">
        <v>249</v>
      </c>
      <c r="J833">
        <v>212</v>
      </c>
      <c r="K833" t="s">
        <v>1092</v>
      </c>
      <c r="L833">
        <v>212</v>
      </c>
      <c r="M833" t="s">
        <v>1118</v>
      </c>
      <c r="N833" t="s">
        <v>1094</v>
      </c>
      <c r="O833">
        <f>Table1[[#This Row],[Unit_Price]]*Table1[[#This Row],[Quantity]]</f>
        <v>45</v>
      </c>
    </row>
    <row r="834" spans="1:15" x14ac:dyDescent="0.3">
      <c r="A834" t="s">
        <v>2424</v>
      </c>
      <c r="B834" t="s">
        <v>1872</v>
      </c>
      <c r="C834" t="s">
        <v>1013</v>
      </c>
      <c r="D834" t="s">
        <v>1062</v>
      </c>
      <c r="E834">
        <v>1</v>
      </c>
      <c r="F834">
        <f>_xlfn.XLOOKUP(Table1[[#This Row],[ProductID]],Products!A:A,Products!D:D,,0)</f>
        <v>95</v>
      </c>
      <c r="I834">
        <v>349</v>
      </c>
      <c r="J834">
        <v>314</v>
      </c>
      <c r="K834" t="s">
        <v>1107</v>
      </c>
      <c r="L834">
        <v>314</v>
      </c>
      <c r="M834" t="s">
        <v>1093</v>
      </c>
      <c r="N834" t="s">
        <v>1099</v>
      </c>
      <c r="O834">
        <f>Table1[[#This Row],[Unit_Price]]*Table1[[#This Row],[Quantity]]</f>
        <v>95</v>
      </c>
    </row>
    <row r="835" spans="1:15" x14ac:dyDescent="0.3">
      <c r="A835" t="s">
        <v>2425</v>
      </c>
      <c r="B835" t="s">
        <v>1180</v>
      </c>
      <c r="C835" t="s">
        <v>433</v>
      </c>
      <c r="D835" t="s">
        <v>1057</v>
      </c>
      <c r="E835">
        <v>1</v>
      </c>
      <c r="F835">
        <f>_xlfn.XLOOKUP(Table1[[#This Row],[ProductID]],Products!A:A,Products!D:D,,0)</f>
        <v>130</v>
      </c>
      <c r="I835">
        <v>549</v>
      </c>
      <c r="J835">
        <v>494</v>
      </c>
      <c r="K835" t="s">
        <v>1107</v>
      </c>
      <c r="L835">
        <v>494</v>
      </c>
      <c r="M835" t="s">
        <v>1093</v>
      </c>
      <c r="N835" t="s">
        <v>1099</v>
      </c>
      <c r="O835">
        <f>Table1[[#This Row],[Unit_Price]]*Table1[[#This Row],[Quantity]]</f>
        <v>130</v>
      </c>
    </row>
    <row r="836" spans="1:15" x14ac:dyDescent="0.3">
      <c r="A836" t="s">
        <v>2426</v>
      </c>
      <c r="B836" t="s">
        <v>1738</v>
      </c>
      <c r="C836" t="s">
        <v>579</v>
      </c>
      <c r="D836" t="s">
        <v>1062</v>
      </c>
      <c r="E836">
        <v>2</v>
      </c>
      <c r="F836">
        <f>_xlfn.XLOOKUP(Table1[[#This Row],[ProductID]],Products!A:A,Products!D:D,,0)</f>
        <v>95</v>
      </c>
      <c r="I836">
        <v>349</v>
      </c>
      <c r="J836">
        <v>279</v>
      </c>
      <c r="K836" t="s">
        <v>1097</v>
      </c>
      <c r="L836">
        <v>558</v>
      </c>
      <c r="M836" t="s">
        <v>1118</v>
      </c>
      <c r="N836" t="s">
        <v>1099</v>
      </c>
      <c r="O836">
        <f>Table1[[#This Row],[Unit_Price]]*Table1[[#This Row],[Quantity]]</f>
        <v>190</v>
      </c>
    </row>
    <row r="837" spans="1:15" x14ac:dyDescent="0.3">
      <c r="A837" t="s">
        <v>2427</v>
      </c>
      <c r="B837" t="s">
        <v>1122</v>
      </c>
      <c r="C837" t="s">
        <v>505</v>
      </c>
      <c r="D837" t="s">
        <v>1075</v>
      </c>
      <c r="E837">
        <v>2</v>
      </c>
      <c r="F837">
        <f>_xlfn.XLOOKUP(Table1[[#This Row],[ProductID]],Products!A:A,Products!D:D,,0)</f>
        <v>80</v>
      </c>
      <c r="I837">
        <v>499</v>
      </c>
      <c r="J837">
        <v>449</v>
      </c>
      <c r="K837" t="s">
        <v>1107</v>
      </c>
      <c r="L837">
        <v>898</v>
      </c>
      <c r="M837" t="s">
        <v>1098</v>
      </c>
      <c r="N837" t="s">
        <v>1099</v>
      </c>
      <c r="O837">
        <f>Table1[[#This Row],[Unit_Price]]*Table1[[#This Row],[Quantity]]</f>
        <v>160</v>
      </c>
    </row>
    <row r="838" spans="1:15" x14ac:dyDescent="0.3">
      <c r="A838" t="s">
        <v>2428</v>
      </c>
      <c r="B838" t="s">
        <v>1132</v>
      </c>
      <c r="C838" t="s">
        <v>825</v>
      </c>
      <c r="D838" t="s">
        <v>1068</v>
      </c>
      <c r="E838">
        <v>2</v>
      </c>
      <c r="F838">
        <f>_xlfn.XLOOKUP(Table1[[#This Row],[ProductID]],Products!A:A,Products!D:D,,0)</f>
        <v>180</v>
      </c>
      <c r="I838">
        <v>449</v>
      </c>
      <c r="J838">
        <v>359</v>
      </c>
      <c r="K838" t="s">
        <v>1097</v>
      </c>
      <c r="L838">
        <v>718</v>
      </c>
      <c r="M838" t="s">
        <v>1093</v>
      </c>
      <c r="N838" t="s">
        <v>1094</v>
      </c>
      <c r="O838">
        <f>Table1[[#This Row],[Unit_Price]]*Table1[[#This Row],[Quantity]]</f>
        <v>360</v>
      </c>
    </row>
    <row r="839" spans="1:15" x14ac:dyDescent="0.3">
      <c r="A839" t="s">
        <v>2429</v>
      </c>
      <c r="B839" t="s">
        <v>1780</v>
      </c>
      <c r="C839" t="s">
        <v>915</v>
      </c>
      <c r="D839" t="s">
        <v>1048</v>
      </c>
      <c r="E839">
        <v>1</v>
      </c>
      <c r="F839">
        <f>_xlfn.XLOOKUP(Table1[[#This Row],[ProductID]],Products!A:A,Products!D:D,,0)</f>
        <v>120</v>
      </c>
      <c r="I839">
        <v>599</v>
      </c>
      <c r="J839">
        <v>599</v>
      </c>
      <c r="K839" t="s">
        <v>1102</v>
      </c>
      <c r="L839">
        <v>599</v>
      </c>
      <c r="M839" t="s">
        <v>1098</v>
      </c>
      <c r="N839" t="s">
        <v>1099</v>
      </c>
      <c r="O839">
        <f>Table1[[#This Row],[Unit_Price]]*Table1[[#This Row],[Quantity]]</f>
        <v>120</v>
      </c>
    </row>
    <row r="840" spans="1:15" x14ac:dyDescent="0.3">
      <c r="A840" t="s">
        <v>2430</v>
      </c>
      <c r="B840" t="s">
        <v>2431</v>
      </c>
      <c r="C840" t="s">
        <v>519</v>
      </c>
      <c r="D840" t="s">
        <v>1068</v>
      </c>
      <c r="E840">
        <v>1</v>
      </c>
      <c r="F840">
        <f>_xlfn.XLOOKUP(Table1[[#This Row],[ProductID]],Products!A:A,Products!D:D,,0)</f>
        <v>180</v>
      </c>
      <c r="I840">
        <v>449</v>
      </c>
      <c r="J840">
        <v>382</v>
      </c>
      <c r="K840" t="s">
        <v>1092</v>
      </c>
      <c r="L840">
        <v>382</v>
      </c>
      <c r="M840" t="s">
        <v>1098</v>
      </c>
      <c r="N840" t="s">
        <v>1099</v>
      </c>
      <c r="O840">
        <f>Table1[[#This Row],[Unit_Price]]*Table1[[#This Row],[Quantity]]</f>
        <v>180</v>
      </c>
    </row>
    <row r="841" spans="1:15" x14ac:dyDescent="0.3">
      <c r="A841" t="s">
        <v>2432</v>
      </c>
      <c r="B841" t="s">
        <v>1223</v>
      </c>
      <c r="C841" t="s">
        <v>755</v>
      </c>
      <c r="D841" t="s">
        <v>1053</v>
      </c>
      <c r="E841">
        <v>2</v>
      </c>
      <c r="F841">
        <f>_xlfn.XLOOKUP(Table1[[#This Row],[ProductID]],Products!A:A,Products!D:D,,0)</f>
        <v>200</v>
      </c>
      <c r="I841">
        <v>899</v>
      </c>
      <c r="J841">
        <v>719</v>
      </c>
      <c r="K841" t="s">
        <v>1097</v>
      </c>
      <c r="L841">
        <v>1438</v>
      </c>
      <c r="M841" t="s">
        <v>1093</v>
      </c>
      <c r="N841" t="s">
        <v>1099</v>
      </c>
      <c r="O841">
        <f>Table1[[#This Row],[Unit_Price]]*Table1[[#This Row],[Quantity]]</f>
        <v>400</v>
      </c>
    </row>
    <row r="842" spans="1:15" x14ac:dyDescent="0.3">
      <c r="A842" t="s">
        <v>2433</v>
      </c>
      <c r="B842" t="s">
        <v>2434</v>
      </c>
      <c r="C842" t="s">
        <v>861</v>
      </c>
      <c r="D842" t="s">
        <v>1057</v>
      </c>
      <c r="E842">
        <v>2</v>
      </c>
      <c r="F842">
        <f>_xlfn.XLOOKUP(Table1[[#This Row],[ProductID]],Products!A:A,Products!D:D,,0)</f>
        <v>130</v>
      </c>
      <c r="I842">
        <v>549</v>
      </c>
      <c r="J842">
        <v>494</v>
      </c>
      <c r="K842" t="s">
        <v>1107</v>
      </c>
      <c r="L842">
        <v>988</v>
      </c>
      <c r="M842" t="s">
        <v>1126</v>
      </c>
      <c r="N842" t="s">
        <v>1099</v>
      </c>
      <c r="O842">
        <f>Table1[[#This Row],[Unit_Price]]*Table1[[#This Row],[Quantity]]</f>
        <v>260</v>
      </c>
    </row>
    <row r="843" spans="1:15" x14ac:dyDescent="0.3">
      <c r="A843" t="s">
        <v>2435</v>
      </c>
      <c r="B843" t="s">
        <v>1568</v>
      </c>
      <c r="C843" t="s">
        <v>859</v>
      </c>
      <c r="D843" t="s">
        <v>1071</v>
      </c>
      <c r="E843">
        <v>1</v>
      </c>
      <c r="F843">
        <f>_xlfn.XLOOKUP(Table1[[#This Row],[ProductID]],Products!A:A,Products!D:D,,0)</f>
        <v>125</v>
      </c>
      <c r="I843">
        <v>399</v>
      </c>
      <c r="J843">
        <v>339</v>
      </c>
      <c r="K843" t="s">
        <v>1092</v>
      </c>
      <c r="L843">
        <v>339</v>
      </c>
      <c r="M843" t="s">
        <v>1093</v>
      </c>
      <c r="N843" t="s">
        <v>1099</v>
      </c>
      <c r="O843">
        <f>Table1[[#This Row],[Unit_Price]]*Table1[[#This Row],[Quantity]]</f>
        <v>125</v>
      </c>
    </row>
    <row r="844" spans="1:15" x14ac:dyDescent="0.3">
      <c r="A844" t="s">
        <v>2436</v>
      </c>
      <c r="B844" t="s">
        <v>1211</v>
      </c>
      <c r="C844" t="s">
        <v>689</v>
      </c>
      <c r="D844" t="s">
        <v>1048</v>
      </c>
      <c r="E844">
        <v>4</v>
      </c>
      <c r="F844">
        <f>_xlfn.XLOOKUP(Table1[[#This Row],[ProductID]],Products!A:A,Products!D:D,,0)</f>
        <v>120</v>
      </c>
      <c r="I844">
        <v>599</v>
      </c>
      <c r="J844">
        <v>509</v>
      </c>
      <c r="K844" t="s">
        <v>1092</v>
      </c>
      <c r="L844">
        <v>2036</v>
      </c>
      <c r="M844" t="s">
        <v>1098</v>
      </c>
      <c r="N844" t="s">
        <v>1099</v>
      </c>
      <c r="O844">
        <f>Table1[[#This Row],[Unit_Price]]*Table1[[#This Row],[Quantity]]</f>
        <v>480</v>
      </c>
    </row>
    <row r="845" spans="1:15" x14ac:dyDescent="0.3">
      <c r="A845" t="s">
        <v>2437</v>
      </c>
      <c r="B845" t="s">
        <v>2438</v>
      </c>
      <c r="C845" t="s">
        <v>517</v>
      </c>
      <c r="D845" t="s">
        <v>1051</v>
      </c>
      <c r="E845">
        <v>1</v>
      </c>
      <c r="F845">
        <f>_xlfn.XLOOKUP(Table1[[#This Row],[ProductID]],Products!A:A,Products!D:D,,0)</f>
        <v>150</v>
      </c>
      <c r="I845">
        <v>499</v>
      </c>
      <c r="J845">
        <v>399</v>
      </c>
      <c r="K845" t="s">
        <v>1097</v>
      </c>
      <c r="L845">
        <v>399</v>
      </c>
      <c r="M845" t="s">
        <v>1098</v>
      </c>
      <c r="N845" t="s">
        <v>1099</v>
      </c>
      <c r="O845">
        <f>Table1[[#This Row],[Unit_Price]]*Table1[[#This Row],[Quantity]]</f>
        <v>150</v>
      </c>
    </row>
    <row r="846" spans="1:15" x14ac:dyDescent="0.3">
      <c r="A846" t="s">
        <v>2439</v>
      </c>
      <c r="B846" t="s">
        <v>1438</v>
      </c>
      <c r="C846" t="s">
        <v>955</v>
      </c>
      <c r="D846" t="s">
        <v>1075</v>
      </c>
      <c r="E846">
        <v>1</v>
      </c>
      <c r="F846">
        <f>_xlfn.XLOOKUP(Table1[[#This Row],[ProductID]],Products!A:A,Products!D:D,,0)</f>
        <v>80</v>
      </c>
      <c r="I846">
        <v>499</v>
      </c>
      <c r="J846">
        <v>399</v>
      </c>
      <c r="K846" t="s">
        <v>1097</v>
      </c>
      <c r="L846">
        <v>399</v>
      </c>
      <c r="M846" t="s">
        <v>1093</v>
      </c>
      <c r="N846" t="s">
        <v>1123</v>
      </c>
      <c r="O846">
        <f>Table1[[#This Row],[Unit_Price]]*Table1[[#This Row],[Quantity]]</f>
        <v>80</v>
      </c>
    </row>
    <row r="847" spans="1:15" x14ac:dyDescent="0.3">
      <c r="A847" t="s">
        <v>2440</v>
      </c>
      <c r="B847" t="s">
        <v>2441</v>
      </c>
      <c r="C847" t="s">
        <v>919</v>
      </c>
      <c r="D847" t="s">
        <v>1053</v>
      </c>
      <c r="E847">
        <v>2</v>
      </c>
      <c r="F847">
        <f>_xlfn.XLOOKUP(Table1[[#This Row],[ProductID]],Products!A:A,Products!D:D,,0)</f>
        <v>200</v>
      </c>
      <c r="I847">
        <v>899</v>
      </c>
      <c r="J847">
        <v>899</v>
      </c>
      <c r="K847" t="s">
        <v>1102</v>
      </c>
      <c r="L847">
        <v>1798</v>
      </c>
      <c r="M847" t="s">
        <v>1126</v>
      </c>
      <c r="N847" t="s">
        <v>1099</v>
      </c>
      <c r="O847">
        <f>Table1[[#This Row],[Unit_Price]]*Table1[[#This Row],[Quantity]]</f>
        <v>400</v>
      </c>
    </row>
    <row r="848" spans="1:15" x14ac:dyDescent="0.3">
      <c r="A848" t="s">
        <v>2442</v>
      </c>
      <c r="B848" t="s">
        <v>1104</v>
      </c>
      <c r="C848" t="s">
        <v>501</v>
      </c>
      <c r="D848" t="s">
        <v>1064</v>
      </c>
      <c r="E848">
        <v>4</v>
      </c>
      <c r="F848">
        <f>_xlfn.XLOOKUP(Table1[[#This Row],[ProductID]],Products!A:A,Products!D:D,,0)</f>
        <v>160</v>
      </c>
      <c r="I848">
        <v>699</v>
      </c>
      <c r="J848">
        <v>699</v>
      </c>
      <c r="K848" t="s">
        <v>1102</v>
      </c>
      <c r="L848">
        <v>2796</v>
      </c>
      <c r="M848" t="s">
        <v>1098</v>
      </c>
      <c r="N848" t="s">
        <v>1099</v>
      </c>
      <c r="O848">
        <f>Table1[[#This Row],[Unit_Price]]*Table1[[#This Row],[Quantity]]</f>
        <v>640</v>
      </c>
    </row>
    <row r="849" spans="1:15" x14ac:dyDescent="0.3">
      <c r="A849" t="s">
        <v>2443</v>
      </c>
      <c r="B849" t="s">
        <v>2444</v>
      </c>
      <c r="C849" t="s">
        <v>543</v>
      </c>
      <c r="D849" t="s">
        <v>1066</v>
      </c>
      <c r="E849">
        <v>1</v>
      </c>
      <c r="F849">
        <f>_xlfn.XLOOKUP(Table1[[#This Row],[ProductID]],Products!A:A,Products!D:D,,0)</f>
        <v>140</v>
      </c>
      <c r="I849">
        <v>499</v>
      </c>
      <c r="J849">
        <v>399</v>
      </c>
      <c r="K849" t="s">
        <v>1097</v>
      </c>
      <c r="L849">
        <v>399</v>
      </c>
      <c r="M849" t="s">
        <v>1093</v>
      </c>
      <c r="N849" t="s">
        <v>1094</v>
      </c>
      <c r="O849">
        <f>Table1[[#This Row],[Unit_Price]]*Table1[[#This Row],[Quantity]]</f>
        <v>140</v>
      </c>
    </row>
    <row r="850" spans="1:15" x14ac:dyDescent="0.3">
      <c r="A850" t="s">
        <v>2445</v>
      </c>
      <c r="B850" t="s">
        <v>1359</v>
      </c>
      <c r="C850" t="s">
        <v>619</v>
      </c>
      <c r="D850" t="s">
        <v>1071</v>
      </c>
      <c r="E850">
        <v>3</v>
      </c>
      <c r="F850">
        <f>_xlfn.XLOOKUP(Table1[[#This Row],[ProductID]],Products!A:A,Products!D:D,,0)</f>
        <v>125</v>
      </c>
      <c r="I850">
        <v>399</v>
      </c>
      <c r="J850">
        <v>319</v>
      </c>
      <c r="K850" t="s">
        <v>1097</v>
      </c>
      <c r="L850">
        <v>957</v>
      </c>
      <c r="M850" t="s">
        <v>1093</v>
      </c>
      <c r="N850" t="s">
        <v>1099</v>
      </c>
      <c r="O850">
        <f>Table1[[#This Row],[Unit_Price]]*Table1[[#This Row],[Quantity]]</f>
        <v>375</v>
      </c>
    </row>
    <row r="851" spans="1:15" x14ac:dyDescent="0.3">
      <c r="A851" t="s">
        <v>2446</v>
      </c>
      <c r="B851" t="s">
        <v>2072</v>
      </c>
      <c r="C851" t="s">
        <v>651</v>
      </c>
      <c r="D851" t="s">
        <v>1055</v>
      </c>
      <c r="E851">
        <v>1</v>
      </c>
      <c r="F851">
        <f>_xlfn.XLOOKUP(Table1[[#This Row],[ProductID]],Products!A:A,Products!D:D,,0)</f>
        <v>75</v>
      </c>
      <c r="I851">
        <v>299</v>
      </c>
      <c r="J851">
        <v>254</v>
      </c>
      <c r="K851" t="s">
        <v>1092</v>
      </c>
      <c r="L851">
        <v>254</v>
      </c>
      <c r="M851" t="s">
        <v>1093</v>
      </c>
      <c r="N851" t="s">
        <v>1123</v>
      </c>
      <c r="O851">
        <f>Table1[[#This Row],[Unit_Price]]*Table1[[#This Row],[Quantity]]</f>
        <v>75</v>
      </c>
    </row>
    <row r="852" spans="1:15" x14ac:dyDescent="0.3">
      <c r="A852" t="s">
        <v>2447</v>
      </c>
      <c r="B852" t="s">
        <v>1341</v>
      </c>
      <c r="C852" t="s">
        <v>83</v>
      </c>
      <c r="D852" t="s">
        <v>1053</v>
      </c>
      <c r="E852">
        <v>2</v>
      </c>
      <c r="F852">
        <f>_xlfn.XLOOKUP(Table1[[#This Row],[ProductID]],Products!A:A,Products!D:D,,0)</f>
        <v>200</v>
      </c>
      <c r="I852">
        <v>899</v>
      </c>
      <c r="J852">
        <v>719</v>
      </c>
      <c r="K852" t="s">
        <v>1097</v>
      </c>
      <c r="L852">
        <v>1438</v>
      </c>
      <c r="M852" t="s">
        <v>1093</v>
      </c>
      <c r="N852" t="s">
        <v>1099</v>
      </c>
      <c r="O852">
        <f>Table1[[#This Row],[Unit_Price]]*Table1[[#This Row],[Quantity]]</f>
        <v>400</v>
      </c>
    </row>
    <row r="853" spans="1:15" x14ac:dyDescent="0.3">
      <c r="A853" t="s">
        <v>2448</v>
      </c>
      <c r="B853" t="s">
        <v>2008</v>
      </c>
      <c r="C853" t="s">
        <v>1035</v>
      </c>
      <c r="D853" t="s">
        <v>1057</v>
      </c>
      <c r="E853">
        <v>1</v>
      </c>
      <c r="F853">
        <f>_xlfn.XLOOKUP(Table1[[#This Row],[ProductID]],Products!A:A,Products!D:D,,0)</f>
        <v>130</v>
      </c>
      <c r="I853">
        <v>549</v>
      </c>
      <c r="J853">
        <v>549</v>
      </c>
      <c r="K853" t="s">
        <v>1102</v>
      </c>
      <c r="L853">
        <v>549</v>
      </c>
      <c r="M853" t="s">
        <v>1098</v>
      </c>
      <c r="N853" t="s">
        <v>1099</v>
      </c>
      <c r="O853">
        <f>Table1[[#This Row],[Unit_Price]]*Table1[[#This Row],[Quantity]]</f>
        <v>130</v>
      </c>
    </row>
    <row r="854" spans="1:15" x14ac:dyDescent="0.3">
      <c r="A854" t="s">
        <v>2449</v>
      </c>
      <c r="B854" t="s">
        <v>1822</v>
      </c>
      <c r="C854" t="s">
        <v>301</v>
      </c>
      <c r="D854" t="s">
        <v>1051</v>
      </c>
      <c r="E854">
        <v>4</v>
      </c>
      <c r="F854">
        <f>_xlfn.XLOOKUP(Table1[[#This Row],[ProductID]],Products!A:A,Products!D:D,,0)</f>
        <v>150</v>
      </c>
      <c r="I854">
        <v>499</v>
      </c>
      <c r="J854">
        <v>399</v>
      </c>
      <c r="K854" t="s">
        <v>1097</v>
      </c>
      <c r="L854">
        <v>1596</v>
      </c>
      <c r="M854" t="s">
        <v>1093</v>
      </c>
      <c r="N854" t="s">
        <v>1099</v>
      </c>
      <c r="O854">
        <f>Table1[[#This Row],[Unit_Price]]*Table1[[#This Row],[Quantity]]</f>
        <v>600</v>
      </c>
    </row>
    <row r="855" spans="1:15" x14ac:dyDescent="0.3">
      <c r="A855" t="s">
        <v>2450</v>
      </c>
      <c r="B855" t="s">
        <v>2021</v>
      </c>
      <c r="C855" t="s">
        <v>259</v>
      </c>
      <c r="D855" t="s">
        <v>1059</v>
      </c>
      <c r="E855">
        <v>1</v>
      </c>
      <c r="F855">
        <f>_xlfn.XLOOKUP(Table1[[#This Row],[ProductID]],Products!A:A,Products!D:D,,0)</f>
        <v>110</v>
      </c>
      <c r="I855">
        <v>399</v>
      </c>
      <c r="J855">
        <v>399</v>
      </c>
      <c r="K855" t="s">
        <v>1102</v>
      </c>
      <c r="L855">
        <v>399</v>
      </c>
      <c r="M855" t="s">
        <v>1118</v>
      </c>
      <c r="N855" t="s">
        <v>1099</v>
      </c>
      <c r="O855">
        <f>Table1[[#This Row],[Unit_Price]]*Table1[[#This Row],[Quantity]]</f>
        <v>110</v>
      </c>
    </row>
    <row r="856" spans="1:15" x14ac:dyDescent="0.3">
      <c r="A856" t="s">
        <v>2451</v>
      </c>
      <c r="B856" t="s">
        <v>1853</v>
      </c>
      <c r="C856" t="s">
        <v>763</v>
      </c>
      <c r="D856" t="s">
        <v>1053</v>
      </c>
      <c r="E856">
        <v>1</v>
      </c>
      <c r="F856">
        <f>_xlfn.XLOOKUP(Table1[[#This Row],[ProductID]],Products!A:A,Products!D:D,,0)</f>
        <v>200</v>
      </c>
      <c r="I856">
        <v>899</v>
      </c>
      <c r="J856">
        <v>719</v>
      </c>
      <c r="K856" t="s">
        <v>1097</v>
      </c>
      <c r="L856">
        <v>719</v>
      </c>
      <c r="M856" t="s">
        <v>1093</v>
      </c>
      <c r="N856" t="s">
        <v>1094</v>
      </c>
      <c r="O856">
        <f>Table1[[#This Row],[Unit_Price]]*Table1[[#This Row],[Quantity]]</f>
        <v>200</v>
      </c>
    </row>
    <row r="857" spans="1:15" x14ac:dyDescent="0.3">
      <c r="A857" t="s">
        <v>2452</v>
      </c>
      <c r="B857" t="s">
        <v>1822</v>
      </c>
      <c r="C857" t="s">
        <v>593</v>
      </c>
      <c r="D857" t="s">
        <v>1078</v>
      </c>
      <c r="E857">
        <v>1</v>
      </c>
      <c r="F857">
        <f>_xlfn.XLOOKUP(Table1[[#This Row],[ProductID]],Products!A:A,Products!D:D,,0)</f>
        <v>80</v>
      </c>
      <c r="I857">
        <v>499</v>
      </c>
      <c r="J857">
        <v>499</v>
      </c>
      <c r="K857" t="s">
        <v>1102</v>
      </c>
      <c r="L857">
        <v>499</v>
      </c>
      <c r="M857" t="s">
        <v>1093</v>
      </c>
      <c r="N857" t="s">
        <v>1099</v>
      </c>
      <c r="O857">
        <f>Table1[[#This Row],[Unit_Price]]*Table1[[#This Row],[Quantity]]</f>
        <v>80</v>
      </c>
    </row>
    <row r="858" spans="1:15" x14ac:dyDescent="0.3">
      <c r="A858" t="s">
        <v>2453</v>
      </c>
      <c r="B858" t="s">
        <v>2454</v>
      </c>
      <c r="C858" t="s">
        <v>108</v>
      </c>
      <c r="D858" t="s">
        <v>1064</v>
      </c>
      <c r="E858">
        <v>1</v>
      </c>
      <c r="F858">
        <f>_xlfn.XLOOKUP(Table1[[#This Row],[ProductID]],Products!A:A,Products!D:D,,0)</f>
        <v>160</v>
      </c>
      <c r="I858">
        <v>699</v>
      </c>
      <c r="J858">
        <v>594</v>
      </c>
      <c r="K858" t="s">
        <v>1092</v>
      </c>
      <c r="L858">
        <v>594</v>
      </c>
      <c r="M858" t="s">
        <v>1093</v>
      </c>
      <c r="N858" t="s">
        <v>1123</v>
      </c>
      <c r="O858">
        <f>Table1[[#This Row],[Unit_Price]]*Table1[[#This Row],[Quantity]]</f>
        <v>160</v>
      </c>
    </row>
    <row r="859" spans="1:15" x14ac:dyDescent="0.3">
      <c r="A859" t="s">
        <v>2455</v>
      </c>
      <c r="B859" t="s">
        <v>1475</v>
      </c>
      <c r="C859" t="s">
        <v>941</v>
      </c>
      <c r="D859" t="s">
        <v>1073</v>
      </c>
      <c r="E859">
        <v>1</v>
      </c>
      <c r="F859">
        <f>_xlfn.XLOOKUP(Table1[[#This Row],[ProductID]],Products!A:A,Products!D:D,,0)</f>
        <v>100</v>
      </c>
      <c r="I859">
        <v>349</v>
      </c>
      <c r="J859">
        <v>349</v>
      </c>
      <c r="K859" t="s">
        <v>1102</v>
      </c>
      <c r="L859">
        <v>349</v>
      </c>
      <c r="M859" t="s">
        <v>1098</v>
      </c>
      <c r="N859" t="s">
        <v>1099</v>
      </c>
      <c r="O859">
        <f>Table1[[#This Row],[Unit_Price]]*Table1[[#This Row],[Quantity]]</f>
        <v>100</v>
      </c>
    </row>
    <row r="860" spans="1:15" x14ac:dyDescent="0.3">
      <c r="A860" t="s">
        <v>2456</v>
      </c>
      <c r="B860" t="s">
        <v>2457</v>
      </c>
      <c r="C860" t="s">
        <v>132</v>
      </c>
      <c r="D860" t="s">
        <v>1075</v>
      </c>
      <c r="E860">
        <v>1</v>
      </c>
      <c r="F860">
        <f>_xlfn.XLOOKUP(Table1[[#This Row],[ProductID]],Products!A:A,Products!D:D,,0)</f>
        <v>80</v>
      </c>
      <c r="I860">
        <v>499</v>
      </c>
      <c r="J860">
        <v>499</v>
      </c>
      <c r="K860" t="s">
        <v>1102</v>
      </c>
      <c r="L860">
        <v>499</v>
      </c>
      <c r="M860" t="s">
        <v>1093</v>
      </c>
      <c r="N860" t="s">
        <v>1099</v>
      </c>
      <c r="O860">
        <f>Table1[[#This Row],[Unit_Price]]*Table1[[#This Row],[Quantity]]</f>
        <v>80</v>
      </c>
    </row>
    <row r="861" spans="1:15" x14ac:dyDescent="0.3">
      <c r="A861" t="s">
        <v>2458</v>
      </c>
      <c r="B861" t="s">
        <v>1306</v>
      </c>
      <c r="C861" t="s">
        <v>219</v>
      </c>
      <c r="D861" t="s">
        <v>1066</v>
      </c>
      <c r="E861">
        <v>2</v>
      </c>
      <c r="F861">
        <f>_xlfn.XLOOKUP(Table1[[#This Row],[ProductID]],Products!A:A,Products!D:D,,0)</f>
        <v>140</v>
      </c>
      <c r="I861">
        <v>499</v>
      </c>
      <c r="J861">
        <v>449</v>
      </c>
      <c r="K861" t="s">
        <v>1107</v>
      </c>
      <c r="L861">
        <v>898</v>
      </c>
      <c r="M861" t="s">
        <v>1093</v>
      </c>
      <c r="N861" t="s">
        <v>1099</v>
      </c>
      <c r="O861">
        <f>Table1[[#This Row],[Unit_Price]]*Table1[[#This Row],[Quantity]]</f>
        <v>280</v>
      </c>
    </row>
    <row r="862" spans="1:15" x14ac:dyDescent="0.3">
      <c r="A862" t="s">
        <v>2459</v>
      </c>
      <c r="B862" t="s">
        <v>1422</v>
      </c>
      <c r="C862" t="s">
        <v>1009</v>
      </c>
      <c r="D862" t="s">
        <v>1062</v>
      </c>
      <c r="E862">
        <v>1</v>
      </c>
      <c r="F862">
        <f>_xlfn.XLOOKUP(Table1[[#This Row],[ProductID]],Products!A:A,Products!D:D,,0)</f>
        <v>95</v>
      </c>
      <c r="I862">
        <v>349</v>
      </c>
      <c r="J862">
        <v>279</v>
      </c>
      <c r="K862" t="s">
        <v>1097</v>
      </c>
      <c r="L862">
        <v>279</v>
      </c>
      <c r="M862" t="s">
        <v>1093</v>
      </c>
      <c r="N862" t="s">
        <v>1099</v>
      </c>
      <c r="O862">
        <f>Table1[[#This Row],[Unit_Price]]*Table1[[#This Row],[Quantity]]</f>
        <v>95</v>
      </c>
    </row>
    <row r="863" spans="1:15" x14ac:dyDescent="0.3">
      <c r="A863" t="s">
        <v>2460</v>
      </c>
      <c r="B863" t="s">
        <v>2461</v>
      </c>
      <c r="C863" t="s">
        <v>247</v>
      </c>
      <c r="D863" t="s">
        <v>1055</v>
      </c>
      <c r="E863">
        <v>1</v>
      </c>
      <c r="F863">
        <f>_xlfn.XLOOKUP(Table1[[#This Row],[ProductID]],Products!A:A,Products!D:D,,0)</f>
        <v>75</v>
      </c>
      <c r="I863">
        <v>299</v>
      </c>
      <c r="J863">
        <v>299</v>
      </c>
      <c r="K863" t="s">
        <v>1102</v>
      </c>
      <c r="L863">
        <v>299</v>
      </c>
      <c r="M863" t="s">
        <v>1093</v>
      </c>
      <c r="N863" t="s">
        <v>1099</v>
      </c>
      <c r="O863">
        <f>Table1[[#This Row],[Unit_Price]]*Table1[[#This Row],[Quantity]]</f>
        <v>75</v>
      </c>
    </row>
    <row r="864" spans="1:15" x14ac:dyDescent="0.3">
      <c r="A864" t="s">
        <v>2462</v>
      </c>
      <c r="B864" t="s">
        <v>1949</v>
      </c>
      <c r="C864" t="s">
        <v>525</v>
      </c>
      <c r="D864" t="s">
        <v>1055</v>
      </c>
      <c r="E864">
        <v>1</v>
      </c>
      <c r="F864">
        <f>_xlfn.XLOOKUP(Table1[[#This Row],[ProductID]],Products!A:A,Products!D:D,,0)</f>
        <v>75</v>
      </c>
      <c r="I864">
        <v>299</v>
      </c>
      <c r="J864">
        <v>299</v>
      </c>
      <c r="K864" t="s">
        <v>1102</v>
      </c>
      <c r="L864">
        <v>299</v>
      </c>
      <c r="M864" t="s">
        <v>1098</v>
      </c>
      <c r="N864" t="s">
        <v>1099</v>
      </c>
      <c r="O864">
        <f>Table1[[#This Row],[Unit_Price]]*Table1[[#This Row],[Quantity]]</f>
        <v>75</v>
      </c>
    </row>
    <row r="865" spans="1:15" x14ac:dyDescent="0.3">
      <c r="A865" t="s">
        <v>2463</v>
      </c>
      <c r="B865" t="s">
        <v>2187</v>
      </c>
      <c r="C865" t="s">
        <v>211</v>
      </c>
      <c r="D865" t="s">
        <v>1064</v>
      </c>
      <c r="E865">
        <v>1</v>
      </c>
      <c r="F865">
        <f>_xlfn.XLOOKUP(Table1[[#This Row],[ProductID]],Products!A:A,Products!D:D,,0)</f>
        <v>160</v>
      </c>
      <c r="I865">
        <v>699</v>
      </c>
      <c r="J865">
        <v>629</v>
      </c>
      <c r="K865" t="s">
        <v>1107</v>
      </c>
      <c r="L865">
        <v>629</v>
      </c>
      <c r="M865" t="s">
        <v>1098</v>
      </c>
      <c r="N865" t="s">
        <v>1099</v>
      </c>
      <c r="O865">
        <f>Table1[[#This Row],[Unit_Price]]*Table1[[#This Row],[Quantity]]</f>
        <v>160</v>
      </c>
    </row>
    <row r="866" spans="1:15" x14ac:dyDescent="0.3">
      <c r="A866" t="s">
        <v>2464</v>
      </c>
      <c r="B866" t="s">
        <v>1221</v>
      </c>
      <c r="C866" t="s">
        <v>361</v>
      </c>
      <c r="D866" t="s">
        <v>1071</v>
      </c>
      <c r="E866">
        <v>1</v>
      </c>
      <c r="F866">
        <f>_xlfn.XLOOKUP(Table1[[#This Row],[ProductID]],Products!A:A,Products!D:D,,0)</f>
        <v>125</v>
      </c>
      <c r="I866">
        <v>399</v>
      </c>
      <c r="J866">
        <v>319</v>
      </c>
      <c r="K866" t="s">
        <v>1097</v>
      </c>
      <c r="L866">
        <v>319</v>
      </c>
      <c r="M866" t="s">
        <v>1098</v>
      </c>
      <c r="N866" t="s">
        <v>1099</v>
      </c>
      <c r="O866">
        <f>Table1[[#This Row],[Unit_Price]]*Table1[[#This Row],[Quantity]]</f>
        <v>125</v>
      </c>
    </row>
    <row r="867" spans="1:15" x14ac:dyDescent="0.3">
      <c r="A867" t="s">
        <v>2465</v>
      </c>
      <c r="B867" t="s">
        <v>1813</v>
      </c>
      <c r="C867" t="s">
        <v>933</v>
      </c>
      <c r="D867" t="s">
        <v>1055</v>
      </c>
      <c r="E867">
        <v>4</v>
      </c>
      <c r="F867">
        <f>_xlfn.XLOOKUP(Table1[[#This Row],[ProductID]],Products!A:A,Products!D:D,,0)</f>
        <v>75</v>
      </c>
      <c r="I867">
        <v>299</v>
      </c>
      <c r="J867">
        <v>299</v>
      </c>
      <c r="K867" t="s">
        <v>1102</v>
      </c>
      <c r="L867">
        <v>1196</v>
      </c>
      <c r="M867" t="s">
        <v>1098</v>
      </c>
      <c r="N867" t="s">
        <v>1099</v>
      </c>
      <c r="O867">
        <f>Table1[[#This Row],[Unit_Price]]*Table1[[#This Row],[Quantity]]</f>
        <v>300</v>
      </c>
    </row>
    <row r="868" spans="1:15" x14ac:dyDescent="0.3">
      <c r="A868" t="s">
        <v>2466</v>
      </c>
      <c r="B868" t="s">
        <v>1392</v>
      </c>
      <c r="C868" t="s">
        <v>1015</v>
      </c>
      <c r="D868" t="s">
        <v>1057</v>
      </c>
      <c r="E868">
        <v>1</v>
      </c>
      <c r="F868">
        <f>_xlfn.XLOOKUP(Table1[[#This Row],[ProductID]],Products!A:A,Products!D:D,,0)</f>
        <v>130</v>
      </c>
      <c r="I868">
        <v>549</v>
      </c>
      <c r="J868">
        <v>439</v>
      </c>
      <c r="K868" t="s">
        <v>1097</v>
      </c>
      <c r="L868">
        <v>439</v>
      </c>
      <c r="M868" t="s">
        <v>1118</v>
      </c>
      <c r="N868" t="s">
        <v>1099</v>
      </c>
      <c r="O868">
        <f>Table1[[#This Row],[Unit_Price]]*Table1[[#This Row],[Quantity]]</f>
        <v>130</v>
      </c>
    </row>
    <row r="869" spans="1:15" x14ac:dyDescent="0.3">
      <c r="A869" t="s">
        <v>2467</v>
      </c>
      <c r="B869" t="s">
        <v>1632</v>
      </c>
      <c r="C869" t="s">
        <v>343</v>
      </c>
      <c r="D869" t="s">
        <v>1071</v>
      </c>
      <c r="E869">
        <v>1</v>
      </c>
      <c r="F869">
        <f>_xlfn.XLOOKUP(Table1[[#This Row],[ProductID]],Products!A:A,Products!D:D,,0)</f>
        <v>125</v>
      </c>
      <c r="I869">
        <v>399</v>
      </c>
      <c r="J869">
        <v>319</v>
      </c>
      <c r="K869" t="s">
        <v>1097</v>
      </c>
      <c r="L869">
        <v>319</v>
      </c>
      <c r="M869" t="s">
        <v>1126</v>
      </c>
      <c r="N869" t="s">
        <v>1099</v>
      </c>
      <c r="O869">
        <f>Table1[[#This Row],[Unit_Price]]*Table1[[#This Row],[Quantity]]</f>
        <v>125</v>
      </c>
    </row>
    <row r="870" spans="1:15" x14ac:dyDescent="0.3">
      <c r="A870" t="s">
        <v>2468</v>
      </c>
      <c r="B870" t="s">
        <v>2469</v>
      </c>
      <c r="C870" t="s">
        <v>635</v>
      </c>
      <c r="D870" t="s">
        <v>1057</v>
      </c>
      <c r="E870">
        <v>2</v>
      </c>
      <c r="F870">
        <f>_xlfn.XLOOKUP(Table1[[#This Row],[ProductID]],Products!A:A,Products!D:D,,0)</f>
        <v>130</v>
      </c>
      <c r="I870">
        <v>549</v>
      </c>
      <c r="J870">
        <v>549</v>
      </c>
      <c r="K870" t="s">
        <v>1102</v>
      </c>
      <c r="L870">
        <v>1098</v>
      </c>
      <c r="M870" t="s">
        <v>1093</v>
      </c>
      <c r="N870" t="s">
        <v>1099</v>
      </c>
      <c r="O870">
        <f>Table1[[#This Row],[Unit_Price]]*Table1[[#This Row],[Quantity]]</f>
        <v>260</v>
      </c>
    </row>
    <row r="871" spans="1:15" x14ac:dyDescent="0.3">
      <c r="A871" t="s">
        <v>2470</v>
      </c>
      <c r="B871" t="s">
        <v>1132</v>
      </c>
      <c r="C871" t="s">
        <v>937</v>
      </c>
      <c r="D871" t="s">
        <v>1051</v>
      </c>
      <c r="E871">
        <v>2</v>
      </c>
      <c r="F871">
        <f>_xlfn.XLOOKUP(Table1[[#This Row],[ProductID]],Products!A:A,Products!D:D,,0)</f>
        <v>150</v>
      </c>
      <c r="I871">
        <v>499</v>
      </c>
      <c r="J871">
        <v>399</v>
      </c>
      <c r="K871" t="s">
        <v>1097</v>
      </c>
      <c r="L871">
        <v>798</v>
      </c>
      <c r="M871" t="s">
        <v>1126</v>
      </c>
      <c r="N871" t="s">
        <v>1099</v>
      </c>
      <c r="O871">
        <f>Table1[[#This Row],[Unit_Price]]*Table1[[#This Row],[Quantity]]</f>
        <v>300</v>
      </c>
    </row>
    <row r="872" spans="1:15" x14ac:dyDescent="0.3">
      <c r="A872" t="s">
        <v>2471</v>
      </c>
      <c r="B872" t="s">
        <v>2472</v>
      </c>
      <c r="C872" t="s">
        <v>177</v>
      </c>
      <c r="D872" t="s">
        <v>1064</v>
      </c>
      <c r="E872">
        <v>1</v>
      </c>
      <c r="F872">
        <f>_xlfn.XLOOKUP(Table1[[#This Row],[ProductID]],Products!A:A,Products!D:D,,0)</f>
        <v>160</v>
      </c>
      <c r="I872">
        <v>699</v>
      </c>
      <c r="J872">
        <v>559</v>
      </c>
      <c r="K872" t="s">
        <v>1097</v>
      </c>
      <c r="L872">
        <v>559</v>
      </c>
      <c r="M872" t="s">
        <v>1098</v>
      </c>
      <c r="N872" t="s">
        <v>1099</v>
      </c>
      <c r="O872">
        <f>Table1[[#This Row],[Unit_Price]]*Table1[[#This Row],[Quantity]]</f>
        <v>160</v>
      </c>
    </row>
    <row r="873" spans="1:15" x14ac:dyDescent="0.3">
      <c r="A873" t="s">
        <v>2473</v>
      </c>
      <c r="B873" t="s">
        <v>2421</v>
      </c>
      <c r="C873" t="s">
        <v>477</v>
      </c>
      <c r="D873" t="s">
        <v>1055</v>
      </c>
      <c r="E873">
        <v>1</v>
      </c>
      <c r="F873">
        <f>_xlfn.XLOOKUP(Table1[[#This Row],[ProductID]],Products!A:A,Products!D:D,,0)</f>
        <v>75</v>
      </c>
      <c r="I873">
        <v>299</v>
      </c>
      <c r="J873">
        <v>269</v>
      </c>
      <c r="K873" t="s">
        <v>1107</v>
      </c>
      <c r="L873">
        <v>269</v>
      </c>
      <c r="M873" t="s">
        <v>1093</v>
      </c>
      <c r="N873" t="s">
        <v>1099</v>
      </c>
      <c r="O873">
        <f>Table1[[#This Row],[Unit_Price]]*Table1[[#This Row],[Quantity]]</f>
        <v>75</v>
      </c>
    </row>
    <row r="874" spans="1:15" x14ac:dyDescent="0.3">
      <c r="A874" t="s">
        <v>2474</v>
      </c>
      <c r="B874" t="s">
        <v>1816</v>
      </c>
      <c r="C874" t="s">
        <v>122</v>
      </c>
      <c r="D874" t="s">
        <v>1053</v>
      </c>
      <c r="E874">
        <v>1</v>
      </c>
      <c r="F874">
        <f>_xlfn.XLOOKUP(Table1[[#This Row],[ProductID]],Products!A:A,Products!D:D,,0)</f>
        <v>200</v>
      </c>
      <c r="I874">
        <v>899</v>
      </c>
      <c r="J874">
        <v>899</v>
      </c>
      <c r="K874" t="s">
        <v>1102</v>
      </c>
      <c r="L874">
        <v>899</v>
      </c>
      <c r="M874" t="s">
        <v>1093</v>
      </c>
      <c r="N874" t="s">
        <v>1094</v>
      </c>
      <c r="O874">
        <f>Table1[[#This Row],[Unit_Price]]*Table1[[#This Row],[Quantity]]</f>
        <v>200</v>
      </c>
    </row>
    <row r="875" spans="1:15" x14ac:dyDescent="0.3">
      <c r="A875" t="s">
        <v>2475</v>
      </c>
      <c r="B875" t="s">
        <v>1859</v>
      </c>
      <c r="C875" t="s">
        <v>495</v>
      </c>
      <c r="D875" t="s">
        <v>1068</v>
      </c>
      <c r="E875">
        <v>2</v>
      </c>
      <c r="F875">
        <f>_xlfn.XLOOKUP(Table1[[#This Row],[ProductID]],Products!A:A,Products!D:D,,0)</f>
        <v>180</v>
      </c>
      <c r="I875">
        <v>449</v>
      </c>
      <c r="J875">
        <v>404</v>
      </c>
      <c r="K875" t="s">
        <v>1107</v>
      </c>
      <c r="L875">
        <v>808</v>
      </c>
      <c r="M875" t="s">
        <v>1098</v>
      </c>
      <c r="N875" t="s">
        <v>1099</v>
      </c>
      <c r="O875">
        <f>Table1[[#This Row],[Unit_Price]]*Table1[[#This Row],[Quantity]]</f>
        <v>360</v>
      </c>
    </row>
    <row r="876" spans="1:15" x14ac:dyDescent="0.3">
      <c r="A876" t="s">
        <v>2476</v>
      </c>
      <c r="B876" t="s">
        <v>2477</v>
      </c>
      <c r="C876" t="s">
        <v>211</v>
      </c>
      <c r="D876" t="s">
        <v>1064</v>
      </c>
      <c r="E876">
        <v>1</v>
      </c>
      <c r="F876">
        <f>_xlfn.XLOOKUP(Table1[[#This Row],[ProductID]],Products!A:A,Products!D:D,,0)</f>
        <v>160</v>
      </c>
      <c r="I876">
        <v>699</v>
      </c>
      <c r="J876">
        <v>559</v>
      </c>
      <c r="K876" t="s">
        <v>1097</v>
      </c>
      <c r="L876">
        <v>559</v>
      </c>
      <c r="M876" t="s">
        <v>1098</v>
      </c>
      <c r="N876" t="s">
        <v>1099</v>
      </c>
      <c r="O876">
        <f>Table1[[#This Row],[Unit_Price]]*Table1[[#This Row],[Quantity]]</f>
        <v>160</v>
      </c>
    </row>
    <row r="877" spans="1:15" x14ac:dyDescent="0.3">
      <c r="A877" t="s">
        <v>2478</v>
      </c>
      <c r="B877" t="s">
        <v>1428</v>
      </c>
      <c r="C877" t="s">
        <v>957</v>
      </c>
      <c r="D877" t="s">
        <v>1066</v>
      </c>
      <c r="E877">
        <v>1</v>
      </c>
      <c r="F877">
        <f>_xlfn.XLOOKUP(Table1[[#This Row],[ProductID]],Products!A:A,Products!D:D,,0)</f>
        <v>140</v>
      </c>
      <c r="I877">
        <v>499</v>
      </c>
      <c r="J877">
        <v>424</v>
      </c>
      <c r="K877" t="s">
        <v>1092</v>
      </c>
      <c r="L877">
        <v>424</v>
      </c>
      <c r="M877" t="s">
        <v>1098</v>
      </c>
      <c r="N877" t="s">
        <v>1099</v>
      </c>
      <c r="O877">
        <f>Table1[[#This Row],[Unit_Price]]*Table1[[#This Row],[Quantity]]</f>
        <v>140</v>
      </c>
    </row>
    <row r="878" spans="1:15" x14ac:dyDescent="0.3">
      <c r="A878" t="s">
        <v>2479</v>
      </c>
      <c r="B878" t="s">
        <v>1402</v>
      </c>
      <c r="C878" t="s">
        <v>977</v>
      </c>
      <c r="D878" t="s">
        <v>1064</v>
      </c>
      <c r="E878">
        <v>2</v>
      </c>
      <c r="F878">
        <f>_xlfn.XLOOKUP(Table1[[#This Row],[ProductID]],Products!A:A,Products!D:D,,0)</f>
        <v>160</v>
      </c>
      <c r="I878">
        <v>699</v>
      </c>
      <c r="J878">
        <v>699</v>
      </c>
      <c r="K878" t="s">
        <v>1102</v>
      </c>
      <c r="L878">
        <v>1398</v>
      </c>
      <c r="M878" t="s">
        <v>1098</v>
      </c>
      <c r="N878" t="s">
        <v>1099</v>
      </c>
      <c r="O878">
        <f>Table1[[#This Row],[Unit_Price]]*Table1[[#This Row],[Quantity]]</f>
        <v>320</v>
      </c>
    </row>
    <row r="879" spans="1:15" x14ac:dyDescent="0.3">
      <c r="A879" t="s">
        <v>2480</v>
      </c>
      <c r="B879" t="s">
        <v>2481</v>
      </c>
      <c r="C879" t="s">
        <v>729</v>
      </c>
      <c r="D879" t="s">
        <v>1066</v>
      </c>
      <c r="E879">
        <v>1</v>
      </c>
      <c r="F879">
        <f>_xlfn.XLOOKUP(Table1[[#This Row],[ProductID]],Products!A:A,Products!D:D,,0)</f>
        <v>140</v>
      </c>
      <c r="I879">
        <v>499</v>
      </c>
      <c r="J879">
        <v>499</v>
      </c>
      <c r="K879" t="s">
        <v>1102</v>
      </c>
      <c r="L879">
        <v>499</v>
      </c>
      <c r="M879" t="s">
        <v>1098</v>
      </c>
      <c r="N879" t="s">
        <v>1099</v>
      </c>
      <c r="O879">
        <f>Table1[[#This Row],[Unit_Price]]*Table1[[#This Row],[Quantity]]</f>
        <v>140</v>
      </c>
    </row>
    <row r="880" spans="1:15" x14ac:dyDescent="0.3">
      <c r="A880" t="s">
        <v>2482</v>
      </c>
      <c r="B880" t="s">
        <v>1319</v>
      </c>
      <c r="C880" t="s">
        <v>303</v>
      </c>
      <c r="D880" t="s">
        <v>1068</v>
      </c>
      <c r="E880">
        <v>1</v>
      </c>
      <c r="F880">
        <f>_xlfn.XLOOKUP(Table1[[#This Row],[ProductID]],Products!A:A,Products!D:D,,0)</f>
        <v>180</v>
      </c>
      <c r="I880">
        <v>449</v>
      </c>
      <c r="J880">
        <v>404</v>
      </c>
      <c r="K880" t="s">
        <v>1107</v>
      </c>
      <c r="L880">
        <v>404</v>
      </c>
      <c r="M880" t="s">
        <v>1093</v>
      </c>
      <c r="N880" t="s">
        <v>1099</v>
      </c>
      <c r="O880">
        <f>Table1[[#This Row],[Unit_Price]]*Table1[[#This Row],[Quantity]]</f>
        <v>180</v>
      </c>
    </row>
    <row r="881" spans="1:15" x14ac:dyDescent="0.3">
      <c r="A881" t="s">
        <v>2483</v>
      </c>
      <c r="B881" t="s">
        <v>1558</v>
      </c>
      <c r="C881" t="s">
        <v>143</v>
      </c>
      <c r="D881" t="s">
        <v>1075</v>
      </c>
      <c r="E881">
        <v>2</v>
      </c>
      <c r="F881">
        <f>_xlfn.XLOOKUP(Table1[[#This Row],[ProductID]],Products!A:A,Products!D:D,,0)</f>
        <v>80</v>
      </c>
      <c r="I881">
        <v>499</v>
      </c>
      <c r="J881">
        <v>499</v>
      </c>
      <c r="K881" t="s">
        <v>1102</v>
      </c>
      <c r="L881">
        <v>998</v>
      </c>
      <c r="M881" t="s">
        <v>1098</v>
      </c>
      <c r="N881" t="s">
        <v>1099</v>
      </c>
      <c r="O881">
        <f>Table1[[#This Row],[Unit_Price]]*Table1[[#This Row],[Quantity]]</f>
        <v>160</v>
      </c>
    </row>
    <row r="882" spans="1:15" x14ac:dyDescent="0.3">
      <c r="A882" t="s">
        <v>2484</v>
      </c>
      <c r="B882" t="s">
        <v>2485</v>
      </c>
      <c r="C882" t="s">
        <v>713</v>
      </c>
      <c r="D882" t="s">
        <v>1051</v>
      </c>
      <c r="E882">
        <v>1</v>
      </c>
      <c r="F882">
        <f>_xlfn.XLOOKUP(Table1[[#This Row],[ProductID]],Products!A:A,Products!D:D,,0)</f>
        <v>150</v>
      </c>
      <c r="I882">
        <v>499</v>
      </c>
      <c r="J882">
        <v>449</v>
      </c>
      <c r="K882" t="s">
        <v>1107</v>
      </c>
      <c r="L882">
        <v>449</v>
      </c>
      <c r="M882" t="s">
        <v>1093</v>
      </c>
      <c r="N882" t="s">
        <v>1094</v>
      </c>
      <c r="O882">
        <f>Table1[[#This Row],[Unit_Price]]*Table1[[#This Row],[Quantity]]</f>
        <v>150</v>
      </c>
    </row>
    <row r="883" spans="1:15" x14ac:dyDescent="0.3">
      <c r="A883" t="s">
        <v>2486</v>
      </c>
      <c r="B883" t="s">
        <v>2487</v>
      </c>
      <c r="C883" t="s">
        <v>89</v>
      </c>
      <c r="D883" t="s">
        <v>1062</v>
      </c>
      <c r="E883">
        <v>1</v>
      </c>
      <c r="F883">
        <f>_xlfn.XLOOKUP(Table1[[#This Row],[ProductID]],Products!A:A,Products!D:D,,0)</f>
        <v>95</v>
      </c>
      <c r="I883">
        <v>349</v>
      </c>
      <c r="J883">
        <v>297</v>
      </c>
      <c r="K883" t="s">
        <v>1092</v>
      </c>
      <c r="L883">
        <v>297</v>
      </c>
      <c r="M883" t="s">
        <v>1098</v>
      </c>
      <c r="N883" t="s">
        <v>1099</v>
      </c>
      <c r="O883">
        <f>Table1[[#This Row],[Unit_Price]]*Table1[[#This Row],[Quantity]]</f>
        <v>95</v>
      </c>
    </row>
    <row r="884" spans="1:15" x14ac:dyDescent="0.3">
      <c r="A884" t="s">
        <v>2488</v>
      </c>
      <c r="B884" t="s">
        <v>1447</v>
      </c>
      <c r="C884" t="s">
        <v>765</v>
      </c>
      <c r="D884" t="s">
        <v>1080</v>
      </c>
      <c r="E884">
        <v>1</v>
      </c>
      <c r="F884">
        <f>_xlfn.XLOOKUP(Table1[[#This Row],[ProductID]],Products!A:A,Products!D:D,,0)</f>
        <v>45</v>
      </c>
      <c r="I884">
        <v>249</v>
      </c>
      <c r="J884">
        <v>212</v>
      </c>
      <c r="K884" t="s">
        <v>1092</v>
      </c>
      <c r="L884">
        <v>212</v>
      </c>
      <c r="M884" t="s">
        <v>1098</v>
      </c>
      <c r="N884" t="s">
        <v>1099</v>
      </c>
      <c r="O884">
        <f>Table1[[#This Row],[Unit_Price]]*Table1[[#This Row],[Quantity]]</f>
        <v>45</v>
      </c>
    </row>
    <row r="885" spans="1:15" x14ac:dyDescent="0.3">
      <c r="A885" t="s">
        <v>2489</v>
      </c>
      <c r="B885" t="s">
        <v>2158</v>
      </c>
      <c r="C885" t="s">
        <v>993</v>
      </c>
      <c r="D885" t="s">
        <v>1057</v>
      </c>
      <c r="E885">
        <v>2</v>
      </c>
      <c r="F885">
        <f>_xlfn.XLOOKUP(Table1[[#This Row],[ProductID]],Products!A:A,Products!D:D,,0)</f>
        <v>130</v>
      </c>
      <c r="I885">
        <v>549</v>
      </c>
      <c r="J885">
        <v>439</v>
      </c>
      <c r="K885" t="s">
        <v>1097</v>
      </c>
      <c r="L885">
        <v>878</v>
      </c>
      <c r="M885" t="s">
        <v>1098</v>
      </c>
      <c r="N885" t="s">
        <v>1099</v>
      </c>
      <c r="O885">
        <f>Table1[[#This Row],[Unit_Price]]*Table1[[#This Row],[Quantity]]</f>
        <v>260</v>
      </c>
    </row>
    <row r="886" spans="1:15" x14ac:dyDescent="0.3">
      <c r="A886" t="s">
        <v>2490</v>
      </c>
      <c r="B886" t="s">
        <v>2491</v>
      </c>
      <c r="C886" t="s">
        <v>969</v>
      </c>
      <c r="D886" t="s">
        <v>1062</v>
      </c>
      <c r="E886">
        <v>1</v>
      </c>
      <c r="F886">
        <f>_xlfn.XLOOKUP(Table1[[#This Row],[ProductID]],Products!A:A,Products!D:D,,0)</f>
        <v>95</v>
      </c>
      <c r="I886">
        <v>349</v>
      </c>
      <c r="J886">
        <v>349</v>
      </c>
      <c r="K886" t="s">
        <v>1102</v>
      </c>
      <c r="L886">
        <v>349</v>
      </c>
      <c r="M886" t="s">
        <v>1098</v>
      </c>
      <c r="N886" t="s">
        <v>1099</v>
      </c>
      <c r="O886">
        <f>Table1[[#This Row],[Unit_Price]]*Table1[[#This Row],[Quantity]]</f>
        <v>95</v>
      </c>
    </row>
    <row r="887" spans="1:15" x14ac:dyDescent="0.3">
      <c r="A887" t="s">
        <v>2492</v>
      </c>
      <c r="B887" t="s">
        <v>1527</v>
      </c>
      <c r="C887" t="s">
        <v>489</v>
      </c>
      <c r="D887" t="s">
        <v>1066</v>
      </c>
      <c r="E887">
        <v>1</v>
      </c>
      <c r="F887">
        <f>_xlfn.XLOOKUP(Table1[[#This Row],[ProductID]],Products!A:A,Products!D:D,,0)</f>
        <v>140</v>
      </c>
      <c r="I887">
        <v>499</v>
      </c>
      <c r="J887">
        <v>399</v>
      </c>
      <c r="K887" t="s">
        <v>1097</v>
      </c>
      <c r="L887">
        <v>399</v>
      </c>
      <c r="M887" t="s">
        <v>1118</v>
      </c>
      <c r="N887" t="s">
        <v>1099</v>
      </c>
      <c r="O887">
        <f>Table1[[#This Row],[Unit_Price]]*Table1[[#This Row],[Quantity]]</f>
        <v>140</v>
      </c>
    </row>
    <row r="888" spans="1:15" x14ac:dyDescent="0.3">
      <c r="A888" t="s">
        <v>2493</v>
      </c>
      <c r="B888" t="s">
        <v>1242</v>
      </c>
      <c r="C888" t="s">
        <v>399</v>
      </c>
      <c r="D888" t="s">
        <v>1078</v>
      </c>
      <c r="E888">
        <v>1</v>
      </c>
      <c r="F888">
        <f>_xlfn.XLOOKUP(Table1[[#This Row],[ProductID]],Products!A:A,Products!D:D,,0)</f>
        <v>80</v>
      </c>
      <c r="I888">
        <v>499</v>
      </c>
      <c r="J888">
        <v>424</v>
      </c>
      <c r="K888" t="s">
        <v>1092</v>
      </c>
      <c r="L888">
        <v>424</v>
      </c>
      <c r="M888" t="s">
        <v>1098</v>
      </c>
      <c r="N888" t="s">
        <v>1099</v>
      </c>
      <c r="O888">
        <f>Table1[[#This Row],[Unit_Price]]*Table1[[#This Row],[Quantity]]</f>
        <v>80</v>
      </c>
    </row>
    <row r="889" spans="1:15" x14ac:dyDescent="0.3">
      <c r="A889" t="s">
        <v>2494</v>
      </c>
      <c r="B889" t="s">
        <v>1308</v>
      </c>
      <c r="C889" t="s">
        <v>93</v>
      </c>
      <c r="D889" t="s">
        <v>1080</v>
      </c>
      <c r="E889">
        <v>1</v>
      </c>
      <c r="F889">
        <f>_xlfn.XLOOKUP(Table1[[#This Row],[ProductID]],Products!A:A,Products!D:D,,0)</f>
        <v>45</v>
      </c>
      <c r="I889">
        <v>249</v>
      </c>
      <c r="J889">
        <v>249</v>
      </c>
      <c r="K889" t="s">
        <v>1102</v>
      </c>
      <c r="L889">
        <v>249</v>
      </c>
      <c r="M889" t="s">
        <v>1098</v>
      </c>
      <c r="N889" t="s">
        <v>1099</v>
      </c>
      <c r="O889">
        <f>Table1[[#This Row],[Unit_Price]]*Table1[[#This Row],[Quantity]]</f>
        <v>45</v>
      </c>
    </row>
    <row r="890" spans="1:15" x14ac:dyDescent="0.3">
      <c r="A890" t="s">
        <v>2495</v>
      </c>
      <c r="B890" t="s">
        <v>2496</v>
      </c>
      <c r="C890" t="s">
        <v>373</v>
      </c>
      <c r="D890" t="s">
        <v>1062</v>
      </c>
      <c r="E890">
        <v>3</v>
      </c>
      <c r="F890">
        <f>_xlfn.XLOOKUP(Table1[[#This Row],[ProductID]],Products!A:A,Products!D:D,,0)</f>
        <v>95</v>
      </c>
      <c r="I890">
        <v>349</v>
      </c>
      <c r="J890">
        <v>279</v>
      </c>
      <c r="K890" t="s">
        <v>1097</v>
      </c>
      <c r="L890">
        <v>837</v>
      </c>
      <c r="M890" t="s">
        <v>1098</v>
      </c>
      <c r="N890" t="s">
        <v>1099</v>
      </c>
      <c r="O890">
        <f>Table1[[#This Row],[Unit_Price]]*Table1[[#This Row],[Quantity]]</f>
        <v>285</v>
      </c>
    </row>
    <row r="891" spans="1:15" x14ac:dyDescent="0.3">
      <c r="A891" t="s">
        <v>2497</v>
      </c>
      <c r="B891" t="s">
        <v>1449</v>
      </c>
      <c r="C891" t="s">
        <v>891</v>
      </c>
      <c r="D891" t="s">
        <v>1053</v>
      </c>
      <c r="E891">
        <v>1</v>
      </c>
      <c r="F891">
        <f>_xlfn.XLOOKUP(Table1[[#This Row],[ProductID]],Products!A:A,Products!D:D,,0)</f>
        <v>200</v>
      </c>
      <c r="I891">
        <v>899</v>
      </c>
      <c r="J891">
        <v>764</v>
      </c>
      <c r="K891" t="s">
        <v>1092</v>
      </c>
      <c r="L891">
        <v>764</v>
      </c>
      <c r="M891" t="s">
        <v>1098</v>
      </c>
      <c r="N891" t="s">
        <v>1099</v>
      </c>
      <c r="O891">
        <f>Table1[[#This Row],[Unit_Price]]*Table1[[#This Row],[Quantity]]</f>
        <v>200</v>
      </c>
    </row>
    <row r="892" spans="1:15" x14ac:dyDescent="0.3">
      <c r="A892" t="s">
        <v>2498</v>
      </c>
      <c r="B892" t="s">
        <v>1880</v>
      </c>
      <c r="C892" t="s">
        <v>721</v>
      </c>
      <c r="D892" t="s">
        <v>1080</v>
      </c>
      <c r="E892">
        <v>3</v>
      </c>
      <c r="F892">
        <f>_xlfn.XLOOKUP(Table1[[#This Row],[ProductID]],Products!A:A,Products!D:D,,0)</f>
        <v>45</v>
      </c>
      <c r="I892">
        <v>249</v>
      </c>
      <c r="J892">
        <v>199</v>
      </c>
      <c r="K892" t="s">
        <v>1097</v>
      </c>
      <c r="L892">
        <v>597</v>
      </c>
      <c r="M892" t="s">
        <v>1098</v>
      </c>
      <c r="N892" t="s">
        <v>1099</v>
      </c>
      <c r="O892">
        <f>Table1[[#This Row],[Unit_Price]]*Table1[[#This Row],[Quantity]]</f>
        <v>135</v>
      </c>
    </row>
    <row r="893" spans="1:15" x14ac:dyDescent="0.3">
      <c r="A893" t="s">
        <v>2499</v>
      </c>
      <c r="B893" t="s">
        <v>2500</v>
      </c>
      <c r="C893" t="s">
        <v>777</v>
      </c>
      <c r="D893" t="s">
        <v>1080</v>
      </c>
      <c r="E893">
        <v>1</v>
      </c>
      <c r="F893">
        <f>_xlfn.XLOOKUP(Table1[[#This Row],[ProductID]],Products!A:A,Products!D:D,,0)</f>
        <v>45</v>
      </c>
      <c r="I893">
        <v>249</v>
      </c>
      <c r="J893">
        <v>224</v>
      </c>
      <c r="K893" t="s">
        <v>1107</v>
      </c>
      <c r="L893">
        <v>224</v>
      </c>
      <c r="M893" t="s">
        <v>1098</v>
      </c>
      <c r="N893" t="s">
        <v>1099</v>
      </c>
      <c r="O893">
        <f>Table1[[#This Row],[Unit_Price]]*Table1[[#This Row],[Quantity]]</f>
        <v>45</v>
      </c>
    </row>
    <row r="894" spans="1:15" x14ac:dyDescent="0.3">
      <c r="A894" t="s">
        <v>2501</v>
      </c>
      <c r="B894" t="s">
        <v>2502</v>
      </c>
      <c r="C894" t="s">
        <v>507</v>
      </c>
      <c r="D894" t="s">
        <v>1055</v>
      </c>
      <c r="E894">
        <v>2</v>
      </c>
      <c r="F894">
        <f>_xlfn.XLOOKUP(Table1[[#This Row],[ProductID]],Products!A:A,Products!D:D,,0)</f>
        <v>75</v>
      </c>
      <c r="I894">
        <v>299</v>
      </c>
      <c r="J894">
        <v>269</v>
      </c>
      <c r="K894" t="s">
        <v>1107</v>
      </c>
      <c r="L894">
        <v>538</v>
      </c>
      <c r="M894" t="s">
        <v>1126</v>
      </c>
      <c r="N894" t="s">
        <v>1099</v>
      </c>
      <c r="O894">
        <f>Table1[[#This Row],[Unit_Price]]*Table1[[#This Row],[Quantity]]</f>
        <v>150</v>
      </c>
    </row>
    <row r="895" spans="1:15" x14ac:dyDescent="0.3">
      <c r="A895" t="s">
        <v>2503</v>
      </c>
      <c r="B895" t="s">
        <v>1774</v>
      </c>
      <c r="C895" t="s">
        <v>185</v>
      </c>
      <c r="D895" t="s">
        <v>1055</v>
      </c>
      <c r="E895">
        <v>1</v>
      </c>
      <c r="F895">
        <f>_xlfn.XLOOKUP(Table1[[#This Row],[ProductID]],Products!A:A,Products!D:D,,0)</f>
        <v>75</v>
      </c>
      <c r="I895">
        <v>299</v>
      </c>
      <c r="J895">
        <v>269</v>
      </c>
      <c r="K895" t="s">
        <v>1107</v>
      </c>
      <c r="L895">
        <v>269</v>
      </c>
      <c r="M895" t="s">
        <v>1093</v>
      </c>
      <c r="N895" t="s">
        <v>1099</v>
      </c>
      <c r="O895">
        <f>Table1[[#This Row],[Unit_Price]]*Table1[[#This Row],[Quantity]]</f>
        <v>75</v>
      </c>
    </row>
    <row r="896" spans="1:15" x14ac:dyDescent="0.3">
      <c r="A896" t="s">
        <v>2504</v>
      </c>
      <c r="B896" t="s">
        <v>2243</v>
      </c>
      <c r="C896" t="s">
        <v>463</v>
      </c>
      <c r="D896" t="s">
        <v>1075</v>
      </c>
      <c r="E896">
        <v>3</v>
      </c>
      <c r="F896">
        <f>_xlfn.XLOOKUP(Table1[[#This Row],[ProductID]],Products!A:A,Products!D:D,,0)</f>
        <v>80</v>
      </c>
      <c r="I896">
        <v>499</v>
      </c>
      <c r="J896">
        <v>499</v>
      </c>
      <c r="K896" t="s">
        <v>1102</v>
      </c>
      <c r="L896">
        <v>1497</v>
      </c>
      <c r="M896" t="s">
        <v>1098</v>
      </c>
      <c r="N896" t="s">
        <v>1094</v>
      </c>
      <c r="O896">
        <f>Table1[[#This Row],[Unit_Price]]*Table1[[#This Row],[Quantity]]</f>
        <v>240</v>
      </c>
    </row>
    <row r="897" spans="1:15" x14ac:dyDescent="0.3">
      <c r="A897" t="s">
        <v>2505</v>
      </c>
      <c r="B897" t="s">
        <v>2469</v>
      </c>
      <c r="C897" t="s">
        <v>1035</v>
      </c>
      <c r="D897" t="s">
        <v>1055</v>
      </c>
      <c r="E897">
        <v>1</v>
      </c>
      <c r="F897">
        <f>_xlfn.XLOOKUP(Table1[[#This Row],[ProductID]],Products!A:A,Products!D:D,,0)</f>
        <v>75</v>
      </c>
      <c r="I897">
        <v>299</v>
      </c>
      <c r="J897">
        <v>299</v>
      </c>
      <c r="K897" t="s">
        <v>1102</v>
      </c>
      <c r="L897">
        <v>299</v>
      </c>
      <c r="M897" t="s">
        <v>1118</v>
      </c>
      <c r="N897" t="s">
        <v>1099</v>
      </c>
      <c r="O897">
        <f>Table1[[#This Row],[Unit_Price]]*Table1[[#This Row],[Quantity]]</f>
        <v>75</v>
      </c>
    </row>
    <row r="898" spans="1:15" x14ac:dyDescent="0.3">
      <c r="A898" t="s">
        <v>2506</v>
      </c>
      <c r="B898" t="s">
        <v>2132</v>
      </c>
      <c r="C898" t="s">
        <v>689</v>
      </c>
      <c r="D898" t="s">
        <v>1057</v>
      </c>
      <c r="E898">
        <v>2</v>
      </c>
      <c r="F898">
        <f>_xlfn.XLOOKUP(Table1[[#This Row],[ProductID]],Products!A:A,Products!D:D,,0)</f>
        <v>130</v>
      </c>
      <c r="I898">
        <v>549</v>
      </c>
      <c r="J898">
        <v>549</v>
      </c>
      <c r="K898" t="s">
        <v>1102</v>
      </c>
      <c r="L898">
        <v>1098</v>
      </c>
      <c r="M898" t="s">
        <v>1098</v>
      </c>
      <c r="N898" t="s">
        <v>1099</v>
      </c>
      <c r="O898">
        <f>Table1[[#This Row],[Unit_Price]]*Table1[[#This Row],[Quantity]]</f>
        <v>260</v>
      </c>
    </row>
    <row r="899" spans="1:15" x14ac:dyDescent="0.3">
      <c r="A899" t="s">
        <v>2507</v>
      </c>
      <c r="B899" t="s">
        <v>2508</v>
      </c>
      <c r="C899" t="s">
        <v>691</v>
      </c>
      <c r="D899" t="s">
        <v>1059</v>
      </c>
      <c r="E899">
        <v>1</v>
      </c>
      <c r="F899">
        <f>_xlfn.XLOOKUP(Table1[[#This Row],[ProductID]],Products!A:A,Products!D:D,,0)</f>
        <v>110</v>
      </c>
      <c r="I899">
        <v>399</v>
      </c>
      <c r="J899">
        <v>339</v>
      </c>
      <c r="K899" t="s">
        <v>1092</v>
      </c>
      <c r="L899">
        <v>339</v>
      </c>
      <c r="M899" t="s">
        <v>1098</v>
      </c>
      <c r="N899" t="s">
        <v>1099</v>
      </c>
      <c r="O899">
        <f>Table1[[#This Row],[Unit_Price]]*Table1[[#This Row],[Quantity]]</f>
        <v>110</v>
      </c>
    </row>
    <row r="900" spans="1:15" x14ac:dyDescent="0.3">
      <c r="A900" t="s">
        <v>2509</v>
      </c>
      <c r="B900" t="s">
        <v>1308</v>
      </c>
      <c r="C900" t="s">
        <v>83</v>
      </c>
      <c r="D900" t="s">
        <v>1057</v>
      </c>
      <c r="E900">
        <v>2</v>
      </c>
      <c r="F900">
        <f>_xlfn.XLOOKUP(Table1[[#This Row],[ProductID]],Products!A:A,Products!D:D,,0)</f>
        <v>130</v>
      </c>
      <c r="I900">
        <v>549</v>
      </c>
      <c r="J900">
        <v>494</v>
      </c>
      <c r="K900" t="s">
        <v>1107</v>
      </c>
      <c r="L900">
        <v>988</v>
      </c>
      <c r="M900" t="s">
        <v>1093</v>
      </c>
      <c r="N900" t="s">
        <v>1099</v>
      </c>
      <c r="O900">
        <f>Table1[[#This Row],[Unit_Price]]*Table1[[#This Row],[Quantity]]</f>
        <v>260</v>
      </c>
    </row>
    <row r="901" spans="1:15" x14ac:dyDescent="0.3">
      <c r="A901" t="s">
        <v>2510</v>
      </c>
      <c r="B901" t="s">
        <v>1692</v>
      </c>
      <c r="C901" t="s">
        <v>485</v>
      </c>
      <c r="D901" t="s">
        <v>1059</v>
      </c>
      <c r="E901">
        <v>1</v>
      </c>
      <c r="F901">
        <f>_xlfn.XLOOKUP(Table1[[#This Row],[ProductID]],Products!A:A,Products!D:D,,0)</f>
        <v>110</v>
      </c>
      <c r="I901">
        <v>399</v>
      </c>
      <c r="J901">
        <v>359</v>
      </c>
      <c r="K901" t="s">
        <v>1107</v>
      </c>
      <c r="L901">
        <v>359</v>
      </c>
      <c r="M901" t="s">
        <v>1098</v>
      </c>
      <c r="N901" t="s">
        <v>1099</v>
      </c>
      <c r="O901">
        <f>Table1[[#This Row],[Unit_Price]]*Table1[[#This Row],[Quantity]]</f>
        <v>110</v>
      </c>
    </row>
    <row r="902" spans="1:15" x14ac:dyDescent="0.3">
      <c r="A902" t="s">
        <v>2511</v>
      </c>
      <c r="B902" t="s">
        <v>2512</v>
      </c>
      <c r="C902" t="s">
        <v>439</v>
      </c>
      <c r="D902" t="s">
        <v>1066</v>
      </c>
      <c r="E902">
        <v>3</v>
      </c>
      <c r="F902">
        <f>_xlfn.XLOOKUP(Table1[[#This Row],[ProductID]],Products!A:A,Products!D:D,,0)</f>
        <v>140</v>
      </c>
      <c r="I902">
        <v>499</v>
      </c>
      <c r="J902">
        <v>499</v>
      </c>
      <c r="K902" t="s">
        <v>1102</v>
      </c>
      <c r="L902">
        <v>1497</v>
      </c>
      <c r="M902" t="s">
        <v>1126</v>
      </c>
      <c r="N902" t="s">
        <v>1099</v>
      </c>
      <c r="O902">
        <f>Table1[[#This Row],[Unit_Price]]*Table1[[#This Row],[Quantity]]</f>
        <v>420</v>
      </c>
    </row>
    <row r="903" spans="1:15" x14ac:dyDescent="0.3">
      <c r="A903" t="s">
        <v>2513</v>
      </c>
      <c r="B903" t="s">
        <v>2514</v>
      </c>
      <c r="C903" t="s">
        <v>329</v>
      </c>
      <c r="D903" t="s">
        <v>1051</v>
      </c>
      <c r="E903">
        <v>1</v>
      </c>
      <c r="F903">
        <f>_xlfn.XLOOKUP(Table1[[#This Row],[ProductID]],Products!A:A,Products!D:D,,0)</f>
        <v>150</v>
      </c>
      <c r="I903">
        <v>499</v>
      </c>
      <c r="J903">
        <v>449</v>
      </c>
      <c r="K903" t="s">
        <v>1107</v>
      </c>
      <c r="L903">
        <v>449</v>
      </c>
      <c r="M903" t="s">
        <v>1093</v>
      </c>
      <c r="N903" t="s">
        <v>1094</v>
      </c>
      <c r="O903">
        <f>Table1[[#This Row],[Unit_Price]]*Table1[[#This Row],[Quantity]]</f>
        <v>150</v>
      </c>
    </row>
    <row r="904" spans="1:15" x14ac:dyDescent="0.3">
      <c r="A904" t="s">
        <v>2515</v>
      </c>
      <c r="B904" t="s">
        <v>2516</v>
      </c>
      <c r="C904" t="s">
        <v>585</v>
      </c>
      <c r="D904" t="s">
        <v>1048</v>
      </c>
      <c r="E904">
        <v>1</v>
      </c>
      <c r="F904">
        <f>_xlfn.XLOOKUP(Table1[[#This Row],[ProductID]],Products!A:A,Products!D:D,,0)</f>
        <v>120</v>
      </c>
      <c r="I904">
        <v>599</v>
      </c>
      <c r="J904">
        <v>599</v>
      </c>
      <c r="K904" t="s">
        <v>1102</v>
      </c>
      <c r="L904">
        <v>599</v>
      </c>
      <c r="M904" t="s">
        <v>1093</v>
      </c>
      <c r="N904" t="s">
        <v>1099</v>
      </c>
      <c r="O904">
        <f>Table1[[#This Row],[Unit_Price]]*Table1[[#This Row],[Quantity]]</f>
        <v>120</v>
      </c>
    </row>
    <row r="905" spans="1:15" x14ac:dyDescent="0.3">
      <c r="A905" t="s">
        <v>2517</v>
      </c>
      <c r="B905" t="s">
        <v>2518</v>
      </c>
      <c r="C905" t="s">
        <v>561</v>
      </c>
      <c r="D905" t="s">
        <v>1073</v>
      </c>
      <c r="E905">
        <v>1</v>
      </c>
      <c r="F905">
        <f>_xlfn.XLOOKUP(Table1[[#This Row],[ProductID]],Products!A:A,Products!D:D,,0)</f>
        <v>100</v>
      </c>
      <c r="I905">
        <v>349</v>
      </c>
      <c r="J905">
        <v>349</v>
      </c>
      <c r="K905" t="s">
        <v>1102</v>
      </c>
      <c r="L905">
        <v>349</v>
      </c>
      <c r="M905" t="s">
        <v>1126</v>
      </c>
      <c r="N905" t="s">
        <v>1099</v>
      </c>
      <c r="O905">
        <f>Table1[[#This Row],[Unit_Price]]*Table1[[#This Row],[Quantity]]</f>
        <v>100</v>
      </c>
    </row>
    <row r="906" spans="1:15" x14ac:dyDescent="0.3">
      <c r="A906" t="s">
        <v>2519</v>
      </c>
      <c r="B906" t="s">
        <v>1595</v>
      </c>
      <c r="C906" t="s">
        <v>423</v>
      </c>
      <c r="D906" t="s">
        <v>1080</v>
      </c>
      <c r="E906">
        <v>1</v>
      </c>
      <c r="F906">
        <f>_xlfn.XLOOKUP(Table1[[#This Row],[ProductID]],Products!A:A,Products!D:D,,0)</f>
        <v>45</v>
      </c>
      <c r="I906">
        <v>249</v>
      </c>
      <c r="J906">
        <v>212</v>
      </c>
      <c r="K906" t="s">
        <v>1092</v>
      </c>
      <c r="L906">
        <v>212</v>
      </c>
      <c r="M906" t="s">
        <v>1126</v>
      </c>
      <c r="N906" t="s">
        <v>1099</v>
      </c>
      <c r="O906">
        <f>Table1[[#This Row],[Unit_Price]]*Table1[[#This Row],[Quantity]]</f>
        <v>45</v>
      </c>
    </row>
    <row r="907" spans="1:15" x14ac:dyDescent="0.3">
      <c r="A907" t="s">
        <v>2520</v>
      </c>
      <c r="B907" t="s">
        <v>1732</v>
      </c>
      <c r="C907" t="s">
        <v>601</v>
      </c>
      <c r="D907" t="s">
        <v>1053</v>
      </c>
      <c r="E907">
        <v>2</v>
      </c>
      <c r="F907">
        <f>_xlfn.XLOOKUP(Table1[[#This Row],[ProductID]],Products!A:A,Products!D:D,,0)</f>
        <v>200</v>
      </c>
      <c r="I907">
        <v>899</v>
      </c>
      <c r="J907">
        <v>899</v>
      </c>
      <c r="K907" t="s">
        <v>1102</v>
      </c>
      <c r="L907">
        <v>1798</v>
      </c>
      <c r="M907" t="s">
        <v>1098</v>
      </c>
      <c r="N907" t="s">
        <v>1099</v>
      </c>
      <c r="O907">
        <f>Table1[[#This Row],[Unit_Price]]*Table1[[#This Row],[Quantity]]</f>
        <v>400</v>
      </c>
    </row>
    <row r="908" spans="1:15" x14ac:dyDescent="0.3">
      <c r="A908" t="s">
        <v>2521</v>
      </c>
      <c r="B908" t="s">
        <v>1785</v>
      </c>
      <c r="C908" t="s">
        <v>969</v>
      </c>
      <c r="D908" t="s">
        <v>1080</v>
      </c>
      <c r="E908">
        <v>1</v>
      </c>
      <c r="F908">
        <f>_xlfn.XLOOKUP(Table1[[#This Row],[ProductID]],Products!A:A,Products!D:D,,0)</f>
        <v>45</v>
      </c>
      <c r="I908">
        <v>249</v>
      </c>
      <c r="J908">
        <v>249</v>
      </c>
      <c r="K908" t="s">
        <v>1102</v>
      </c>
      <c r="L908">
        <v>249</v>
      </c>
      <c r="M908" t="s">
        <v>1093</v>
      </c>
      <c r="N908" t="s">
        <v>1094</v>
      </c>
      <c r="O908">
        <f>Table1[[#This Row],[Unit_Price]]*Table1[[#This Row],[Quantity]]</f>
        <v>45</v>
      </c>
    </row>
    <row r="909" spans="1:15" x14ac:dyDescent="0.3">
      <c r="A909" t="s">
        <v>2522</v>
      </c>
      <c r="B909" t="s">
        <v>2523</v>
      </c>
      <c r="C909" t="s">
        <v>743</v>
      </c>
      <c r="D909" t="s">
        <v>1075</v>
      </c>
      <c r="E909">
        <v>2</v>
      </c>
      <c r="F909">
        <f>_xlfn.XLOOKUP(Table1[[#This Row],[ProductID]],Products!A:A,Products!D:D,,0)</f>
        <v>80</v>
      </c>
      <c r="I909">
        <v>499</v>
      </c>
      <c r="J909">
        <v>499</v>
      </c>
      <c r="K909" t="s">
        <v>1102</v>
      </c>
      <c r="L909">
        <v>998</v>
      </c>
      <c r="M909" t="s">
        <v>1093</v>
      </c>
      <c r="N909" t="s">
        <v>1094</v>
      </c>
      <c r="O909">
        <f>Table1[[#This Row],[Unit_Price]]*Table1[[#This Row],[Quantity]]</f>
        <v>160</v>
      </c>
    </row>
    <row r="910" spans="1:15" x14ac:dyDescent="0.3">
      <c r="A910" t="s">
        <v>2524</v>
      </c>
      <c r="B910" t="s">
        <v>1111</v>
      </c>
      <c r="C910" t="s">
        <v>205</v>
      </c>
      <c r="D910" t="s">
        <v>1080</v>
      </c>
      <c r="E910">
        <v>1</v>
      </c>
      <c r="F910">
        <f>_xlfn.XLOOKUP(Table1[[#This Row],[ProductID]],Products!A:A,Products!D:D,,0)</f>
        <v>45</v>
      </c>
      <c r="I910">
        <v>249</v>
      </c>
      <c r="J910">
        <v>199</v>
      </c>
      <c r="K910" t="s">
        <v>1097</v>
      </c>
      <c r="L910">
        <v>199</v>
      </c>
      <c r="M910" t="s">
        <v>1098</v>
      </c>
      <c r="N910" t="s">
        <v>1123</v>
      </c>
      <c r="O910">
        <f>Table1[[#This Row],[Unit_Price]]*Table1[[#This Row],[Quantity]]</f>
        <v>45</v>
      </c>
    </row>
    <row r="911" spans="1:15" x14ac:dyDescent="0.3">
      <c r="A911" t="s">
        <v>2525</v>
      </c>
      <c r="B911" t="s">
        <v>2526</v>
      </c>
      <c r="C911" t="s">
        <v>661</v>
      </c>
      <c r="D911" t="s">
        <v>1068</v>
      </c>
      <c r="E911">
        <v>1</v>
      </c>
      <c r="F911">
        <f>_xlfn.XLOOKUP(Table1[[#This Row],[ProductID]],Products!A:A,Products!D:D,,0)</f>
        <v>180</v>
      </c>
      <c r="I911">
        <v>449</v>
      </c>
      <c r="J911">
        <v>449</v>
      </c>
      <c r="K911" t="s">
        <v>1102</v>
      </c>
      <c r="L911">
        <v>449</v>
      </c>
      <c r="M911" t="s">
        <v>1098</v>
      </c>
      <c r="N911" t="s">
        <v>1099</v>
      </c>
      <c r="O911">
        <f>Table1[[#This Row],[Unit_Price]]*Table1[[#This Row],[Quantity]]</f>
        <v>180</v>
      </c>
    </row>
    <row r="912" spans="1:15" x14ac:dyDescent="0.3">
      <c r="A912" t="s">
        <v>2527</v>
      </c>
      <c r="B912" t="s">
        <v>1701</v>
      </c>
      <c r="C912" t="s">
        <v>65</v>
      </c>
      <c r="D912" t="s">
        <v>1062</v>
      </c>
      <c r="E912">
        <v>2</v>
      </c>
      <c r="F912">
        <f>_xlfn.XLOOKUP(Table1[[#This Row],[ProductID]],Products!A:A,Products!D:D,,0)</f>
        <v>95</v>
      </c>
      <c r="I912">
        <v>349</v>
      </c>
      <c r="J912">
        <v>349</v>
      </c>
      <c r="K912" t="s">
        <v>1102</v>
      </c>
      <c r="L912">
        <v>698</v>
      </c>
      <c r="M912" t="s">
        <v>1098</v>
      </c>
      <c r="N912" t="s">
        <v>1099</v>
      </c>
      <c r="O912">
        <f>Table1[[#This Row],[Unit_Price]]*Table1[[#This Row],[Quantity]]</f>
        <v>190</v>
      </c>
    </row>
    <row r="913" spans="1:15" x14ac:dyDescent="0.3">
      <c r="A913" t="s">
        <v>2528</v>
      </c>
      <c r="B913" t="s">
        <v>2529</v>
      </c>
      <c r="C913" t="s">
        <v>631</v>
      </c>
      <c r="D913" t="s">
        <v>1066</v>
      </c>
      <c r="E913">
        <v>2</v>
      </c>
      <c r="F913">
        <f>_xlfn.XLOOKUP(Table1[[#This Row],[ProductID]],Products!A:A,Products!D:D,,0)</f>
        <v>140</v>
      </c>
      <c r="I913">
        <v>499</v>
      </c>
      <c r="J913">
        <v>399</v>
      </c>
      <c r="K913" t="s">
        <v>1097</v>
      </c>
      <c r="L913">
        <v>798</v>
      </c>
      <c r="M913" t="s">
        <v>1093</v>
      </c>
      <c r="N913" t="s">
        <v>1094</v>
      </c>
      <c r="O913">
        <f>Table1[[#This Row],[Unit_Price]]*Table1[[#This Row],[Quantity]]</f>
        <v>280</v>
      </c>
    </row>
    <row r="914" spans="1:15" x14ac:dyDescent="0.3">
      <c r="A914" t="s">
        <v>2530</v>
      </c>
      <c r="B914" t="s">
        <v>2078</v>
      </c>
      <c r="C914" t="s">
        <v>783</v>
      </c>
      <c r="D914" t="s">
        <v>1068</v>
      </c>
      <c r="E914">
        <v>1</v>
      </c>
      <c r="F914">
        <f>_xlfn.XLOOKUP(Table1[[#This Row],[ProductID]],Products!A:A,Products!D:D,,0)</f>
        <v>180</v>
      </c>
      <c r="I914">
        <v>449</v>
      </c>
      <c r="J914">
        <v>359</v>
      </c>
      <c r="K914" t="s">
        <v>1097</v>
      </c>
      <c r="L914">
        <v>359</v>
      </c>
      <c r="M914" t="s">
        <v>1126</v>
      </c>
      <c r="N914" t="s">
        <v>1099</v>
      </c>
      <c r="O914">
        <f>Table1[[#This Row],[Unit_Price]]*Table1[[#This Row],[Quantity]]</f>
        <v>180</v>
      </c>
    </row>
    <row r="915" spans="1:15" x14ac:dyDescent="0.3">
      <c r="A915" t="s">
        <v>2531</v>
      </c>
      <c r="B915" t="s">
        <v>2229</v>
      </c>
      <c r="C915" t="s">
        <v>855</v>
      </c>
      <c r="D915" t="s">
        <v>1048</v>
      </c>
      <c r="E915">
        <v>1</v>
      </c>
      <c r="F915">
        <f>_xlfn.XLOOKUP(Table1[[#This Row],[ProductID]],Products!A:A,Products!D:D,,0)</f>
        <v>120</v>
      </c>
      <c r="I915">
        <v>599</v>
      </c>
      <c r="J915">
        <v>479</v>
      </c>
      <c r="K915" t="s">
        <v>1097</v>
      </c>
      <c r="L915">
        <v>479</v>
      </c>
      <c r="M915" t="s">
        <v>1098</v>
      </c>
      <c r="N915" t="s">
        <v>1099</v>
      </c>
      <c r="O915">
        <f>Table1[[#This Row],[Unit_Price]]*Table1[[#This Row],[Quantity]]</f>
        <v>120</v>
      </c>
    </row>
    <row r="916" spans="1:15" x14ac:dyDescent="0.3">
      <c r="A916" t="s">
        <v>2532</v>
      </c>
      <c r="B916" t="s">
        <v>1211</v>
      </c>
      <c r="C916" t="s">
        <v>1037</v>
      </c>
      <c r="D916" t="s">
        <v>1066</v>
      </c>
      <c r="E916">
        <v>2</v>
      </c>
      <c r="F916">
        <f>_xlfn.XLOOKUP(Table1[[#This Row],[ProductID]],Products!A:A,Products!D:D,,0)</f>
        <v>140</v>
      </c>
      <c r="I916">
        <v>499</v>
      </c>
      <c r="J916">
        <v>449</v>
      </c>
      <c r="K916" t="s">
        <v>1107</v>
      </c>
      <c r="L916">
        <v>898</v>
      </c>
      <c r="M916" t="s">
        <v>1093</v>
      </c>
      <c r="N916" t="s">
        <v>1099</v>
      </c>
      <c r="O916">
        <f>Table1[[#This Row],[Unit_Price]]*Table1[[#This Row],[Quantity]]</f>
        <v>280</v>
      </c>
    </row>
    <row r="917" spans="1:15" x14ac:dyDescent="0.3">
      <c r="A917" t="s">
        <v>2533</v>
      </c>
      <c r="B917" t="s">
        <v>1351</v>
      </c>
      <c r="C917" t="s">
        <v>215</v>
      </c>
      <c r="D917" t="s">
        <v>1057</v>
      </c>
      <c r="E917">
        <v>3</v>
      </c>
      <c r="F917">
        <f>_xlfn.XLOOKUP(Table1[[#This Row],[ProductID]],Products!A:A,Products!D:D,,0)</f>
        <v>130</v>
      </c>
      <c r="I917">
        <v>549</v>
      </c>
      <c r="J917">
        <v>439</v>
      </c>
      <c r="K917" t="s">
        <v>1097</v>
      </c>
      <c r="L917">
        <v>1317</v>
      </c>
      <c r="M917" t="s">
        <v>1118</v>
      </c>
      <c r="N917" t="s">
        <v>1099</v>
      </c>
      <c r="O917">
        <f>Table1[[#This Row],[Unit_Price]]*Table1[[#This Row],[Quantity]]</f>
        <v>390</v>
      </c>
    </row>
    <row r="918" spans="1:15" x14ac:dyDescent="0.3">
      <c r="A918" t="s">
        <v>2534</v>
      </c>
      <c r="B918" t="s">
        <v>2535</v>
      </c>
      <c r="C918" t="s">
        <v>557</v>
      </c>
      <c r="D918" t="s">
        <v>1057</v>
      </c>
      <c r="E918">
        <v>1</v>
      </c>
      <c r="F918">
        <f>_xlfn.XLOOKUP(Table1[[#This Row],[ProductID]],Products!A:A,Products!D:D,,0)</f>
        <v>130</v>
      </c>
      <c r="I918">
        <v>549</v>
      </c>
      <c r="J918">
        <v>439</v>
      </c>
      <c r="K918" t="s">
        <v>1097</v>
      </c>
      <c r="L918">
        <v>439</v>
      </c>
      <c r="M918" t="s">
        <v>1098</v>
      </c>
      <c r="N918" t="s">
        <v>1099</v>
      </c>
      <c r="O918">
        <f>Table1[[#This Row],[Unit_Price]]*Table1[[#This Row],[Quantity]]</f>
        <v>130</v>
      </c>
    </row>
    <row r="919" spans="1:15" x14ac:dyDescent="0.3">
      <c r="A919" t="s">
        <v>2536</v>
      </c>
      <c r="B919" t="s">
        <v>1215</v>
      </c>
      <c r="C919" t="s">
        <v>451</v>
      </c>
      <c r="D919" t="s">
        <v>1068</v>
      </c>
      <c r="E919">
        <v>1</v>
      </c>
      <c r="F919">
        <f>_xlfn.XLOOKUP(Table1[[#This Row],[ProductID]],Products!A:A,Products!D:D,,0)</f>
        <v>180</v>
      </c>
      <c r="I919">
        <v>449</v>
      </c>
      <c r="J919">
        <v>382</v>
      </c>
      <c r="K919" t="s">
        <v>1092</v>
      </c>
      <c r="L919">
        <v>382</v>
      </c>
      <c r="M919" t="s">
        <v>1126</v>
      </c>
      <c r="N919" t="s">
        <v>1099</v>
      </c>
      <c r="O919">
        <f>Table1[[#This Row],[Unit_Price]]*Table1[[#This Row],[Quantity]]</f>
        <v>180</v>
      </c>
    </row>
    <row r="920" spans="1:15" x14ac:dyDescent="0.3">
      <c r="A920" t="s">
        <v>2537</v>
      </c>
      <c r="B920" t="s">
        <v>1707</v>
      </c>
      <c r="C920" t="s">
        <v>561</v>
      </c>
      <c r="D920" t="s">
        <v>1053</v>
      </c>
      <c r="E920">
        <v>2</v>
      </c>
      <c r="F920">
        <f>_xlfn.XLOOKUP(Table1[[#This Row],[ProductID]],Products!A:A,Products!D:D,,0)</f>
        <v>200</v>
      </c>
      <c r="I920">
        <v>899</v>
      </c>
      <c r="J920">
        <v>899</v>
      </c>
      <c r="K920" t="s">
        <v>1102</v>
      </c>
      <c r="L920">
        <v>1798</v>
      </c>
      <c r="M920" t="s">
        <v>1098</v>
      </c>
      <c r="N920" t="s">
        <v>1123</v>
      </c>
      <c r="O920">
        <f>Table1[[#This Row],[Unit_Price]]*Table1[[#This Row],[Quantity]]</f>
        <v>400</v>
      </c>
    </row>
    <row r="921" spans="1:15" x14ac:dyDescent="0.3">
      <c r="A921" t="s">
        <v>2538</v>
      </c>
      <c r="B921" t="s">
        <v>2539</v>
      </c>
      <c r="C921" t="s">
        <v>785</v>
      </c>
      <c r="D921" t="s">
        <v>1071</v>
      </c>
      <c r="E921">
        <v>4</v>
      </c>
      <c r="F921">
        <f>_xlfn.XLOOKUP(Table1[[#This Row],[ProductID]],Products!A:A,Products!D:D,,0)</f>
        <v>125</v>
      </c>
      <c r="I921">
        <v>399</v>
      </c>
      <c r="J921">
        <v>399</v>
      </c>
      <c r="K921" t="s">
        <v>1102</v>
      </c>
      <c r="L921">
        <v>1596</v>
      </c>
      <c r="M921" t="s">
        <v>1093</v>
      </c>
      <c r="N921" t="s">
        <v>1099</v>
      </c>
      <c r="O921">
        <f>Table1[[#This Row],[Unit_Price]]*Table1[[#This Row],[Quantity]]</f>
        <v>500</v>
      </c>
    </row>
    <row r="922" spans="1:15" x14ac:dyDescent="0.3">
      <c r="A922" t="s">
        <v>2540</v>
      </c>
      <c r="B922" t="s">
        <v>2541</v>
      </c>
      <c r="C922" t="s">
        <v>118</v>
      </c>
      <c r="D922" t="s">
        <v>1062</v>
      </c>
      <c r="E922">
        <v>1</v>
      </c>
      <c r="F922">
        <f>_xlfn.XLOOKUP(Table1[[#This Row],[ProductID]],Products!A:A,Products!D:D,,0)</f>
        <v>95</v>
      </c>
      <c r="I922">
        <v>349</v>
      </c>
      <c r="J922">
        <v>314</v>
      </c>
      <c r="K922" t="s">
        <v>1107</v>
      </c>
      <c r="L922">
        <v>314</v>
      </c>
      <c r="M922" t="s">
        <v>1098</v>
      </c>
      <c r="N922" t="s">
        <v>1099</v>
      </c>
      <c r="O922">
        <f>Table1[[#This Row],[Unit_Price]]*Table1[[#This Row],[Quantity]]</f>
        <v>95</v>
      </c>
    </row>
    <row r="923" spans="1:15" x14ac:dyDescent="0.3">
      <c r="A923" t="s">
        <v>2542</v>
      </c>
      <c r="B923" t="s">
        <v>2184</v>
      </c>
      <c r="C923" t="s">
        <v>677</v>
      </c>
      <c r="D923" t="s">
        <v>1048</v>
      </c>
      <c r="E923">
        <v>1</v>
      </c>
      <c r="F923">
        <f>_xlfn.XLOOKUP(Table1[[#This Row],[ProductID]],Products!A:A,Products!D:D,,0)</f>
        <v>120</v>
      </c>
      <c r="I923">
        <v>599</v>
      </c>
      <c r="J923">
        <v>539</v>
      </c>
      <c r="K923" t="s">
        <v>1107</v>
      </c>
      <c r="L923">
        <v>539</v>
      </c>
      <c r="M923" t="s">
        <v>1093</v>
      </c>
      <c r="N923" t="s">
        <v>1094</v>
      </c>
      <c r="O923">
        <f>Table1[[#This Row],[Unit_Price]]*Table1[[#This Row],[Quantity]]</f>
        <v>120</v>
      </c>
    </row>
    <row r="924" spans="1:15" x14ac:dyDescent="0.3">
      <c r="A924" t="s">
        <v>2543</v>
      </c>
      <c r="B924" t="s">
        <v>2544</v>
      </c>
      <c r="C924" t="s">
        <v>145</v>
      </c>
      <c r="D924" t="s">
        <v>1066</v>
      </c>
      <c r="E924">
        <v>1</v>
      </c>
      <c r="F924">
        <f>_xlfn.XLOOKUP(Table1[[#This Row],[ProductID]],Products!A:A,Products!D:D,,0)</f>
        <v>140</v>
      </c>
      <c r="I924">
        <v>499</v>
      </c>
      <c r="J924">
        <v>449</v>
      </c>
      <c r="K924" t="s">
        <v>1107</v>
      </c>
      <c r="L924">
        <v>449</v>
      </c>
      <c r="M924" t="s">
        <v>1126</v>
      </c>
      <c r="N924" t="s">
        <v>1099</v>
      </c>
      <c r="O924">
        <f>Table1[[#This Row],[Unit_Price]]*Table1[[#This Row],[Quantity]]</f>
        <v>140</v>
      </c>
    </row>
    <row r="925" spans="1:15" x14ac:dyDescent="0.3">
      <c r="A925" t="s">
        <v>2545</v>
      </c>
      <c r="B925" t="s">
        <v>2231</v>
      </c>
      <c r="C925" t="s">
        <v>120</v>
      </c>
      <c r="D925" t="s">
        <v>1048</v>
      </c>
      <c r="E925">
        <v>2</v>
      </c>
      <c r="F925">
        <f>_xlfn.XLOOKUP(Table1[[#This Row],[ProductID]],Products!A:A,Products!D:D,,0)</f>
        <v>120</v>
      </c>
      <c r="I925">
        <v>599</v>
      </c>
      <c r="J925">
        <v>539</v>
      </c>
      <c r="K925" t="s">
        <v>1107</v>
      </c>
      <c r="L925">
        <v>1078</v>
      </c>
      <c r="M925" t="s">
        <v>1098</v>
      </c>
      <c r="N925" t="s">
        <v>1099</v>
      </c>
      <c r="O925">
        <f>Table1[[#This Row],[Unit_Price]]*Table1[[#This Row],[Quantity]]</f>
        <v>240</v>
      </c>
    </row>
    <row r="926" spans="1:15" x14ac:dyDescent="0.3">
      <c r="A926" t="s">
        <v>2546</v>
      </c>
      <c r="B926" t="s">
        <v>2418</v>
      </c>
      <c r="C926" t="s">
        <v>515</v>
      </c>
      <c r="D926" t="s">
        <v>1080</v>
      </c>
      <c r="E926">
        <v>1</v>
      </c>
      <c r="F926">
        <f>_xlfn.XLOOKUP(Table1[[#This Row],[ProductID]],Products!A:A,Products!D:D,,0)</f>
        <v>45</v>
      </c>
      <c r="I926">
        <v>249</v>
      </c>
      <c r="J926">
        <v>224</v>
      </c>
      <c r="K926" t="s">
        <v>1107</v>
      </c>
      <c r="L926">
        <v>224</v>
      </c>
      <c r="M926" t="s">
        <v>1093</v>
      </c>
      <c r="N926" t="s">
        <v>1099</v>
      </c>
      <c r="O926">
        <f>Table1[[#This Row],[Unit_Price]]*Table1[[#This Row],[Quantity]]</f>
        <v>45</v>
      </c>
    </row>
    <row r="927" spans="1:15" x14ac:dyDescent="0.3">
      <c r="A927" t="s">
        <v>2547</v>
      </c>
      <c r="B927" t="s">
        <v>1859</v>
      </c>
      <c r="C927" t="s">
        <v>707</v>
      </c>
      <c r="D927" t="s">
        <v>1055</v>
      </c>
      <c r="E927">
        <v>2</v>
      </c>
      <c r="F927">
        <f>_xlfn.XLOOKUP(Table1[[#This Row],[ProductID]],Products!A:A,Products!D:D,,0)</f>
        <v>75</v>
      </c>
      <c r="I927">
        <v>299</v>
      </c>
      <c r="J927">
        <v>254</v>
      </c>
      <c r="K927" t="s">
        <v>1092</v>
      </c>
      <c r="L927">
        <v>508</v>
      </c>
      <c r="M927" t="s">
        <v>1098</v>
      </c>
      <c r="N927" t="s">
        <v>1099</v>
      </c>
      <c r="O927">
        <f>Table1[[#This Row],[Unit_Price]]*Table1[[#This Row],[Quantity]]</f>
        <v>150</v>
      </c>
    </row>
    <row r="928" spans="1:15" x14ac:dyDescent="0.3">
      <c r="A928" t="s">
        <v>2548</v>
      </c>
      <c r="B928" t="s">
        <v>2549</v>
      </c>
      <c r="C928" t="s">
        <v>233</v>
      </c>
      <c r="D928" t="s">
        <v>1048</v>
      </c>
      <c r="E928">
        <v>2</v>
      </c>
      <c r="F928">
        <f>_xlfn.XLOOKUP(Table1[[#This Row],[ProductID]],Products!A:A,Products!D:D,,0)</f>
        <v>120</v>
      </c>
      <c r="I928">
        <v>599</v>
      </c>
      <c r="J928">
        <v>539</v>
      </c>
      <c r="K928" t="s">
        <v>1107</v>
      </c>
      <c r="L928">
        <v>1078</v>
      </c>
      <c r="M928" t="s">
        <v>1098</v>
      </c>
      <c r="N928" t="s">
        <v>1099</v>
      </c>
      <c r="O928">
        <f>Table1[[#This Row],[Unit_Price]]*Table1[[#This Row],[Quantity]]</f>
        <v>240</v>
      </c>
    </row>
    <row r="929" spans="1:15" x14ac:dyDescent="0.3">
      <c r="A929" t="s">
        <v>2550</v>
      </c>
      <c r="B929" t="s">
        <v>2312</v>
      </c>
      <c r="C929" t="s">
        <v>171</v>
      </c>
      <c r="D929" t="s">
        <v>1064</v>
      </c>
      <c r="E929">
        <v>1</v>
      </c>
      <c r="F929">
        <f>_xlfn.XLOOKUP(Table1[[#This Row],[ProductID]],Products!A:A,Products!D:D,,0)</f>
        <v>160</v>
      </c>
      <c r="I929">
        <v>699</v>
      </c>
      <c r="J929">
        <v>559</v>
      </c>
      <c r="K929" t="s">
        <v>1097</v>
      </c>
      <c r="L929">
        <v>559</v>
      </c>
      <c r="M929" t="s">
        <v>1093</v>
      </c>
      <c r="N929" t="s">
        <v>1094</v>
      </c>
      <c r="O929">
        <f>Table1[[#This Row],[Unit_Price]]*Table1[[#This Row],[Quantity]]</f>
        <v>160</v>
      </c>
    </row>
    <row r="930" spans="1:15" x14ac:dyDescent="0.3">
      <c r="A930" t="s">
        <v>2551</v>
      </c>
      <c r="B930" t="s">
        <v>1772</v>
      </c>
      <c r="C930" t="s">
        <v>507</v>
      </c>
      <c r="D930" t="s">
        <v>1059</v>
      </c>
      <c r="E930">
        <v>3</v>
      </c>
      <c r="F930">
        <f>_xlfn.XLOOKUP(Table1[[#This Row],[ProductID]],Products!A:A,Products!D:D,,0)</f>
        <v>110</v>
      </c>
      <c r="I930">
        <v>399</v>
      </c>
      <c r="J930">
        <v>319</v>
      </c>
      <c r="K930" t="s">
        <v>1097</v>
      </c>
      <c r="L930">
        <v>957</v>
      </c>
      <c r="M930" t="s">
        <v>1098</v>
      </c>
      <c r="N930" t="s">
        <v>1099</v>
      </c>
      <c r="O930">
        <f>Table1[[#This Row],[Unit_Price]]*Table1[[#This Row],[Quantity]]</f>
        <v>330</v>
      </c>
    </row>
    <row r="931" spans="1:15" x14ac:dyDescent="0.3">
      <c r="A931" t="s">
        <v>2552</v>
      </c>
      <c r="B931" t="s">
        <v>2072</v>
      </c>
      <c r="C931" t="s">
        <v>199</v>
      </c>
      <c r="D931" t="s">
        <v>1059</v>
      </c>
      <c r="E931">
        <v>3</v>
      </c>
      <c r="F931">
        <f>_xlfn.XLOOKUP(Table1[[#This Row],[ProductID]],Products!A:A,Products!D:D,,0)</f>
        <v>110</v>
      </c>
      <c r="I931">
        <v>399</v>
      </c>
      <c r="J931">
        <v>319</v>
      </c>
      <c r="K931" t="s">
        <v>1097</v>
      </c>
      <c r="L931">
        <v>957</v>
      </c>
      <c r="M931" t="s">
        <v>1126</v>
      </c>
      <c r="N931" t="s">
        <v>1099</v>
      </c>
      <c r="O931">
        <f>Table1[[#This Row],[Unit_Price]]*Table1[[#This Row],[Quantity]]</f>
        <v>330</v>
      </c>
    </row>
    <row r="932" spans="1:15" x14ac:dyDescent="0.3">
      <c r="A932" t="s">
        <v>2553</v>
      </c>
      <c r="B932" t="s">
        <v>2078</v>
      </c>
      <c r="C932" t="s">
        <v>793</v>
      </c>
      <c r="D932" t="s">
        <v>1078</v>
      </c>
      <c r="E932">
        <v>3</v>
      </c>
      <c r="F932">
        <f>_xlfn.XLOOKUP(Table1[[#This Row],[ProductID]],Products!A:A,Products!D:D,,0)</f>
        <v>80</v>
      </c>
      <c r="I932">
        <v>499</v>
      </c>
      <c r="J932">
        <v>399</v>
      </c>
      <c r="K932" t="s">
        <v>1097</v>
      </c>
      <c r="L932">
        <v>1197</v>
      </c>
      <c r="M932" t="s">
        <v>1118</v>
      </c>
      <c r="N932" t="s">
        <v>1099</v>
      </c>
      <c r="O932">
        <f>Table1[[#This Row],[Unit_Price]]*Table1[[#This Row],[Quantity]]</f>
        <v>240</v>
      </c>
    </row>
    <row r="933" spans="1:15" x14ac:dyDescent="0.3">
      <c r="A933" t="s">
        <v>2554</v>
      </c>
      <c r="B933" t="s">
        <v>2555</v>
      </c>
      <c r="C933" t="s">
        <v>25</v>
      </c>
      <c r="D933" t="s">
        <v>1080</v>
      </c>
      <c r="E933">
        <v>2</v>
      </c>
      <c r="F933">
        <f>_xlfn.XLOOKUP(Table1[[#This Row],[ProductID]],Products!A:A,Products!D:D,,0)</f>
        <v>45</v>
      </c>
      <c r="I933">
        <v>249</v>
      </c>
      <c r="J933">
        <v>212</v>
      </c>
      <c r="K933" t="s">
        <v>1092</v>
      </c>
      <c r="L933">
        <v>424</v>
      </c>
      <c r="M933" t="s">
        <v>1126</v>
      </c>
      <c r="N933" t="s">
        <v>1099</v>
      </c>
      <c r="O933">
        <f>Table1[[#This Row],[Unit_Price]]*Table1[[#This Row],[Quantity]]</f>
        <v>90</v>
      </c>
    </row>
    <row r="934" spans="1:15" x14ac:dyDescent="0.3">
      <c r="A934" t="s">
        <v>2556</v>
      </c>
      <c r="B934" t="s">
        <v>2557</v>
      </c>
      <c r="C934" t="s">
        <v>63</v>
      </c>
      <c r="D934" t="s">
        <v>1057</v>
      </c>
      <c r="E934">
        <v>1</v>
      </c>
      <c r="F934">
        <f>_xlfn.XLOOKUP(Table1[[#This Row],[ProductID]],Products!A:A,Products!D:D,,0)</f>
        <v>130</v>
      </c>
      <c r="I934">
        <v>549</v>
      </c>
      <c r="J934">
        <v>467</v>
      </c>
      <c r="K934" t="s">
        <v>1092</v>
      </c>
      <c r="L934">
        <v>467</v>
      </c>
      <c r="M934" t="s">
        <v>1093</v>
      </c>
      <c r="N934" t="s">
        <v>1094</v>
      </c>
      <c r="O934">
        <f>Table1[[#This Row],[Unit_Price]]*Table1[[#This Row],[Quantity]]</f>
        <v>130</v>
      </c>
    </row>
    <row r="935" spans="1:15" x14ac:dyDescent="0.3">
      <c r="A935" t="s">
        <v>2558</v>
      </c>
      <c r="B935" t="s">
        <v>2559</v>
      </c>
      <c r="C935" t="s">
        <v>947</v>
      </c>
      <c r="D935" t="s">
        <v>1059</v>
      </c>
      <c r="E935">
        <v>2</v>
      </c>
      <c r="F935">
        <f>_xlfn.XLOOKUP(Table1[[#This Row],[ProductID]],Products!A:A,Products!D:D,,0)</f>
        <v>110</v>
      </c>
      <c r="I935">
        <v>399</v>
      </c>
      <c r="J935">
        <v>399</v>
      </c>
      <c r="K935" t="s">
        <v>1102</v>
      </c>
      <c r="L935">
        <v>798</v>
      </c>
      <c r="M935" t="s">
        <v>1093</v>
      </c>
      <c r="N935" t="s">
        <v>1099</v>
      </c>
      <c r="O935">
        <f>Table1[[#This Row],[Unit_Price]]*Table1[[#This Row],[Quantity]]</f>
        <v>220</v>
      </c>
    </row>
    <row r="936" spans="1:15" x14ac:dyDescent="0.3">
      <c r="A936" t="s">
        <v>2560</v>
      </c>
      <c r="B936" t="s">
        <v>2438</v>
      </c>
      <c r="C936" t="s">
        <v>783</v>
      </c>
      <c r="D936" t="s">
        <v>1048</v>
      </c>
      <c r="E936">
        <v>1</v>
      </c>
      <c r="F936">
        <f>_xlfn.XLOOKUP(Table1[[#This Row],[ProductID]],Products!A:A,Products!D:D,,0)</f>
        <v>120</v>
      </c>
      <c r="I936">
        <v>599</v>
      </c>
      <c r="J936">
        <v>599</v>
      </c>
      <c r="K936" t="s">
        <v>1102</v>
      </c>
      <c r="L936">
        <v>599</v>
      </c>
      <c r="M936" t="s">
        <v>1126</v>
      </c>
      <c r="N936" t="s">
        <v>1099</v>
      </c>
      <c r="O936">
        <f>Table1[[#This Row],[Unit_Price]]*Table1[[#This Row],[Quantity]]</f>
        <v>120</v>
      </c>
    </row>
    <row r="937" spans="1:15" x14ac:dyDescent="0.3">
      <c r="A937" t="s">
        <v>2561</v>
      </c>
      <c r="B937" t="s">
        <v>2337</v>
      </c>
      <c r="C937" t="s">
        <v>827</v>
      </c>
      <c r="D937" t="s">
        <v>1048</v>
      </c>
      <c r="E937">
        <v>2</v>
      </c>
      <c r="F937">
        <f>_xlfn.XLOOKUP(Table1[[#This Row],[ProductID]],Products!A:A,Products!D:D,,0)</f>
        <v>120</v>
      </c>
      <c r="I937">
        <v>599</v>
      </c>
      <c r="J937">
        <v>599</v>
      </c>
      <c r="K937" t="s">
        <v>1102</v>
      </c>
      <c r="L937">
        <v>1198</v>
      </c>
      <c r="M937" t="s">
        <v>1093</v>
      </c>
      <c r="N937" t="s">
        <v>1099</v>
      </c>
      <c r="O937">
        <f>Table1[[#This Row],[Unit_Price]]*Table1[[#This Row],[Quantity]]</f>
        <v>240</v>
      </c>
    </row>
    <row r="938" spans="1:15" x14ac:dyDescent="0.3">
      <c r="A938" t="s">
        <v>2562</v>
      </c>
      <c r="B938" t="s">
        <v>2563</v>
      </c>
      <c r="C938" t="s">
        <v>765</v>
      </c>
      <c r="D938" t="s">
        <v>1071</v>
      </c>
      <c r="E938">
        <v>1</v>
      </c>
      <c r="F938">
        <f>_xlfn.XLOOKUP(Table1[[#This Row],[ProductID]],Products!A:A,Products!D:D,,0)</f>
        <v>125</v>
      </c>
      <c r="I938">
        <v>399</v>
      </c>
      <c r="J938">
        <v>359</v>
      </c>
      <c r="K938" t="s">
        <v>1107</v>
      </c>
      <c r="L938">
        <v>359</v>
      </c>
      <c r="M938" t="s">
        <v>1126</v>
      </c>
      <c r="N938" t="s">
        <v>1099</v>
      </c>
      <c r="O938">
        <f>Table1[[#This Row],[Unit_Price]]*Table1[[#This Row],[Quantity]]</f>
        <v>125</v>
      </c>
    </row>
    <row r="939" spans="1:15" x14ac:dyDescent="0.3">
      <c r="A939" t="s">
        <v>2564</v>
      </c>
      <c r="B939" t="s">
        <v>2565</v>
      </c>
      <c r="C939" t="s">
        <v>663</v>
      </c>
      <c r="D939" t="s">
        <v>1064</v>
      </c>
      <c r="E939">
        <v>1</v>
      </c>
      <c r="F939">
        <f>_xlfn.XLOOKUP(Table1[[#This Row],[ProductID]],Products!A:A,Products!D:D,,0)</f>
        <v>160</v>
      </c>
      <c r="I939">
        <v>699</v>
      </c>
      <c r="J939">
        <v>629</v>
      </c>
      <c r="K939" t="s">
        <v>1107</v>
      </c>
      <c r="L939">
        <v>629</v>
      </c>
      <c r="M939" t="s">
        <v>1093</v>
      </c>
      <c r="N939" t="s">
        <v>1099</v>
      </c>
      <c r="O939">
        <f>Table1[[#This Row],[Unit_Price]]*Table1[[#This Row],[Quantity]]</f>
        <v>160</v>
      </c>
    </row>
    <row r="940" spans="1:15" x14ac:dyDescent="0.3">
      <c r="A940" t="s">
        <v>2566</v>
      </c>
      <c r="B940" t="s">
        <v>1308</v>
      </c>
      <c r="C940" t="s">
        <v>639</v>
      </c>
      <c r="D940" t="s">
        <v>1051</v>
      </c>
      <c r="E940">
        <v>1</v>
      </c>
      <c r="F940">
        <f>_xlfn.XLOOKUP(Table1[[#This Row],[ProductID]],Products!A:A,Products!D:D,,0)</f>
        <v>150</v>
      </c>
      <c r="I940">
        <v>499</v>
      </c>
      <c r="J940">
        <v>399</v>
      </c>
      <c r="K940" t="s">
        <v>1097</v>
      </c>
      <c r="L940">
        <v>399</v>
      </c>
      <c r="M940" t="s">
        <v>1098</v>
      </c>
      <c r="N940" t="s">
        <v>1099</v>
      </c>
      <c r="O940">
        <f>Table1[[#This Row],[Unit_Price]]*Table1[[#This Row],[Quantity]]</f>
        <v>150</v>
      </c>
    </row>
    <row r="941" spans="1:15" x14ac:dyDescent="0.3">
      <c r="A941" t="s">
        <v>2567</v>
      </c>
      <c r="B941" t="s">
        <v>1260</v>
      </c>
      <c r="C941" t="s">
        <v>1017</v>
      </c>
      <c r="D941" t="s">
        <v>1064</v>
      </c>
      <c r="E941">
        <v>2</v>
      </c>
      <c r="F941">
        <f>_xlfn.XLOOKUP(Table1[[#This Row],[ProductID]],Products!A:A,Products!D:D,,0)</f>
        <v>160</v>
      </c>
      <c r="I941">
        <v>699</v>
      </c>
      <c r="J941">
        <v>699</v>
      </c>
      <c r="K941" t="s">
        <v>1102</v>
      </c>
      <c r="L941">
        <v>1398</v>
      </c>
      <c r="M941" t="s">
        <v>1093</v>
      </c>
      <c r="N941" t="s">
        <v>1099</v>
      </c>
      <c r="O941">
        <f>Table1[[#This Row],[Unit_Price]]*Table1[[#This Row],[Quantity]]</f>
        <v>320</v>
      </c>
    </row>
    <row r="942" spans="1:15" x14ac:dyDescent="0.3">
      <c r="A942" t="s">
        <v>2568</v>
      </c>
      <c r="B942" t="s">
        <v>2075</v>
      </c>
      <c r="C942" t="s">
        <v>469</v>
      </c>
      <c r="D942" t="s">
        <v>1057</v>
      </c>
      <c r="E942">
        <v>1</v>
      </c>
      <c r="F942">
        <f>_xlfn.XLOOKUP(Table1[[#This Row],[ProductID]],Products!A:A,Products!D:D,,0)</f>
        <v>130</v>
      </c>
      <c r="I942">
        <v>549</v>
      </c>
      <c r="J942">
        <v>494</v>
      </c>
      <c r="K942" t="s">
        <v>1107</v>
      </c>
      <c r="L942">
        <v>494</v>
      </c>
      <c r="M942" t="s">
        <v>1093</v>
      </c>
      <c r="N942" t="s">
        <v>1099</v>
      </c>
      <c r="O942">
        <f>Table1[[#This Row],[Unit_Price]]*Table1[[#This Row],[Quantity]]</f>
        <v>130</v>
      </c>
    </row>
    <row r="943" spans="1:15" x14ac:dyDescent="0.3">
      <c r="A943" t="s">
        <v>2569</v>
      </c>
      <c r="B943" t="s">
        <v>1394</v>
      </c>
      <c r="C943" t="s">
        <v>801</v>
      </c>
      <c r="D943" t="s">
        <v>1071</v>
      </c>
      <c r="E943">
        <v>3</v>
      </c>
      <c r="F943">
        <f>_xlfn.XLOOKUP(Table1[[#This Row],[ProductID]],Products!A:A,Products!D:D,,0)</f>
        <v>125</v>
      </c>
      <c r="I943">
        <v>399</v>
      </c>
      <c r="J943">
        <v>399</v>
      </c>
      <c r="K943" t="s">
        <v>1102</v>
      </c>
      <c r="L943">
        <v>1197</v>
      </c>
      <c r="M943" t="s">
        <v>1098</v>
      </c>
      <c r="N943" t="s">
        <v>1099</v>
      </c>
      <c r="O943">
        <f>Table1[[#This Row],[Unit_Price]]*Table1[[#This Row],[Quantity]]</f>
        <v>375</v>
      </c>
    </row>
    <row r="944" spans="1:15" x14ac:dyDescent="0.3">
      <c r="A944" t="s">
        <v>2570</v>
      </c>
      <c r="B944" t="s">
        <v>2328</v>
      </c>
      <c r="C944" t="s">
        <v>1041</v>
      </c>
      <c r="D944" t="s">
        <v>1068</v>
      </c>
      <c r="E944">
        <v>2</v>
      </c>
      <c r="F944">
        <f>_xlfn.XLOOKUP(Table1[[#This Row],[ProductID]],Products!A:A,Products!D:D,,0)</f>
        <v>180</v>
      </c>
      <c r="I944">
        <v>449</v>
      </c>
      <c r="J944">
        <v>404</v>
      </c>
      <c r="K944" t="s">
        <v>1107</v>
      </c>
      <c r="L944">
        <v>808</v>
      </c>
      <c r="M944" t="s">
        <v>1098</v>
      </c>
      <c r="N944" t="s">
        <v>1099</v>
      </c>
      <c r="O944">
        <f>Table1[[#This Row],[Unit_Price]]*Table1[[#This Row],[Quantity]]</f>
        <v>360</v>
      </c>
    </row>
    <row r="945" spans="1:15" x14ac:dyDescent="0.3">
      <c r="A945" t="s">
        <v>2571</v>
      </c>
      <c r="B945" t="s">
        <v>2239</v>
      </c>
      <c r="C945" t="s">
        <v>273</v>
      </c>
      <c r="D945" t="s">
        <v>1053</v>
      </c>
      <c r="E945">
        <v>2</v>
      </c>
      <c r="F945">
        <f>_xlfn.XLOOKUP(Table1[[#This Row],[ProductID]],Products!A:A,Products!D:D,,0)</f>
        <v>200</v>
      </c>
      <c r="I945">
        <v>899</v>
      </c>
      <c r="J945">
        <v>899</v>
      </c>
      <c r="K945" t="s">
        <v>1102</v>
      </c>
      <c r="L945">
        <v>1798</v>
      </c>
      <c r="M945" t="s">
        <v>1093</v>
      </c>
      <c r="N945" t="s">
        <v>1099</v>
      </c>
      <c r="O945">
        <f>Table1[[#This Row],[Unit_Price]]*Table1[[#This Row],[Quantity]]</f>
        <v>400</v>
      </c>
    </row>
    <row r="946" spans="1:15" x14ac:dyDescent="0.3">
      <c r="A946" t="s">
        <v>2572</v>
      </c>
      <c r="B946" t="s">
        <v>2573</v>
      </c>
      <c r="C946" t="s">
        <v>42</v>
      </c>
      <c r="D946" t="s">
        <v>1066</v>
      </c>
      <c r="E946">
        <v>3</v>
      </c>
      <c r="F946">
        <f>_xlfn.XLOOKUP(Table1[[#This Row],[ProductID]],Products!A:A,Products!D:D,,0)</f>
        <v>140</v>
      </c>
      <c r="I946">
        <v>499</v>
      </c>
      <c r="J946">
        <v>424</v>
      </c>
      <c r="K946" t="s">
        <v>1092</v>
      </c>
      <c r="L946">
        <v>1272</v>
      </c>
      <c r="M946" t="s">
        <v>1098</v>
      </c>
      <c r="N946" t="s">
        <v>1099</v>
      </c>
      <c r="O946">
        <f>Table1[[#This Row],[Unit_Price]]*Table1[[#This Row],[Quantity]]</f>
        <v>420</v>
      </c>
    </row>
    <row r="947" spans="1:15" x14ac:dyDescent="0.3">
      <c r="A947" t="s">
        <v>2574</v>
      </c>
      <c r="B947" t="s">
        <v>2377</v>
      </c>
      <c r="C947" t="s">
        <v>1009</v>
      </c>
      <c r="D947" t="s">
        <v>1053</v>
      </c>
      <c r="E947">
        <v>2</v>
      </c>
      <c r="F947">
        <f>_xlfn.XLOOKUP(Table1[[#This Row],[ProductID]],Products!A:A,Products!D:D,,0)</f>
        <v>200</v>
      </c>
      <c r="I947">
        <v>899</v>
      </c>
      <c r="J947">
        <v>809</v>
      </c>
      <c r="K947" t="s">
        <v>1107</v>
      </c>
      <c r="L947">
        <v>1618</v>
      </c>
      <c r="M947" t="s">
        <v>1126</v>
      </c>
      <c r="N947" t="s">
        <v>1099</v>
      </c>
      <c r="O947">
        <f>Table1[[#This Row],[Unit_Price]]*Table1[[#This Row],[Quantity]]</f>
        <v>400</v>
      </c>
    </row>
    <row r="948" spans="1:15" x14ac:dyDescent="0.3">
      <c r="A948" t="s">
        <v>2575</v>
      </c>
      <c r="B948" t="s">
        <v>2576</v>
      </c>
      <c r="C948" t="s">
        <v>136</v>
      </c>
      <c r="D948" t="s">
        <v>1064</v>
      </c>
      <c r="E948">
        <v>1</v>
      </c>
      <c r="F948">
        <f>_xlfn.XLOOKUP(Table1[[#This Row],[ProductID]],Products!A:A,Products!D:D,,0)</f>
        <v>160</v>
      </c>
      <c r="I948">
        <v>699</v>
      </c>
      <c r="J948">
        <v>699</v>
      </c>
      <c r="K948" t="s">
        <v>1102</v>
      </c>
      <c r="L948">
        <v>699</v>
      </c>
      <c r="M948" t="s">
        <v>1093</v>
      </c>
      <c r="N948" t="s">
        <v>1099</v>
      </c>
      <c r="O948">
        <f>Table1[[#This Row],[Unit_Price]]*Table1[[#This Row],[Quantity]]</f>
        <v>160</v>
      </c>
    </row>
    <row r="949" spans="1:15" x14ac:dyDescent="0.3">
      <c r="A949" t="s">
        <v>2577</v>
      </c>
      <c r="B949" t="s">
        <v>1091</v>
      </c>
      <c r="C949" t="s">
        <v>855</v>
      </c>
      <c r="D949" t="s">
        <v>1048</v>
      </c>
      <c r="E949">
        <v>1</v>
      </c>
      <c r="F949">
        <f>_xlfn.XLOOKUP(Table1[[#This Row],[ProductID]],Products!A:A,Products!D:D,,0)</f>
        <v>120</v>
      </c>
      <c r="I949">
        <v>599</v>
      </c>
      <c r="J949">
        <v>479</v>
      </c>
      <c r="K949" t="s">
        <v>1097</v>
      </c>
      <c r="L949">
        <v>479</v>
      </c>
      <c r="M949" t="s">
        <v>1098</v>
      </c>
      <c r="N949" t="s">
        <v>1099</v>
      </c>
      <c r="O949">
        <f>Table1[[#This Row],[Unit_Price]]*Table1[[#This Row],[Quantity]]</f>
        <v>120</v>
      </c>
    </row>
    <row r="950" spans="1:15" x14ac:dyDescent="0.3">
      <c r="A950" t="s">
        <v>2578</v>
      </c>
      <c r="B950" t="s">
        <v>1475</v>
      </c>
      <c r="C950" t="s">
        <v>657</v>
      </c>
      <c r="D950" t="s">
        <v>1055</v>
      </c>
      <c r="E950">
        <v>2</v>
      </c>
      <c r="F950">
        <f>_xlfn.XLOOKUP(Table1[[#This Row],[ProductID]],Products!A:A,Products!D:D,,0)</f>
        <v>75</v>
      </c>
      <c r="I950">
        <v>299</v>
      </c>
      <c r="J950">
        <v>269</v>
      </c>
      <c r="K950" t="s">
        <v>1107</v>
      </c>
      <c r="L950">
        <v>538</v>
      </c>
      <c r="M950" t="s">
        <v>1098</v>
      </c>
      <c r="N950" t="s">
        <v>1099</v>
      </c>
      <c r="O950">
        <f>Table1[[#This Row],[Unit_Price]]*Table1[[#This Row],[Quantity]]</f>
        <v>150</v>
      </c>
    </row>
    <row r="951" spans="1:15" x14ac:dyDescent="0.3">
      <c r="A951" t="s">
        <v>2579</v>
      </c>
      <c r="B951" t="s">
        <v>1826</v>
      </c>
      <c r="C951" t="s">
        <v>243</v>
      </c>
      <c r="D951" t="s">
        <v>1071</v>
      </c>
      <c r="E951">
        <v>1</v>
      </c>
      <c r="F951">
        <f>_xlfn.XLOOKUP(Table1[[#This Row],[ProductID]],Products!A:A,Products!D:D,,0)</f>
        <v>125</v>
      </c>
      <c r="I951">
        <v>399</v>
      </c>
      <c r="J951">
        <v>399</v>
      </c>
      <c r="K951" t="s">
        <v>1102</v>
      </c>
      <c r="L951">
        <v>399</v>
      </c>
      <c r="M951" t="s">
        <v>1098</v>
      </c>
      <c r="N951" t="s">
        <v>1099</v>
      </c>
      <c r="O951">
        <f>Table1[[#This Row],[Unit_Price]]*Table1[[#This Row],[Quantity]]</f>
        <v>125</v>
      </c>
    </row>
    <row r="952" spans="1:15" x14ac:dyDescent="0.3">
      <c r="A952" t="s">
        <v>2580</v>
      </c>
      <c r="B952" t="s">
        <v>2581</v>
      </c>
      <c r="C952" t="s">
        <v>693</v>
      </c>
      <c r="D952" t="s">
        <v>1071</v>
      </c>
      <c r="E952">
        <v>1</v>
      </c>
      <c r="F952">
        <f>_xlfn.XLOOKUP(Table1[[#This Row],[ProductID]],Products!A:A,Products!D:D,,0)</f>
        <v>125</v>
      </c>
      <c r="I952">
        <v>399</v>
      </c>
      <c r="J952">
        <v>399</v>
      </c>
      <c r="K952" t="s">
        <v>1102</v>
      </c>
      <c r="L952">
        <v>399</v>
      </c>
      <c r="M952" t="s">
        <v>1098</v>
      </c>
      <c r="N952" t="s">
        <v>1099</v>
      </c>
      <c r="O952">
        <f>Table1[[#This Row],[Unit_Price]]*Table1[[#This Row],[Quantity]]</f>
        <v>125</v>
      </c>
    </row>
    <row r="953" spans="1:15" x14ac:dyDescent="0.3">
      <c r="A953" t="s">
        <v>2582</v>
      </c>
      <c r="B953" t="s">
        <v>2583</v>
      </c>
      <c r="C953" t="s">
        <v>863</v>
      </c>
      <c r="D953" t="s">
        <v>1055</v>
      </c>
      <c r="E953">
        <v>1</v>
      </c>
      <c r="F953">
        <f>_xlfn.XLOOKUP(Table1[[#This Row],[ProductID]],Products!A:A,Products!D:D,,0)</f>
        <v>75</v>
      </c>
      <c r="I953">
        <v>299</v>
      </c>
      <c r="J953">
        <v>269</v>
      </c>
      <c r="K953" t="s">
        <v>1107</v>
      </c>
      <c r="L953">
        <v>269</v>
      </c>
      <c r="M953" t="s">
        <v>1098</v>
      </c>
      <c r="N953" t="s">
        <v>1099</v>
      </c>
      <c r="O953">
        <f>Table1[[#This Row],[Unit_Price]]*Table1[[#This Row],[Quantity]]</f>
        <v>75</v>
      </c>
    </row>
    <row r="954" spans="1:15" x14ac:dyDescent="0.3">
      <c r="A954" t="s">
        <v>2584</v>
      </c>
      <c r="B954" t="s">
        <v>1765</v>
      </c>
      <c r="C954" t="s">
        <v>967</v>
      </c>
      <c r="D954" t="s">
        <v>1078</v>
      </c>
      <c r="E954">
        <v>2</v>
      </c>
      <c r="F954">
        <f>_xlfn.XLOOKUP(Table1[[#This Row],[ProductID]],Products!A:A,Products!D:D,,0)</f>
        <v>80</v>
      </c>
      <c r="I954">
        <v>499</v>
      </c>
      <c r="J954">
        <v>449</v>
      </c>
      <c r="K954" t="s">
        <v>1107</v>
      </c>
      <c r="L954">
        <v>898</v>
      </c>
      <c r="M954" t="s">
        <v>1098</v>
      </c>
      <c r="N954" t="s">
        <v>1099</v>
      </c>
      <c r="O954">
        <f>Table1[[#This Row],[Unit_Price]]*Table1[[#This Row],[Quantity]]</f>
        <v>160</v>
      </c>
    </row>
    <row r="955" spans="1:15" x14ac:dyDescent="0.3">
      <c r="A955" t="s">
        <v>2585</v>
      </c>
      <c r="B955" t="s">
        <v>2586</v>
      </c>
      <c r="C955" t="s">
        <v>339</v>
      </c>
      <c r="D955" t="s">
        <v>1073</v>
      </c>
      <c r="E955">
        <v>1</v>
      </c>
      <c r="F955">
        <f>_xlfn.XLOOKUP(Table1[[#This Row],[ProductID]],Products!A:A,Products!D:D,,0)</f>
        <v>100</v>
      </c>
      <c r="I955">
        <v>349</v>
      </c>
      <c r="J955">
        <v>314</v>
      </c>
      <c r="K955" t="s">
        <v>1107</v>
      </c>
      <c r="L955">
        <v>314</v>
      </c>
      <c r="M955" t="s">
        <v>1098</v>
      </c>
      <c r="N955" t="s">
        <v>1099</v>
      </c>
      <c r="O955">
        <f>Table1[[#This Row],[Unit_Price]]*Table1[[#This Row],[Quantity]]</f>
        <v>100</v>
      </c>
    </row>
    <row r="956" spans="1:15" x14ac:dyDescent="0.3">
      <c r="A956" t="s">
        <v>2587</v>
      </c>
      <c r="B956" t="s">
        <v>2549</v>
      </c>
      <c r="C956" t="s">
        <v>745</v>
      </c>
      <c r="D956" t="s">
        <v>1059</v>
      </c>
      <c r="E956">
        <v>1</v>
      </c>
      <c r="F956">
        <f>_xlfn.XLOOKUP(Table1[[#This Row],[ProductID]],Products!A:A,Products!D:D,,0)</f>
        <v>110</v>
      </c>
      <c r="I956">
        <v>399</v>
      </c>
      <c r="J956">
        <v>339</v>
      </c>
      <c r="K956" t="s">
        <v>1092</v>
      </c>
      <c r="L956">
        <v>339</v>
      </c>
      <c r="M956" t="s">
        <v>1126</v>
      </c>
      <c r="N956" t="s">
        <v>1099</v>
      </c>
      <c r="O956">
        <f>Table1[[#This Row],[Unit_Price]]*Table1[[#This Row],[Quantity]]</f>
        <v>110</v>
      </c>
    </row>
    <row r="957" spans="1:15" x14ac:dyDescent="0.3">
      <c r="A957" t="s">
        <v>2588</v>
      </c>
      <c r="B957" t="s">
        <v>2589</v>
      </c>
      <c r="C957" t="s">
        <v>93</v>
      </c>
      <c r="D957" t="s">
        <v>1062</v>
      </c>
      <c r="E957">
        <v>2</v>
      </c>
      <c r="F957">
        <f>_xlfn.XLOOKUP(Table1[[#This Row],[ProductID]],Products!A:A,Products!D:D,,0)</f>
        <v>95</v>
      </c>
      <c r="I957">
        <v>349</v>
      </c>
      <c r="J957">
        <v>349</v>
      </c>
      <c r="K957" t="s">
        <v>1102</v>
      </c>
      <c r="L957">
        <v>698</v>
      </c>
      <c r="M957" t="s">
        <v>1093</v>
      </c>
      <c r="N957" t="s">
        <v>1094</v>
      </c>
      <c r="O957">
        <f>Table1[[#This Row],[Unit_Price]]*Table1[[#This Row],[Quantity]]</f>
        <v>190</v>
      </c>
    </row>
    <row r="958" spans="1:15" x14ac:dyDescent="0.3">
      <c r="A958" t="s">
        <v>2590</v>
      </c>
      <c r="B958" t="s">
        <v>1482</v>
      </c>
      <c r="C958" t="s">
        <v>557</v>
      </c>
      <c r="D958" t="s">
        <v>1048</v>
      </c>
      <c r="E958">
        <v>1</v>
      </c>
      <c r="F958">
        <f>_xlfn.XLOOKUP(Table1[[#This Row],[ProductID]],Products!A:A,Products!D:D,,0)</f>
        <v>120</v>
      </c>
      <c r="I958">
        <v>599</v>
      </c>
      <c r="J958">
        <v>539</v>
      </c>
      <c r="K958" t="s">
        <v>1107</v>
      </c>
      <c r="L958">
        <v>539</v>
      </c>
      <c r="M958" t="s">
        <v>1098</v>
      </c>
      <c r="N958" t="s">
        <v>1099</v>
      </c>
      <c r="O958">
        <f>Table1[[#This Row],[Unit_Price]]*Table1[[#This Row],[Quantity]]</f>
        <v>120</v>
      </c>
    </row>
    <row r="959" spans="1:15" x14ac:dyDescent="0.3">
      <c r="A959" t="s">
        <v>2591</v>
      </c>
      <c r="B959" t="s">
        <v>1180</v>
      </c>
      <c r="C959" t="s">
        <v>747</v>
      </c>
      <c r="D959" t="s">
        <v>1071</v>
      </c>
      <c r="E959">
        <v>1</v>
      </c>
      <c r="F959">
        <f>_xlfn.XLOOKUP(Table1[[#This Row],[ProductID]],Products!A:A,Products!D:D,,0)</f>
        <v>125</v>
      </c>
      <c r="I959">
        <v>399</v>
      </c>
      <c r="J959">
        <v>399</v>
      </c>
      <c r="K959" t="s">
        <v>1102</v>
      </c>
      <c r="L959">
        <v>399</v>
      </c>
      <c r="M959" t="s">
        <v>1093</v>
      </c>
      <c r="N959" t="s">
        <v>1099</v>
      </c>
      <c r="O959">
        <f>Table1[[#This Row],[Unit_Price]]*Table1[[#This Row],[Quantity]]</f>
        <v>125</v>
      </c>
    </row>
    <row r="960" spans="1:15" x14ac:dyDescent="0.3">
      <c r="A960" t="s">
        <v>2592</v>
      </c>
      <c r="B960" t="s">
        <v>2342</v>
      </c>
      <c r="C960" t="s">
        <v>371</v>
      </c>
      <c r="D960" t="s">
        <v>1071</v>
      </c>
      <c r="E960">
        <v>2</v>
      </c>
      <c r="F960">
        <f>_xlfn.XLOOKUP(Table1[[#This Row],[ProductID]],Products!A:A,Products!D:D,,0)</f>
        <v>125</v>
      </c>
      <c r="I960">
        <v>399</v>
      </c>
      <c r="J960">
        <v>399</v>
      </c>
      <c r="K960" t="s">
        <v>1102</v>
      </c>
      <c r="L960">
        <v>798</v>
      </c>
      <c r="M960" t="s">
        <v>1093</v>
      </c>
      <c r="N960" t="s">
        <v>1123</v>
      </c>
      <c r="O960">
        <f>Table1[[#This Row],[Unit_Price]]*Table1[[#This Row],[Quantity]]</f>
        <v>250</v>
      </c>
    </row>
    <row r="961" spans="1:15" x14ac:dyDescent="0.3">
      <c r="A961" t="s">
        <v>2593</v>
      </c>
      <c r="B961" t="s">
        <v>1459</v>
      </c>
      <c r="C961" t="s">
        <v>595</v>
      </c>
      <c r="D961" t="s">
        <v>1080</v>
      </c>
      <c r="E961">
        <v>1</v>
      </c>
      <c r="F961">
        <f>_xlfn.XLOOKUP(Table1[[#This Row],[ProductID]],Products!A:A,Products!D:D,,0)</f>
        <v>45</v>
      </c>
      <c r="I961">
        <v>249</v>
      </c>
      <c r="J961">
        <v>199</v>
      </c>
      <c r="K961" t="s">
        <v>1097</v>
      </c>
      <c r="L961">
        <v>199</v>
      </c>
      <c r="M961" t="s">
        <v>1093</v>
      </c>
      <c r="N961" t="s">
        <v>1099</v>
      </c>
      <c r="O961">
        <f>Table1[[#This Row],[Unit_Price]]*Table1[[#This Row],[Quantity]]</f>
        <v>45</v>
      </c>
    </row>
    <row r="962" spans="1:15" x14ac:dyDescent="0.3">
      <c r="A962" t="s">
        <v>2594</v>
      </c>
      <c r="B962" t="s">
        <v>1286</v>
      </c>
      <c r="C962" t="s">
        <v>905</v>
      </c>
      <c r="D962" t="s">
        <v>1075</v>
      </c>
      <c r="E962">
        <v>1</v>
      </c>
      <c r="F962">
        <f>_xlfn.XLOOKUP(Table1[[#This Row],[ProductID]],Products!A:A,Products!D:D,,0)</f>
        <v>80</v>
      </c>
      <c r="I962">
        <v>499</v>
      </c>
      <c r="J962">
        <v>499</v>
      </c>
      <c r="K962" t="s">
        <v>1102</v>
      </c>
      <c r="L962">
        <v>499</v>
      </c>
      <c r="M962" t="s">
        <v>1118</v>
      </c>
      <c r="N962" t="s">
        <v>1099</v>
      </c>
      <c r="O962">
        <f>Table1[[#This Row],[Unit_Price]]*Table1[[#This Row],[Quantity]]</f>
        <v>80</v>
      </c>
    </row>
    <row r="963" spans="1:15" x14ac:dyDescent="0.3">
      <c r="A963" t="s">
        <v>2595</v>
      </c>
      <c r="B963" t="s">
        <v>2472</v>
      </c>
      <c r="C963" t="s">
        <v>339</v>
      </c>
      <c r="D963" t="s">
        <v>1075</v>
      </c>
      <c r="E963">
        <v>2</v>
      </c>
      <c r="F963">
        <f>_xlfn.XLOOKUP(Table1[[#This Row],[ProductID]],Products!A:A,Products!D:D,,0)</f>
        <v>80</v>
      </c>
      <c r="I963">
        <v>499</v>
      </c>
      <c r="J963">
        <v>399</v>
      </c>
      <c r="K963" t="s">
        <v>1097</v>
      </c>
      <c r="L963">
        <v>798</v>
      </c>
      <c r="M963" t="s">
        <v>1098</v>
      </c>
      <c r="N963" t="s">
        <v>1099</v>
      </c>
      <c r="O963">
        <f>Table1[[#This Row],[Unit_Price]]*Table1[[#This Row],[Quantity]]</f>
        <v>160</v>
      </c>
    </row>
    <row r="964" spans="1:15" x14ac:dyDescent="0.3">
      <c r="A964" t="s">
        <v>2596</v>
      </c>
      <c r="B964" t="s">
        <v>1359</v>
      </c>
      <c r="C964" t="s">
        <v>257</v>
      </c>
      <c r="D964" t="s">
        <v>1048</v>
      </c>
      <c r="E964">
        <v>2</v>
      </c>
      <c r="F964">
        <f>_xlfn.XLOOKUP(Table1[[#This Row],[ProductID]],Products!A:A,Products!D:D,,0)</f>
        <v>120</v>
      </c>
      <c r="I964">
        <v>599</v>
      </c>
      <c r="J964">
        <v>599</v>
      </c>
      <c r="K964" t="s">
        <v>1102</v>
      </c>
      <c r="L964">
        <v>1198</v>
      </c>
      <c r="M964" t="s">
        <v>1098</v>
      </c>
      <c r="N964" t="s">
        <v>1099</v>
      </c>
      <c r="O964">
        <f>Table1[[#This Row],[Unit_Price]]*Table1[[#This Row],[Quantity]]</f>
        <v>240</v>
      </c>
    </row>
    <row r="965" spans="1:15" x14ac:dyDescent="0.3">
      <c r="A965" t="s">
        <v>2597</v>
      </c>
      <c r="B965" t="s">
        <v>1198</v>
      </c>
      <c r="C965" t="s">
        <v>177</v>
      </c>
      <c r="D965" t="s">
        <v>1064</v>
      </c>
      <c r="E965">
        <v>1</v>
      </c>
      <c r="F965">
        <f>_xlfn.XLOOKUP(Table1[[#This Row],[ProductID]],Products!A:A,Products!D:D,,0)</f>
        <v>160</v>
      </c>
      <c r="I965">
        <v>699</v>
      </c>
      <c r="J965">
        <v>629</v>
      </c>
      <c r="K965" t="s">
        <v>1107</v>
      </c>
      <c r="L965">
        <v>629</v>
      </c>
      <c r="M965" t="s">
        <v>1093</v>
      </c>
      <c r="N965" t="s">
        <v>1099</v>
      </c>
      <c r="O965">
        <f>Table1[[#This Row],[Unit_Price]]*Table1[[#This Row],[Quantity]]</f>
        <v>160</v>
      </c>
    </row>
    <row r="966" spans="1:15" x14ac:dyDescent="0.3">
      <c r="A966" t="s">
        <v>2598</v>
      </c>
      <c r="B966" t="s">
        <v>1400</v>
      </c>
      <c r="C966" t="s">
        <v>223</v>
      </c>
      <c r="D966" t="s">
        <v>1055</v>
      </c>
      <c r="E966">
        <v>1</v>
      </c>
      <c r="F966">
        <f>_xlfn.XLOOKUP(Table1[[#This Row],[ProductID]],Products!A:A,Products!D:D,,0)</f>
        <v>75</v>
      </c>
      <c r="I966">
        <v>299</v>
      </c>
      <c r="J966">
        <v>299</v>
      </c>
      <c r="K966" t="s">
        <v>1102</v>
      </c>
      <c r="L966">
        <v>299</v>
      </c>
      <c r="M966" t="s">
        <v>1093</v>
      </c>
      <c r="N966" t="s">
        <v>1099</v>
      </c>
      <c r="O966">
        <f>Table1[[#This Row],[Unit_Price]]*Table1[[#This Row],[Quantity]]</f>
        <v>75</v>
      </c>
    </row>
    <row r="967" spans="1:15" x14ac:dyDescent="0.3">
      <c r="A967" t="s">
        <v>2599</v>
      </c>
      <c r="B967" t="s">
        <v>2516</v>
      </c>
      <c r="C967" t="s">
        <v>891</v>
      </c>
      <c r="D967" t="s">
        <v>1053</v>
      </c>
      <c r="E967">
        <v>1</v>
      </c>
      <c r="F967">
        <f>_xlfn.XLOOKUP(Table1[[#This Row],[ProductID]],Products!A:A,Products!D:D,,0)</f>
        <v>200</v>
      </c>
      <c r="I967">
        <v>899</v>
      </c>
      <c r="J967">
        <v>899</v>
      </c>
      <c r="K967" t="s">
        <v>1102</v>
      </c>
      <c r="L967">
        <v>899</v>
      </c>
      <c r="M967" t="s">
        <v>1098</v>
      </c>
      <c r="N967" t="s">
        <v>1099</v>
      </c>
      <c r="O967">
        <f>Table1[[#This Row],[Unit_Price]]*Table1[[#This Row],[Quantity]]</f>
        <v>200</v>
      </c>
    </row>
    <row r="968" spans="1:15" x14ac:dyDescent="0.3">
      <c r="A968" t="s">
        <v>2600</v>
      </c>
      <c r="B968" t="s">
        <v>1759</v>
      </c>
      <c r="C968" t="s">
        <v>771</v>
      </c>
      <c r="D968" t="s">
        <v>1053</v>
      </c>
      <c r="E968">
        <v>2</v>
      </c>
      <c r="F968">
        <f>_xlfn.XLOOKUP(Table1[[#This Row],[ProductID]],Products!A:A,Products!D:D,,0)</f>
        <v>200</v>
      </c>
      <c r="I968">
        <v>899</v>
      </c>
      <c r="J968">
        <v>809</v>
      </c>
      <c r="K968" t="s">
        <v>1107</v>
      </c>
      <c r="L968">
        <v>1618</v>
      </c>
      <c r="M968" t="s">
        <v>1093</v>
      </c>
      <c r="N968" t="s">
        <v>1099</v>
      </c>
      <c r="O968">
        <f>Table1[[#This Row],[Unit_Price]]*Table1[[#This Row],[Quantity]]</f>
        <v>400</v>
      </c>
    </row>
    <row r="969" spans="1:15" x14ac:dyDescent="0.3">
      <c r="A969" t="s">
        <v>2601</v>
      </c>
      <c r="B969" t="s">
        <v>2324</v>
      </c>
      <c r="C969" t="s">
        <v>979</v>
      </c>
      <c r="D969" t="s">
        <v>1053</v>
      </c>
      <c r="E969">
        <v>1</v>
      </c>
      <c r="F969">
        <f>_xlfn.XLOOKUP(Table1[[#This Row],[ProductID]],Products!A:A,Products!D:D,,0)</f>
        <v>200</v>
      </c>
      <c r="I969">
        <v>899</v>
      </c>
      <c r="J969">
        <v>899</v>
      </c>
      <c r="K969" t="s">
        <v>1102</v>
      </c>
      <c r="L969">
        <v>899</v>
      </c>
      <c r="M969" t="s">
        <v>1126</v>
      </c>
      <c r="N969" t="s">
        <v>1099</v>
      </c>
      <c r="O969">
        <f>Table1[[#This Row],[Unit_Price]]*Table1[[#This Row],[Quantity]]</f>
        <v>200</v>
      </c>
    </row>
    <row r="970" spans="1:15" x14ac:dyDescent="0.3">
      <c r="A970" t="s">
        <v>2602</v>
      </c>
      <c r="B970" t="s">
        <v>1738</v>
      </c>
      <c r="C970" t="s">
        <v>749</v>
      </c>
      <c r="D970" t="s">
        <v>1062</v>
      </c>
      <c r="E970">
        <v>1</v>
      </c>
      <c r="F970">
        <f>_xlfn.XLOOKUP(Table1[[#This Row],[ProductID]],Products!A:A,Products!D:D,,0)</f>
        <v>95</v>
      </c>
      <c r="I970">
        <v>349</v>
      </c>
      <c r="J970">
        <v>314</v>
      </c>
      <c r="K970" t="s">
        <v>1107</v>
      </c>
      <c r="L970">
        <v>314</v>
      </c>
      <c r="M970" t="s">
        <v>1126</v>
      </c>
      <c r="N970" t="s">
        <v>1099</v>
      </c>
      <c r="O970">
        <f>Table1[[#This Row],[Unit_Price]]*Table1[[#This Row],[Quantity]]</f>
        <v>95</v>
      </c>
    </row>
    <row r="971" spans="1:15" x14ac:dyDescent="0.3">
      <c r="A971" t="s">
        <v>2603</v>
      </c>
      <c r="B971" t="s">
        <v>1164</v>
      </c>
      <c r="C971" t="s">
        <v>805</v>
      </c>
      <c r="D971" t="s">
        <v>1062</v>
      </c>
      <c r="E971">
        <v>2</v>
      </c>
      <c r="F971">
        <f>_xlfn.XLOOKUP(Table1[[#This Row],[ProductID]],Products!A:A,Products!D:D,,0)</f>
        <v>95</v>
      </c>
      <c r="I971">
        <v>349</v>
      </c>
      <c r="J971">
        <v>279</v>
      </c>
      <c r="K971" t="s">
        <v>1097</v>
      </c>
      <c r="L971">
        <v>558</v>
      </c>
      <c r="M971" t="s">
        <v>1093</v>
      </c>
      <c r="N971" t="s">
        <v>1099</v>
      </c>
      <c r="O971">
        <f>Table1[[#This Row],[Unit_Price]]*Table1[[#This Row],[Quantity]]</f>
        <v>190</v>
      </c>
    </row>
    <row r="972" spans="1:15" x14ac:dyDescent="0.3">
      <c r="A972" t="s">
        <v>2604</v>
      </c>
      <c r="B972" t="s">
        <v>2605</v>
      </c>
      <c r="C972" t="s">
        <v>399</v>
      </c>
      <c r="D972" t="s">
        <v>1068</v>
      </c>
      <c r="E972">
        <v>2</v>
      </c>
      <c r="F972">
        <f>_xlfn.XLOOKUP(Table1[[#This Row],[ProductID]],Products!A:A,Products!D:D,,0)</f>
        <v>180</v>
      </c>
      <c r="I972">
        <v>449</v>
      </c>
      <c r="J972">
        <v>359</v>
      </c>
      <c r="K972" t="s">
        <v>1097</v>
      </c>
      <c r="L972">
        <v>718</v>
      </c>
      <c r="M972" t="s">
        <v>1118</v>
      </c>
      <c r="N972" t="s">
        <v>1099</v>
      </c>
      <c r="O972">
        <f>Table1[[#This Row],[Unit_Price]]*Table1[[#This Row],[Quantity]]</f>
        <v>360</v>
      </c>
    </row>
    <row r="973" spans="1:15" x14ac:dyDescent="0.3">
      <c r="A973" t="s">
        <v>2606</v>
      </c>
      <c r="B973" t="s">
        <v>1375</v>
      </c>
      <c r="C973" t="s">
        <v>849</v>
      </c>
      <c r="D973" t="s">
        <v>1073</v>
      </c>
      <c r="E973">
        <v>3</v>
      </c>
      <c r="F973">
        <f>_xlfn.XLOOKUP(Table1[[#This Row],[ProductID]],Products!A:A,Products!D:D,,0)</f>
        <v>100</v>
      </c>
      <c r="I973">
        <v>349</v>
      </c>
      <c r="J973">
        <v>279</v>
      </c>
      <c r="K973" t="s">
        <v>1097</v>
      </c>
      <c r="L973">
        <v>837</v>
      </c>
      <c r="M973" t="s">
        <v>1093</v>
      </c>
      <c r="N973" t="s">
        <v>1099</v>
      </c>
      <c r="O973">
        <f>Table1[[#This Row],[Unit_Price]]*Table1[[#This Row],[Quantity]]</f>
        <v>300</v>
      </c>
    </row>
    <row r="974" spans="1:15" x14ac:dyDescent="0.3">
      <c r="A974" t="s">
        <v>2607</v>
      </c>
      <c r="B974" t="s">
        <v>2608</v>
      </c>
      <c r="C974" t="s">
        <v>249</v>
      </c>
      <c r="D974" t="s">
        <v>1071</v>
      </c>
      <c r="E974">
        <v>1</v>
      </c>
      <c r="F974">
        <f>_xlfn.XLOOKUP(Table1[[#This Row],[ProductID]],Products!A:A,Products!D:D,,0)</f>
        <v>125</v>
      </c>
      <c r="I974">
        <v>399</v>
      </c>
      <c r="J974">
        <v>399</v>
      </c>
      <c r="K974" t="s">
        <v>1102</v>
      </c>
      <c r="L974">
        <v>399</v>
      </c>
      <c r="M974" t="s">
        <v>1093</v>
      </c>
      <c r="N974" t="s">
        <v>1099</v>
      </c>
      <c r="O974">
        <f>Table1[[#This Row],[Unit_Price]]*Table1[[#This Row],[Quantity]]</f>
        <v>125</v>
      </c>
    </row>
    <row r="975" spans="1:15" x14ac:dyDescent="0.3">
      <c r="A975" t="s">
        <v>2609</v>
      </c>
      <c r="B975" t="s">
        <v>1270</v>
      </c>
      <c r="C975" t="s">
        <v>889</v>
      </c>
      <c r="D975" t="s">
        <v>1075</v>
      </c>
      <c r="E975">
        <v>2</v>
      </c>
      <c r="F975">
        <f>_xlfn.XLOOKUP(Table1[[#This Row],[ProductID]],Products!A:A,Products!D:D,,0)</f>
        <v>80</v>
      </c>
      <c r="I975">
        <v>499</v>
      </c>
      <c r="J975">
        <v>499</v>
      </c>
      <c r="K975" t="s">
        <v>1102</v>
      </c>
      <c r="L975">
        <v>998</v>
      </c>
      <c r="M975" t="s">
        <v>1126</v>
      </c>
      <c r="N975" t="s">
        <v>1099</v>
      </c>
      <c r="O975">
        <f>Table1[[#This Row],[Unit_Price]]*Table1[[#This Row],[Quantity]]</f>
        <v>160</v>
      </c>
    </row>
    <row r="976" spans="1:15" x14ac:dyDescent="0.3">
      <c r="A976" t="s">
        <v>2610</v>
      </c>
      <c r="B976" t="s">
        <v>2611</v>
      </c>
      <c r="C976" t="s">
        <v>1035</v>
      </c>
      <c r="D976" t="s">
        <v>1048</v>
      </c>
      <c r="E976">
        <v>1</v>
      </c>
      <c r="F976">
        <f>_xlfn.XLOOKUP(Table1[[#This Row],[ProductID]],Products!A:A,Products!D:D,,0)</f>
        <v>120</v>
      </c>
      <c r="I976">
        <v>599</v>
      </c>
      <c r="J976">
        <v>509</v>
      </c>
      <c r="K976" t="s">
        <v>1092</v>
      </c>
      <c r="L976">
        <v>509</v>
      </c>
      <c r="M976" t="s">
        <v>1098</v>
      </c>
      <c r="N976" t="s">
        <v>1099</v>
      </c>
      <c r="O976">
        <f>Table1[[#This Row],[Unit_Price]]*Table1[[#This Row],[Quantity]]</f>
        <v>120</v>
      </c>
    </row>
    <row r="977" spans="1:15" x14ac:dyDescent="0.3">
      <c r="A977" t="s">
        <v>2612</v>
      </c>
      <c r="B977" t="s">
        <v>1211</v>
      </c>
      <c r="C977" t="s">
        <v>225</v>
      </c>
      <c r="D977" t="s">
        <v>1066</v>
      </c>
      <c r="E977">
        <v>1</v>
      </c>
      <c r="F977">
        <f>_xlfn.XLOOKUP(Table1[[#This Row],[ProductID]],Products!A:A,Products!D:D,,0)</f>
        <v>140</v>
      </c>
      <c r="I977">
        <v>499</v>
      </c>
      <c r="J977">
        <v>499</v>
      </c>
      <c r="K977" t="s">
        <v>1102</v>
      </c>
      <c r="L977">
        <v>499</v>
      </c>
      <c r="M977" t="s">
        <v>1093</v>
      </c>
      <c r="N977" t="s">
        <v>1123</v>
      </c>
      <c r="O977">
        <f>Table1[[#This Row],[Unit_Price]]*Table1[[#This Row],[Quantity]]</f>
        <v>140</v>
      </c>
    </row>
    <row r="978" spans="1:15" x14ac:dyDescent="0.3">
      <c r="A978" t="s">
        <v>2613</v>
      </c>
      <c r="B978" t="s">
        <v>1502</v>
      </c>
      <c r="C978" t="s">
        <v>729</v>
      </c>
      <c r="D978" t="s">
        <v>1064</v>
      </c>
      <c r="E978">
        <v>2</v>
      </c>
      <c r="F978">
        <f>_xlfn.XLOOKUP(Table1[[#This Row],[ProductID]],Products!A:A,Products!D:D,,0)</f>
        <v>160</v>
      </c>
      <c r="I978">
        <v>699</v>
      </c>
      <c r="J978">
        <v>559</v>
      </c>
      <c r="K978" t="s">
        <v>1097</v>
      </c>
      <c r="L978">
        <v>1118</v>
      </c>
      <c r="M978" t="s">
        <v>1098</v>
      </c>
      <c r="N978" t="s">
        <v>1099</v>
      </c>
      <c r="O978">
        <f>Table1[[#This Row],[Unit_Price]]*Table1[[#This Row],[Quantity]]</f>
        <v>320</v>
      </c>
    </row>
    <row r="979" spans="1:15" x14ac:dyDescent="0.3">
      <c r="A979" t="s">
        <v>2614</v>
      </c>
      <c r="B979" t="s">
        <v>2615</v>
      </c>
      <c r="C979" t="s">
        <v>85</v>
      </c>
      <c r="D979" t="s">
        <v>1051</v>
      </c>
      <c r="E979">
        <v>1</v>
      </c>
      <c r="F979">
        <f>_xlfn.XLOOKUP(Table1[[#This Row],[ProductID]],Products!A:A,Products!D:D,,0)</f>
        <v>150</v>
      </c>
      <c r="I979">
        <v>499</v>
      </c>
      <c r="J979">
        <v>449</v>
      </c>
      <c r="K979" t="s">
        <v>1107</v>
      </c>
      <c r="L979">
        <v>449</v>
      </c>
      <c r="M979" t="s">
        <v>1098</v>
      </c>
      <c r="N979" t="s">
        <v>1099</v>
      </c>
      <c r="O979">
        <f>Table1[[#This Row],[Unit_Price]]*Table1[[#This Row],[Quantity]]</f>
        <v>150</v>
      </c>
    </row>
    <row r="980" spans="1:15" x14ac:dyDescent="0.3">
      <c r="A980" t="s">
        <v>2616</v>
      </c>
      <c r="B980" t="s">
        <v>2617</v>
      </c>
      <c r="C980" t="s">
        <v>243</v>
      </c>
      <c r="D980" t="s">
        <v>1080</v>
      </c>
      <c r="E980">
        <v>3</v>
      </c>
      <c r="F980">
        <f>_xlfn.XLOOKUP(Table1[[#This Row],[ProductID]],Products!A:A,Products!D:D,,0)</f>
        <v>45</v>
      </c>
      <c r="I980">
        <v>249</v>
      </c>
      <c r="J980">
        <v>249</v>
      </c>
      <c r="K980" t="s">
        <v>1102</v>
      </c>
      <c r="L980">
        <v>747</v>
      </c>
      <c r="M980" t="s">
        <v>1093</v>
      </c>
      <c r="N980" t="s">
        <v>1094</v>
      </c>
      <c r="O980">
        <f>Table1[[#This Row],[Unit_Price]]*Table1[[#This Row],[Quantity]]</f>
        <v>135</v>
      </c>
    </row>
    <row r="981" spans="1:15" x14ac:dyDescent="0.3">
      <c r="A981" t="s">
        <v>2618</v>
      </c>
      <c r="B981" t="s">
        <v>1987</v>
      </c>
      <c r="C981" t="s">
        <v>20</v>
      </c>
      <c r="D981" t="s">
        <v>1053</v>
      </c>
      <c r="E981">
        <v>3</v>
      </c>
      <c r="F981">
        <f>_xlfn.XLOOKUP(Table1[[#This Row],[ProductID]],Products!A:A,Products!D:D,,0)</f>
        <v>200</v>
      </c>
      <c r="I981">
        <v>899</v>
      </c>
      <c r="J981">
        <v>899</v>
      </c>
      <c r="K981" t="s">
        <v>1102</v>
      </c>
      <c r="L981">
        <v>2697</v>
      </c>
      <c r="M981" t="s">
        <v>1098</v>
      </c>
      <c r="N981" t="s">
        <v>1099</v>
      </c>
      <c r="O981">
        <f>Table1[[#This Row],[Unit_Price]]*Table1[[#This Row],[Quantity]]</f>
        <v>600</v>
      </c>
    </row>
    <row r="982" spans="1:15" x14ac:dyDescent="0.3">
      <c r="A982" t="s">
        <v>2619</v>
      </c>
      <c r="B982" t="s">
        <v>1738</v>
      </c>
      <c r="C982" t="s">
        <v>835</v>
      </c>
      <c r="D982" t="s">
        <v>1068</v>
      </c>
      <c r="E982">
        <v>1</v>
      </c>
      <c r="F982">
        <f>_xlfn.XLOOKUP(Table1[[#This Row],[ProductID]],Products!A:A,Products!D:D,,0)</f>
        <v>180</v>
      </c>
      <c r="I982">
        <v>449</v>
      </c>
      <c r="J982">
        <v>404</v>
      </c>
      <c r="K982" t="s">
        <v>1107</v>
      </c>
      <c r="L982">
        <v>404</v>
      </c>
      <c r="M982" t="s">
        <v>1093</v>
      </c>
      <c r="N982" t="s">
        <v>1099</v>
      </c>
      <c r="O982">
        <f>Table1[[#This Row],[Unit_Price]]*Table1[[#This Row],[Quantity]]</f>
        <v>180</v>
      </c>
    </row>
    <row r="983" spans="1:15" x14ac:dyDescent="0.3">
      <c r="A983" t="s">
        <v>2620</v>
      </c>
      <c r="B983" t="s">
        <v>1650</v>
      </c>
      <c r="C983" t="s">
        <v>1039</v>
      </c>
      <c r="D983" t="s">
        <v>1059</v>
      </c>
      <c r="E983">
        <v>1</v>
      </c>
      <c r="F983">
        <f>_xlfn.XLOOKUP(Table1[[#This Row],[ProductID]],Products!A:A,Products!D:D,,0)</f>
        <v>110</v>
      </c>
      <c r="I983">
        <v>399</v>
      </c>
      <c r="J983">
        <v>339</v>
      </c>
      <c r="K983" t="s">
        <v>1092</v>
      </c>
      <c r="L983">
        <v>339</v>
      </c>
      <c r="M983" t="s">
        <v>1118</v>
      </c>
      <c r="N983" t="s">
        <v>1099</v>
      </c>
      <c r="O983">
        <f>Table1[[#This Row],[Unit_Price]]*Table1[[#This Row],[Quantity]]</f>
        <v>110</v>
      </c>
    </row>
    <row r="984" spans="1:15" x14ac:dyDescent="0.3">
      <c r="A984" t="s">
        <v>2621</v>
      </c>
      <c r="B984" t="s">
        <v>2622</v>
      </c>
      <c r="C984" t="s">
        <v>891</v>
      </c>
      <c r="D984" t="s">
        <v>1071</v>
      </c>
      <c r="E984">
        <v>2</v>
      </c>
      <c r="F984">
        <f>_xlfn.XLOOKUP(Table1[[#This Row],[ProductID]],Products!A:A,Products!D:D,,0)</f>
        <v>125</v>
      </c>
      <c r="I984">
        <v>399</v>
      </c>
      <c r="J984">
        <v>339</v>
      </c>
      <c r="K984" t="s">
        <v>1092</v>
      </c>
      <c r="L984">
        <v>678</v>
      </c>
      <c r="M984" t="s">
        <v>1098</v>
      </c>
      <c r="N984" t="s">
        <v>1099</v>
      </c>
      <c r="O984">
        <f>Table1[[#This Row],[Unit_Price]]*Table1[[#This Row],[Quantity]]</f>
        <v>250</v>
      </c>
    </row>
    <row r="985" spans="1:15" x14ac:dyDescent="0.3">
      <c r="A985" t="s">
        <v>2623</v>
      </c>
      <c r="B985" t="s">
        <v>2624</v>
      </c>
      <c r="C985" t="s">
        <v>535</v>
      </c>
      <c r="D985" t="s">
        <v>1062</v>
      </c>
      <c r="E985">
        <v>1</v>
      </c>
      <c r="F985">
        <f>_xlfn.XLOOKUP(Table1[[#This Row],[ProductID]],Products!A:A,Products!D:D,,0)</f>
        <v>95</v>
      </c>
      <c r="I985">
        <v>349</v>
      </c>
      <c r="J985">
        <v>297</v>
      </c>
      <c r="K985" t="s">
        <v>1092</v>
      </c>
      <c r="L985">
        <v>297</v>
      </c>
      <c r="M985" t="s">
        <v>1093</v>
      </c>
      <c r="N985" t="s">
        <v>1099</v>
      </c>
      <c r="O985">
        <f>Table1[[#This Row],[Unit_Price]]*Table1[[#This Row],[Quantity]]</f>
        <v>95</v>
      </c>
    </row>
    <row r="986" spans="1:15" x14ac:dyDescent="0.3">
      <c r="A986" t="s">
        <v>2625</v>
      </c>
      <c r="B986" t="s">
        <v>1690</v>
      </c>
      <c r="C986" t="s">
        <v>897</v>
      </c>
      <c r="D986" t="s">
        <v>1078</v>
      </c>
      <c r="E986">
        <v>2</v>
      </c>
      <c r="F986">
        <f>_xlfn.XLOOKUP(Table1[[#This Row],[ProductID]],Products!A:A,Products!D:D,,0)</f>
        <v>80</v>
      </c>
      <c r="I986">
        <v>499</v>
      </c>
      <c r="J986">
        <v>499</v>
      </c>
      <c r="K986" t="s">
        <v>1102</v>
      </c>
      <c r="L986">
        <v>998</v>
      </c>
      <c r="M986" t="s">
        <v>1098</v>
      </c>
      <c r="N986" t="s">
        <v>1099</v>
      </c>
      <c r="O986">
        <f>Table1[[#This Row],[Unit_Price]]*Table1[[#This Row],[Quantity]]</f>
        <v>160</v>
      </c>
    </row>
    <row r="987" spans="1:15" x14ac:dyDescent="0.3">
      <c r="A987" t="s">
        <v>2626</v>
      </c>
      <c r="B987" t="s">
        <v>2365</v>
      </c>
      <c r="C987" t="s">
        <v>477</v>
      </c>
      <c r="D987" t="s">
        <v>1068</v>
      </c>
      <c r="E987">
        <v>1</v>
      </c>
      <c r="F987">
        <f>_xlfn.XLOOKUP(Table1[[#This Row],[ProductID]],Products!A:A,Products!D:D,,0)</f>
        <v>180</v>
      </c>
      <c r="I987">
        <v>449</v>
      </c>
      <c r="J987">
        <v>404</v>
      </c>
      <c r="K987" t="s">
        <v>1107</v>
      </c>
      <c r="L987">
        <v>404</v>
      </c>
      <c r="M987" t="s">
        <v>1093</v>
      </c>
      <c r="N987" t="s">
        <v>1123</v>
      </c>
      <c r="O987">
        <f>Table1[[#This Row],[Unit_Price]]*Table1[[#This Row],[Quantity]]</f>
        <v>180</v>
      </c>
    </row>
    <row r="988" spans="1:15" x14ac:dyDescent="0.3">
      <c r="A988" t="s">
        <v>2627</v>
      </c>
      <c r="B988" t="s">
        <v>2628</v>
      </c>
      <c r="C988" t="s">
        <v>527</v>
      </c>
      <c r="D988" t="s">
        <v>1071</v>
      </c>
      <c r="E988">
        <v>1</v>
      </c>
      <c r="F988">
        <f>_xlfn.XLOOKUP(Table1[[#This Row],[ProductID]],Products!A:A,Products!D:D,,0)</f>
        <v>125</v>
      </c>
      <c r="I988">
        <v>399</v>
      </c>
      <c r="J988">
        <v>399</v>
      </c>
      <c r="K988" t="s">
        <v>1102</v>
      </c>
      <c r="L988">
        <v>399</v>
      </c>
      <c r="M988" t="s">
        <v>1126</v>
      </c>
      <c r="N988" t="s">
        <v>1099</v>
      </c>
      <c r="O988">
        <f>Table1[[#This Row],[Unit_Price]]*Table1[[#This Row],[Quantity]]</f>
        <v>125</v>
      </c>
    </row>
    <row r="989" spans="1:15" x14ac:dyDescent="0.3">
      <c r="A989" t="s">
        <v>2629</v>
      </c>
      <c r="B989" t="s">
        <v>1372</v>
      </c>
      <c r="C989" t="s">
        <v>979</v>
      </c>
      <c r="D989" t="s">
        <v>1066</v>
      </c>
      <c r="E989">
        <v>1</v>
      </c>
      <c r="F989">
        <f>_xlfn.XLOOKUP(Table1[[#This Row],[ProductID]],Products!A:A,Products!D:D,,0)</f>
        <v>140</v>
      </c>
      <c r="I989">
        <v>499</v>
      </c>
      <c r="J989">
        <v>499</v>
      </c>
      <c r="K989" t="s">
        <v>1102</v>
      </c>
      <c r="L989">
        <v>499</v>
      </c>
      <c r="M989" t="s">
        <v>1098</v>
      </c>
      <c r="N989" t="s">
        <v>1123</v>
      </c>
      <c r="O989">
        <f>Table1[[#This Row],[Unit_Price]]*Table1[[#This Row],[Quantity]]</f>
        <v>140</v>
      </c>
    </row>
    <row r="990" spans="1:15" x14ac:dyDescent="0.3">
      <c r="A990" t="s">
        <v>2630</v>
      </c>
      <c r="B990" t="s">
        <v>1676</v>
      </c>
      <c r="C990" t="s">
        <v>705</v>
      </c>
      <c r="D990" t="s">
        <v>1057</v>
      </c>
      <c r="E990">
        <v>2</v>
      </c>
      <c r="F990">
        <f>_xlfn.XLOOKUP(Table1[[#This Row],[ProductID]],Products!A:A,Products!D:D,,0)</f>
        <v>130</v>
      </c>
      <c r="I990">
        <v>549</v>
      </c>
      <c r="J990">
        <v>439</v>
      </c>
      <c r="K990" t="s">
        <v>1097</v>
      </c>
      <c r="L990">
        <v>878</v>
      </c>
      <c r="M990" t="s">
        <v>1093</v>
      </c>
      <c r="N990" t="s">
        <v>1123</v>
      </c>
      <c r="O990">
        <f>Table1[[#This Row],[Unit_Price]]*Table1[[#This Row],[Quantity]]</f>
        <v>260</v>
      </c>
    </row>
    <row r="991" spans="1:15" x14ac:dyDescent="0.3">
      <c r="A991" t="s">
        <v>2631</v>
      </c>
      <c r="B991" t="s">
        <v>2158</v>
      </c>
      <c r="C991" t="s">
        <v>279</v>
      </c>
      <c r="D991" t="s">
        <v>1051</v>
      </c>
      <c r="E991">
        <v>1</v>
      </c>
      <c r="F991">
        <f>_xlfn.XLOOKUP(Table1[[#This Row],[ProductID]],Products!A:A,Products!D:D,,0)</f>
        <v>150</v>
      </c>
      <c r="I991">
        <v>499</v>
      </c>
      <c r="J991">
        <v>424</v>
      </c>
      <c r="K991" t="s">
        <v>1092</v>
      </c>
      <c r="L991">
        <v>424</v>
      </c>
      <c r="M991" t="s">
        <v>1098</v>
      </c>
      <c r="N991" t="s">
        <v>1099</v>
      </c>
      <c r="O991">
        <f>Table1[[#This Row],[Unit_Price]]*Table1[[#This Row],[Quantity]]</f>
        <v>150</v>
      </c>
    </row>
    <row r="992" spans="1:15" x14ac:dyDescent="0.3">
      <c r="A992" t="s">
        <v>2632</v>
      </c>
      <c r="B992" t="s">
        <v>2224</v>
      </c>
      <c r="C992" t="s">
        <v>483</v>
      </c>
      <c r="D992" t="s">
        <v>1073</v>
      </c>
      <c r="E992">
        <v>4</v>
      </c>
      <c r="F992">
        <f>_xlfn.XLOOKUP(Table1[[#This Row],[ProductID]],Products!A:A,Products!D:D,,0)</f>
        <v>100</v>
      </c>
      <c r="I992">
        <v>349</v>
      </c>
      <c r="J992">
        <v>314</v>
      </c>
      <c r="K992" t="s">
        <v>1107</v>
      </c>
      <c r="L992">
        <v>1256</v>
      </c>
      <c r="M992" t="s">
        <v>1093</v>
      </c>
      <c r="N992" t="s">
        <v>1094</v>
      </c>
      <c r="O992">
        <f>Table1[[#This Row],[Unit_Price]]*Table1[[#This Row],[Quantity]]</f>
        <v>400</v>
      </c>
    </row>
    <row r="993" spans="1:15" x14ac:dyDescent="0.3">
      <c r="A993" t="s">
        <v>2633</v>
      </c>
      <c r="B993" t="s">
        <v>1383</v>
      </c>
      <c r="C993" t="s">
        <v>287</v>
      </c>
      <c r="D993" t="s">
        <v>1068</v>
      </c>
      <c r="E993">
        <v>1</v>
      </c>
      <c r="F993">
        <f>_xlfn.XLOOKUP(Table1[[#This Row],[ProductID]],Products!A:A,Products!D:D,,0)</f>
        <v>180</v>
      </c>
      <c r="I993">
        <v>449</v>
      </c>
      <c r="J993">
        <v>449</v>
      </c>
      <c r="K993" t="s">
        <v>1102</v>
      </c>
      <c r="L993">
        <v>449</v>
      </c>
      <c r="M993" t="s">
        <v>1126</v>
      </c>
      <c r="N993" t="s">
        <v>1099</v>
      </c>
      <c r="O993">
        <f>Table1[[#This Row],[Unit_Price]]*Table1[[#This Row],[Quantity]]</f>
        <v>180</v>
      </c>
    </row>
    <row r="994" spans="1:15" x14ac:dyDescent="0.3">
      <c r="A994" t="s">
        <v>2634</v>
      </c>
      <c r="B994" t="s">
        <v>1929</v>
      </c>
      <c r="C994" t="s">
        <v>773</v>
      </c>
      <c r="D994" t="s">
        <v>1053</v>
      </c>
      <c r="E994">
        <v>1</v>
      </c>
      <c r="F994">
        <f>_xlfn.XLOOKUP(Table1[[#This Row],[ProductID]],Products!A:A,Products!D:D,,0)</f>
        <v>200</v>
      </c>
      <c r="I994">
        <v>899</v>
      </c>
      <c r="J994">
        <v>899</v>
      </c>
      <c r="K994" t="s">
        <v>1102</v>
      </c>
      <c r="L994">
        <v>899</v>
      </c>
      <c r="M994" t="s">
        <v>1093</v>
      </c>
      <c r="N994" t="s">
        <v>1094</v>
      </c>
      <c r="O994">
        <f>Table1[[#This Row],[Unit_Price]]*Table1[[#This Row],[Quantity]]</f>
        <v>200</v>
      </c>
    </row>
    <row r="995" spans="1:15" x14ac:dyDescent="0.3">
      <c r="A995" t="s">
        <v>2635</v>
      </c>
      <c r="B995" t="s">
        <v>1763</v>
      </c>
      <c r="C995" t="s">
        <v>505</v>
      </c>
      <c r="D995" t="s">
        <v>1057</v>
      </c>
      <c r="E995">
        <v>1</v>
      </c>
      <c r="F995">
        <f>_xlfn.XLOOKUP(Table1[[#This Row],[ProductID]],Products!A:A,Products!D:D,,0)</f>
        <v>130</v>
      </c>
      <c r="I995">
        <v>549</v>
      </c>
      <c r="J995">
        <v>467</v>
      </c>
      <c r="K995" t="s">
        <v>1092</v>
      </c>
      <c r="L995">
        <v>467</v>
      </c>
      <c r="M995" t="s">
        <v>1098</v>
      </c>
      <c r="N995" t="s">
        <v>1099</v>
      </c>
      <c r="O995">
        <f>Table1[[#This Row],[Unit_Price]]*Table1[[#This Row],[Quantity]]</f>
        <v>130</v>
      </c>
    </row>
    <row r="996" spans="1:15" x14ac:dyDescent="0.3">
      <c r="A996" t="s">
        <v>2636</v>
      </c>
      <c r="B996" t="s">
        <v>1723</v>
      </c>
      <c r="C996" t="s">
        <v>108</v>
      </c>
      <c r="D996" t="s">
        <v>1064</v>
      </c>
      <c r="E996">
        <v>1</v>
      </c>
      <c r="F996">
        <f>_xlfn.XLOOKUP(Table1[[#This Row],[ProductID]],Products!A:A,Products!D:D,,0)</f>
        <v>160</v>
      </c>
      <c r="I996">
        <v>699</v>
      </c>
      <c r="J996">
        <v>699</v>
      </c>
      <c r="K996" t="s">
        <v>1102</v>
      </c>
      <c r="L996">
        <v>699</v>
      </c>
      <c r="M996" t="s">
        <v>1093</v>
      </c>
      <c r="N996" t="s">
        <v>1094</v>
      </c>
      <c r="O996">
        <f>Table1[[#This Row],[Unit_Price]]*Table1[[#This Row],[Quantity]]</f>
        <v>160</v>
      </c>
    </row>
    <row r="997" spans="1:15" x14ac:dyDescent="0.3">
      <c r="A997" t="s">
        <v>2637</v>
      </c>
      <c r="B997" t="s">
        <v>1591</v>
      </c>
      <c r="C997" t="s">
        <v>321</v>
      </c>
      <c r="D997" t="s">
        <v>1059</v>
      </c>
      <c r="E997">
        <v>2</v>
      </c>
      <c r="F997">
        <f>_xlfn.XLOOKUP(Table1[[#This Row],[ProductID]],Products!A:A,Products!D:D,,0)</f>
        <v>110</v>
      </c>
      <c r="I997">
        <v>399</v>
      </c>
      <c r="J997">
        <v>399</v>
      </c>
      <c r="K997" t="s">
        <v>1102</v>
      </c>
      <c r="L997">
        <v>798</v>
      </c>
      <c r="M997" t="s">
        <v>1093</v>
      </c>
      <c r="N997" t="s">
        <v>1094</v>
      </c>
      <c r="O997">
        <f>Table1[[#This Row],[Unit_Price]]*Table1[[#This Row],[Quantity]]</f>
        <v>220</v>
      </c>
    </row>
    <row r="998" spans="1:15" x14ac:dyDescent="0.3">
      <c r="A998" t="s">
        <v>2638</v>
      </c>
      <c r="B998" t="s">
        <v>2639</v>
      </c>
      <c r="C998" t="s">
        <v>809</v>
      </c>
      <c r="D998" t="s">
        <v>1064</v>
      </c>
      <c r="E998">
        <v>1</v>
      </c>
      <c r="F998">
        <f>_xlfn.XLOOKUP(Table1[[#This Row],[ProductID]],Products!A:A,Products!D:D,,0)</f>
        <v>160</v>
      </c>
      <c r="I998">
        <v>699</v>
      </c>
      <c r="J998">
        <v>699</v>
      </c>
      <c r="K998" t="s">
        <v>1102</v>
      </c>
      <c r="L998">
        <v>699</v>
      </c>
      <c r="M998" t="s">
        <v>1093</v>
      </c>
      <c r="N998" t="s">
        <v>1094</v>
      </c>
      <c r="O998">
        <f>Table1[[#This Row],[Unit_Price]]*Table1[[#This Row],[Quantity]]</f>
        <v>160</v>
      </c>
    </row>
    <row r="999" spans="1:15" x14ac:dyDescent="0.3">
      <c r="A999" t="s">
        <v>2640</v>
      </c>
      <c r="B999" t="s">
        <v>1963</v>
      </c>
      <c r="C999" t="s">
        <v>827</v>
      </c>
      <c r="D999" t="s">
        <v>1059</v>
      </c>
      <c r="E999">
        <v>2</v>
      </c>
      <c r="F999">
        <f>_xlfn.XLOOKUP(Table1[[#This Row],[ProductID]],Products!A:A,Products!D:D,,0)</f>
        <v>110</v>
      </c>
      <c r="I999">
        <v>399</v>
      </c>
      <c r="J999">
        <v>339</v>
      </c>
      <c r="K999" t="s">
        <v>1092</v>
      </c>
      <c r="L999">
        <v>678</v>
      </c>
      <c r="M999" t="s">
        <v>1098</v>
      </c>
      <c r="N999" t="s">
        <v>1099</v>
      </c>
      <c r="O999">
        <f>Table1[[#This Row],[Unit_Price]]*Table1[[#This Row],[Quantity]]</f>
        <v>220</v>
      </c>
    </row>
    <row r="1000" spans="1:15" x14ac:dyDescent="0.3">
      <c r="A1000" t="s">
        <v>2641</v>
      </c>
      <c r="B1000" t="s">
        <v>1109</v>
      </c>
      <c r="C1000" t="s">
        <v>727</v>
      </c>
      <c r="D1000" t="s">
        <v>1078</v>
      </c>
      <c r="E1000">
        <v>1</v>
      </c>
      <c r="F1000">
        <f>_xlfn.XLOOKUP(Table1[[#This Row],[ProductID]],Products!A:A,Products!D:D,,0)</f>
        <v>80</v>
      </c>
      <c r="I1000">
        <v>499</v>
      </c>
      <c r="J1000">
        <v>499</v>
      </c>
      <c r="K1000" t="s">
        <v>1102</v>
      </c>
      <c r="L1000">
        <v>499</v>
      </c>
      <c r="M1000" t="s">
        <v>1093</v>
      </c>
      <c r="N1000" t="s">
        <v>1094</v>
      </c>
      <c r="O1000">
        <f>Table1[[#This Row],[Unit_Price]]*Table1[[#This Row],[Quantity]]</f>
        <v>80</v>
      </c>
    </row>
    <row r="1001" spans="1:15" x14ac:dyDescent="0.3">
      <c r="A1001" t="s">
        <v>2642</v>
      </c>
      <c r="B1001" t="s">
        <v>1517</v>
      </c>
      <c r="C1001" t="s">
        <v>89</v>
      </c>
      <c r="D1001" t="s">
        <v>1071</v>
      </c>
      <c r="E1001">
        <v>1</v>
      </c>
      <c r="F1001">
        <f>_xlfn.XLOOKUP(Table1[[#This Row],[ProductID]],Products!A:A,Products!D:D,,0)</f>
        <v>125</v>
      </c>
      <c r="I1001">
        <v>399</v>
      </c>
      <c r="J1001">
        <v>359</v>
      </c>
      <c r="K1001" t="s">
        <v>1107</v>
      </c>
      <c r="L1001">
        <v>359</v>
      </c>
      <c r="M1001" t="s">
        <v>1098</v>
      </c>
      <c r="N1001" t="s">
        <v>1099</v>
      </c>
      <c r="O1001">
        <f>Table1[[#This Row],[Unit_Price]]*Table1[[#This Row],[Quantity]]</f>
        <v>125</v>
      </c>
    </row>
    <row r="1002" spans="1:15" x14ac:dyDescent="0.3">
      <c r="A1002" t="s">
        <v>2643</v>
      </c>
      <c r="B1002" t="s">
        <v>2132</v>
      </c>
      <c r="C1002" t="s">
        <v>827</v>
      </c>
      <c r="D1002" t="s">
        <v>1080</v>
      </c>
      <c r="E1002">
        <v>1</v>
      </c>
      <c r="F1002">
        <f>_xlfn.XLOOKUP(Table1[[#This Row],[ProductID]],Products!A:A,Products!D:D,,0)</f>
        <v>45</v>
      </c>
      <c r="I1002">
        <v>249</v>
      </c>
      <c r="J1002">
        <v>212</v>
      </c>
      <c r="K1002" t="s">
        <v>1092</v>
      </c>
      <c r="L1002">
        <v>212</v>
      </c>
      <c r="M1002" t="s">
        <v>1126</v>
      </c>
      <c r="N1002" t="s">
        <v>1099</v>
      </c>
      <c r="O1002">
        <f>Table1[[#This Row],[Unit_Price]]*Table1[[#This Row],[Quantity]]</f>
        <v>45</v>
      </c>
    </row>
    <row r="1003" spans="1:15" x14ac:dyDescent="0.3">
      <c r="A1003" t="s">
        <v>2644</v>
      </c>
      <c r="B1003" t="s">
        <v>2645</v>
      </c>
      <c r="C1003" t="s">
        <v>315</v>
      </c>
      <c r="D1003" t="s">
        <v>1068</v>
      </c>
      <c r="E1003">
        <v>2</v>
      </c>
      <c r="F1003">
        <f>_xlfn.XLOOKUP(Table1[[#This Row],[ProductID]],Products!A:A,Products!D:D,,0)</f>
        <v>180</v>
      </c>
      <c r="I1003">
        <v>449</v>
      </c>
      <c r="J1003">
        <v>449</v>
      </c>
      <c r="K1003" t="s">
        <v>1102</v>
      </c>
      <c r="L1003">
        <v>898</v>
      </c>
      <c r="M1003" t="s">
        <v>1098</v>
      </c>
      <c r="N1003" t="s">
        <v>1099</v>
      </c>
      <c r="O1003">
        <f>Table1[[#This Row],[Unit_Price]]*Table1[[#This Row],[Quantity]]</f>
        <v>360</v>
      </c>
    </row>
    <row r="1004" spans="1:15" x14ac:dyDescent="0.3">
      <c r="A1004" t="s">
        <v>2646</v>
      </c>
      <c r="B1004" t="s">
        <v>1634</v>
      </c>
      <c r="C1004" t="s">
        <v>1001</v>
      </c>
      <c r="D1004" t="s">
        <v>1068</v>
      </c>
      <c r="E1004">
        <v>1</v>
      </c>
      <c r="F1004">
        <f>_xlfn.XLOOKUP(Table1[[#This Row],[ProductID]],Products!A:A,Products!D:D,,0)</f>
        <v>180</v>
      </c>
      <c r="I1004">
        <v>449</v>
      </c>
      <c r="J1004">
        <v>404</v>
      </c>
      <c r="K1004" t="s">
        <v>1107</v>
      </c>
      <c r="L1004">
        <v>404</v>
      </c>
      <c r="M1004" t="s">
        <v>1098</v>
      </c>
      <c r="N1004" t="s">
        <v>1099</v>
      </c>
      <c r="O1004">
        <f>Table1[[#This Row],[Unit_Price]]*Table1[[#This Row],[Quantity]]</f>
        <v>180</v>
      </c>
    </row>
    <row r="1005" spans="1:15" x14ac:dyDescent="0.3">
      <c r="A1005" t="s">
        <v>2647</v>
      </c>
      <c r="B1005" t="s">
        <v>1482</v>
      </c>
      <c r="C1005" t="s">
        <v>745</v>
      </c>
      <c r="D1005" t="s">
        <v>1059</v>
      </c>
      <c r="E1005">
        <v>1</v>
      </c>
      <c r="F1005">
        <f>_xlfn.XLOOKUP(Table1[[#This Row],[ProductID]],Products!A:A,Products!D:D,,0)</f>
        <v>110</v>
      </c>
      <c r="I1005">
        <v>399</v>
      </c>
      <c r="J1005">
        <v>339</v>
      </c>
      <c r="K1005" t="s">
        <v>1092</v>
      </c>
      <c r="L1005">
        <v>339</v>
      </c>
      <c r="M1005" t="s">
        <v>1118</v>
      </c>
      <c r="N1005" t="s">
        <v>1099</v>
      </c>
      <c r="O1005">
        <f>Table1[[#This Row],[Unit_Price]]*Table1[[#This Row],[Quantity]]</f>
        <v>110</v>
      </c>
    </row>
    <row r="1006" spans="1:15" x14ac:dyDescent="0.3">
      <c r="A1006" t="s">
        <v>2648</v>
      </c>
      <c r="B1006" t="s">
        <v>1319</v>
      </c>
      <c r="C1006" t="s">
        <v>481</v>
      </c>
      <c r="D1006" t="s">
        <v>1053</v>
      </c>
      <c r="E1006">
        <v>4</v>
      </c>
      <c r="F1006">
        <f>_xlfn.XLOOKUP(Table1[[#This Row],[ProductID]],Products!A:A,Products!D:D,,0)</f>
        <v>200</v>
      </c>
      <c r="I1006">
        <v>899</v>
      </c>
      <c r="J1006">
        <v>899</v>
      </c>
      <c r="K1006" t="s">
        <v>1102</v>
      </c>
      <c r="L1006">
        <v>3596</v>
      </c>
      <c r="M1006" t="s">
        <v>1093</v>
      </c>
      <c r="N1006" t="s">
        <v>1094</v>
      </c>
      <c r="O1006">
        <f>Table1[[#This Row],[Unit_Price]]*Table1[[#This Row],[Quantity]]</f>
        <v>800</v>
      </c>
    </row>
    <row r="1007" spans="1:15" x14ac:dyDescent="0.3">
      <c r="A1007" t="s">
        <v>2649</v>
      </c>
      <c r="B1007" t="s">
        <v>1604</v>
      </c>
      <c r="C1007" t="s">
        <v>963</v>
      </c>
      <c r="D1007" t="s">
        <v>1059</v>
      </c>
      <c r="E1007">
        <v>2</v>
      </c>
      <c r="F1007">
        <f>_xlfn.XLOOKUP(Table1[[#This Row],[ProductID]],Products!A:A,Products!D:D,,0)</f>
        <v>110</v>
      </c>
      <c r="I1007">
        <v>399</v>
      </c>
      <c r="J1007">
        <v>319</v>
      </c>
      <c r="K1007" t="s">
        <v>1097</v>
      </c>
      <c r="L1007">
        <v>638</v>
      </c>
      <c r="M1007" t="s">
        <v>1093</v>
      </c>
      <c r="N1007" t="s">
        <v>1099</v>
      </c>
      <c r="O1007">
        <f>Table1[[#This Row],[Unit_Price]]*Table1[[#This Row],[Quantity]]</f>
        <v>220</v>
      </c>
    </row>
    <row r="1008" spans="1:15" x14ac:dyDescent="0.3">
      <c r="A1008" t="s">
        <v>2650</v>
      </c>
      <c r="B1008" t="s">
        <v>1938</v>
      </c>
      <c r="C1008" t="s">
        <v>457</v>
      </c>
      <c r="D1008" t="s">
        <v>1062</v>
      </c>
      <c r="E1008">
        <v>1</v>
      </c>
      <c r="F1008">
        <f>_xlfn.XLOOKUP(Table1[[#This Row],[ProductID]],Products!A:A,Products!D:D,,0)</f>
        <v>95</v>
      </c>
      <c r="I1008">
        <v>349</v>
      </c>
      <c r="J1008">
        <v>314</v>
      </c>
      <c r="K1008" t="s">
        <v>1107</v>
      </c>
      <c r="L1008">
        <v>314</v>
      </c>
      <c r="M1008" t="s">
        <v>1126</v>
      </c>
      <c r="N1008" t="s">
        <v>1123</v>
      </c>
      <c r="O1008">
        <f>Table1[[#This Row],[Unit_Price]]*Table1[[#This Row],[Quantity]]</f>
        <v>95</v>
      </c>
    </row>
    <row r="1009" spans="1:15" x14ac:dyDescent="0.3">
      <c r="A1009" t="s">
        <v>2651</v>
      </c>
      <c r="B1009" t="s">
        <v>2652</v>
      </c>
      <c r="C1009" t="s">
        <v>281</v>
      </c>
      <c r="D1009" t="s">
        <v>1053</v>
      </c>
      <c r="E1009">
        <v>1</v>
      </c>
      <c r="F1009">
        <f>_xlfn.XLOOKUP(Table1[[#This Row],[ProductID]],Products!A:A,Products!D:D,,0)</f>
        <v>200</v>
      </c>
      <c r="I1009">
        <v>899</v>
      </c>
      <c r="J1009">
        <v>899</v>
      </c>
      <c r="K1009" t="s">
        <v>1102</v>
      </c>
      <c r="L1009">
        <v>899</v>
      </c>
      <c r="M1009" t="s">
        <v>1093</v>
      </c>
      <c r="N1009" t="s">
        <v>1099</v>
      </c>
      <c r="O1009">
        <f>Table1[[#This Row],[Unit_Price]]*Table1[[#This Row],[Quantity]]</f>
        <v>200</v>
      </c>
    </row>
    <row r="1010" spans="1:15" x14ac:dyDescent="0.3">
      <c r="A1010" t="s">
        <v>2653</v>
      </c>
      <c r="B1010" t="s">
        <v>2654</v>
      </c>
      <c r="C1010" t="s">
        <v>969</v>
      </c>
      <c r="D1010" t="s">
        <v>1075</v>
      </c>
      <c r="E1010">
        <v>2</v>
      </c>
      <c r="F1010">
        <f>_xlfn.XLOOKUP(Table1[[#This Row],[ProductID]],Products!A:A,Products!D:D,,0)</f>
        <v>80</v>
      </c>
      <c r="I1010">
        <v>499</v>
      </c>
      <c r="J1010">
        <v>449</v>
      </c>
      <c r="K1010" t="s">
        <v>1107</v>
      </c>
      <c r="L1010">
        <v>898</v>
      </c>
      <c r="M1010" t="s">
        <v>1098</v>
      </c>
      <c r="N1010" t="s">
        <v>1099</v>
      </c>
      <c r="O1010">
        <f>Table1[[#This Row],[Unit_Price]]*Table1[[#This Row],[Quantity]]</f>
        <v>160</v>
      </c>
    </row>
    <row r="1011" spans="1:15" x14ac:dyDescent="0.3">
      <c r="A1011" t="s">
        <v>2655</v>
      </c>
      <c r="B1011" t="s">
        <v>2287</v>
      </c>
      <c r="C1011" t="s">
        <v>355</v>
      </c>
      <c r="D1011" t="s">
        <v>1053</v>
      </c>
      <c r="E1011">
        <v>2</v>
      </c>
      <c r="F1011">
        <f>_xlfn.XLOOKUP(Table1[[#This Row],[ProductID]],Products!A:A,Products!D:D,,0)</f>
        <v>200</v>
      </c>
      <c r="I1011">
        <v>899</v>
      </c>
      <c r="J1011">
        <v>809</v>
      </c>
      <c r="K1011" t="s">
        <v>1107</v>
      </c>
      <c r="L1011">
        <v>1618</v>
      </c>
      <c r="M1011" t="s">
        <v>1098</v>
      </c>
      <c r="N1011" t="s">
        <v>1099</v>
      </c>
      <c r="O1011">
        <f>Table1[[#This Row],[Unit_Price]]*Table1[[#This Row],[Quantity]]</f>
        <v>400</v>
      </c>
    </row>
    <row r="1012" spans="1:15" x14ac:dyDescent="0.3">
      <c r="A1012" t="s">
        <v>2656</v>
      </c>
      <c r="B1012" t="s">
        <v>1325</v>
      </c>
      <c r="C1012" t="s">
        <v>285</v>
      </c>
      <c r="D1012" t="s">
        <v>1048</v>
      </c>
      <c r="E1012">
        <v>3</v>
      </c>
      <c r="F1012">
        <f>_xlfn.XLOOKUP(Table1[[#This Row],[ProductID]],Products!A:A,Products!D:D,,0)</f>
        <v>120</v>
      </c>
      <c r="I1012">
        <v>599</v>
      </c>
      <c r="J1012">
        <v>509</v>
      </c>
      <c r="K1012" t="s">
        <v>1092</v>
      </c>
      <c r="L1012">
        <v>1527</v>
      </c>
      <c r="M1012" t="s">
        <v>1118</v>
      </c>
      <c r="N1012" t="s">
        <v>1099</v>
      </c>
      <c r="O1012">
        <f>Table1[[#This Row],[Unit_Price]]*Table1[[#This Row],[Quantity]]</f>
        <v>360</v>
      </c>
    </row>
    <row r="1013" spans="1:15" x14ac:dyDescent="0.3">
      <c r="A1013" t="s">
        <v>2657</v>
      </c>
      <c r="B1013" t="s">
        <v>2658</v>
      </c>
      <c r="C1013" t="s">
        <v>729</v>
      </c>
      <c r="D1013" t="s">
        <v>1057</v>
      </c>
      <c r="E1013">
        <v>3</v>
      </c>
      <c r="F1013">
        <f>_xlfn.XLOOKUP(Table1[[#This Row],[ProductID]],Products!A:A,Products!D:D,,0)</f>
        <v>130</v>
      </c>
      <c r="I1013">
        <v>549</v>
      </c>
      <c r="J1013">
        <v>439</v>
      </c>
      <c r="K1013" t="s">
        <v>1097</v>
      </c>
      <c r="L1013">
        <v>1317</v>
      </c>
      <c r="M1013" t="s">
        <v>1098</v>
      </c>
      <c r="N1013" t="s">
        <v>1123</v>
      </c>
      <c r="O1013">
        <f>Table1[[#This Row],[Unit_Price]]*Table1[[#This Row],[Quantity]]</f>
        <v>390</v>
      </c>
    </row>
    <row r="1014" spans="1:15" x14ac:dyDescent="0.3">
      <c r="A1014" t="s">
        <v>2659</v>
      </c>
      <c r="B1014" t="s">
        <v>1778</v>
      </c>
      <c r="C1014" t="s">
        <v>20</v>
      </c>
      <c r="D1014" t="s">
        <v>1048</v>
      </c>
      <c r="E1014">
        <v>1</v>
      </c>
      <c r="F1014">
        <f>_xlfn.XLOOKUP(Table1[[#This Row],[ProductID]],Products!A:A,Products!D:D,,0)</f>
        <v>120</v>
      </c>
      <c r="I1014">
        <v>599</v>
      </c>
      <c r="J1014">
        <v>479</v>
      </c>
      <c r="K1014" t="s">
        <v>1097</v>
      </c>
      <c r="L1014">
        <v>479</v>
      </c>
      <c r="M1014" t="s">
        <v>1098</v>
      </c>
      <c r="N1014" t="s">
        <v>1099</v>
      </c>
      <c r="O1014">
        <f>Table1[[#This Row],[Unit_Price]]*Table1[[#This Row],[Quantity]]</f>
        <v>120</v>
      </c>
    </row>
    <row r="1015" spans="1:15" x14ac:dyDescent="0.3">
      <c r="A1015" t="s">
        <v>2660</v>
      </c>
      <c r="B1015" t="s">
        <v>1835</v>
      </c>
      <c r="C1015" t="s">
        <v>565</v>
      </c>
      <c r="D1015" t="s">
        <v>1055</v>
      </c>
      <c r="E1015">
        <v>2</v>
      </c>
      <c r="F1015">
        <f>_xlfn.XLOOKUP(Table1[[#This Row],[ProductID]],Products!A:A,Products!D:D,,0)</f>
        <v>75</v>
      </c>
      <c r="I1015">
        <v>299</v>
      </c>
      <c r="J1015">
        <v>269</v>
      </c>
      <c r="K1015" t="s">
        <v>1107</v>
      </c>
      <c r="L1015">
        <v>538</v>
      </c>
      <c r="M1015" t="s">
        <v>1126</v>
      </c>
      <c r="N1015" t="s">
        <v>1099</v>
      </c>
      <c r="O1015">
        <f>Table1[[#This Row],[Unit_Price]]*Table1[[#This Row],[Quantity]]</f>
        <v>150</v>
      </c>
    </row>
    <row r="1016" spans="1:15" x14ac:dyDescent="0.3">
      <c r="A1016" t="s">
        <v>2661</v>
      </c>
      <c r="B1016" t="s">
        <v>2608</v>
      </c>
      <c r="C1016" t="s">
        <v>927</v>
      </c>
      <c r="D1016" t="s">
        <v>1059</v>
      </c>
      <c r="E1016">
        <v>1</v>
      </c>
      <c r="F1016">
        <f>_xlfn.XLOOKUP(Table1[[#This Row],[ProductID]],Products!A:A,Products!D:D,,0)</f>
        <v>110</v>
      </c>
      <c r="I1016">
        <v>399</v>
      </c>
      <c r="J1016">
        <v>399</v>
      </c>
      <c r="K1016" t="s">
        <v>1102</v>
      </c>
      <c r="L1016">
        <v>399</v>
      </c>
      <c r="M1016" t="s">
        <v>1093</v>
      </c>
      <c r="N1016" t="s">
        <v>1099</v>
      </c>
      <c r="O1016">
        <f>Table1[[#This Row],[Unit_Price]]*Table1[[#This Row],[Quantity]]</f>
        <v>110</v>
      </c>
    </row>
    <row r="1017" spans="1:15" x14ac:dyDescent="0.3">
      <c r="A1017" t="s">
        <v>2662</v>
      </c>
      <c r="B1017" t="s">
        <v>2658</v>
      </c>
      <c r="C1017" t="s">
        <v>811</v>
      </c>
      <c r="D1017" t="s">
        <v>1059</v>
      </c>
      <c r="E1017">
        <v>1</v>
      </c>
      <c r="F1017">
        <f>_xlfn.XLOOKUP(Table1[[#This Row],[ProductID]],Products!A:A,Products!D:D,,0)</f>
        <v>110</v>
      </c>
      <c r="I1017">
        <v>399</v>
      </c>
      <c r="J1017">
        <v>319</v>
      </c>
      <c r="K1017" t="s">
        <v>1097</v>
      </c>
      <c r="L1017">
        <v>319</v>
      </c>
      <c r="M1017" t="s">
        <v>1098</v>
      </c>
      <c r="N1017" t="s">
        <v>1099</v>
      </c>
      <c r="O1017">
        <f>Table1[[#This Row],[Unit_Price]]*Table1[[#This Row],[Quantity]]</f>
        <v>110</v>
      </c>
    </row>
    <row r="1018" spans="1:15" x14ac:dyDescent="0.3">
      <c r="A1018" t="s">
        <v>2663</v>
      </c>
      <c r="B1018" t="s">
        <v>2664</v>
      </c>
      <c r="C1018" t="s">
        <v>649</v>
      </c>
      <c r="D1018" t="s">
        <v>1053</v>
      </c>
      <c r="E1018">
        <v>3</v>
      </c>
      <c r="F1018">
        <f>_xlfn.XLOOKUP(Table1[[#This Row],[ProductID]],Products!A:A,Products!D:D,,0)</f>
        <v>200</v>
      </c>
      <c r="I1018">
        <v>899</v>
      </c>
      <c r="J1018">
        <v>809</v>
      </c>
      <c r="K1018" t="s">
        <v>1107</v>
      </c>
      <c r="L1018">
        <v>2427</v>
      </c>
      <c r="M1018" t="s">
        <v>1093</v>
      </c>
      <c r="N1018" t="s">
        <v>1094</v>
      </c>
      <c r="O1018">
        <f>Table1[[#This Row],[Unit_Price]]*Table1[[#This Row],[Quantity]]</f>
        <v>600</v>
      </c>
    </row>
    <row r="1019" spans="1:15" x14ac:dyDescent="0.3">
      <c r="A1019" t="s">
        <v>2665</v>
      </c>
      <c r="B1019" t="s">
        <v>1870</v>
      </c>
      <c r="C1019" t="s">
        <v>154</v>
      </c>
      <c r="D1019" t="s">
        <v>1071</v>
      </c>
      <c r="E1019">
        <v>4</v>
      </c>
      <c r="F1019">
        <f>_xlfn.XLOOKUP(Table1[[#This Row],[ProductID]],Products!A:A,Products!D:D,,0)</f>
        <v>125</v>
      </c>
      <c r="I1019">
        <v>399</v>
      </c>
      <c r="J1019">
        <v>339</v>
      </c>
      <c r="K1019" t="s">
        <v>1092</v>
      </c>
      <c r="L1019">
        <v>1356</v>
      </c>
      <c r="M1019" t="s">
        <v>1098</v>
      </c>
      <c r="N1019" t="s">
        <v>1099</v>
      </c>
      <c r="O1019">
        <f>Table1[[#This Row],[Unit_Price]]*Table1[[#This Row],[Quantity]]</f>
        <v>500</v>
      </c>
    </row>
    <row r="1020" spans="1:15" x14ac:dyDescent="0.3">
      <c r="A1020" t="s">
        <v>2666</v>
      </c>
      <c r="B1020" t="s">
        <v>1696</v>
      </c>
      <c r="C1020" t="s">
        <v>821</v>
      </c>
      <c r="D1020" t="s">
        <v>1080</v>
      </c>
      <c r="E1020">
        <v>3</v>
      </c>
      <c r="F1020">
        <f>_xlfn.XLOOKUP(Table1[[#This Row],[ProductID]],Products!A:A,Products!D:D,,0)</f>
        <v>45</v>
      </c>
      <c r="I1020">
        <v>249</v>
      </c>
      <c r="J1020">
        <v>249</v>
      </c>
      <c r="K1020" t="s">
        <v>1102</v>
      </c>
      <c r="L1020">
        <v>747</v>
      </c>
      <c r="M1020" t="s">
        <v>1098</v>
      </c>
      <c r="N1020" t="s">
        <v>1099</v>
      </c>
      <c r="O1020">
        <f>Table1[[#This Row],[Unit_Price]]*Table1[[#This Row],[Quantity]]</f>
        <v>135</v>
      </c>
    </row>
    <row r="1021" spans="1:15" x14ac:dyDescent="0.3">
      <c r="A1021" t="s">
        <v>2667</v>
      </c>
      <c r="B1021" t="s">
        <v>2668</v>
      </c>
      <c r="C1021" t="s">
        <v>891</v>
      </c>
      <c r="D1021" t="s">
        <v>1078</v>
      </c>
      <c r="E1021">
        <v>2</v>
      </c>
      <c r="F1021">
        <f>_xlfn.XLOOKUP(Table1[[#This Row],[ProductID]],Products!A:A,Products!D:D,,0)</f>
        <v>80</v>
      </c>
      <c r="I1021">
        <v>499</v>
      </c>
      <c r="J1021">
        <v>424</v>
      </c>
      <c r="K1021" t="s">
        <v>1092</v>
      </c>
      <c r="L1021">
        <v>848</v>
      </c>
      <c r="M1021" t="s">
        <v>1093</v>
      </c>
      <c r="N1021" t="s">
        <v>1094</v>
      </c>
      <c r="O1021">
        <f>Table1[[#This Row],[Unit_Price]]*Table1[[#This Row],[Quantity]]</f>
        <v>160</v>
      </c>
    </row>
    <row r="1022" spans="1:15" x14ac:dyDescent="0.3">
      <c r="A1022" t="s">
        <v>2669</v>
      </c>
      <c r="B1022" t="s">
        <v>1929</v>
      </c>
      <c r="C1022" t="s">
        <v>625</v>
      </c>
      <c r="D1022" t="s">
        <v>1066</v>
      </c>
      <c r="E1022">
        <v>1</v>
      </c>
      <c r="F1022">
        <f>_xlfn.XLOOKUP(Table1[[#This Row],[ProductID]],Products!A:A,Products!D:D,,0)</f>
        <v>140</v>
      </c>
      <c r="I1022">
        <v>499</v>
      </c>
      <c r="J1022">
        <v>399</v>
      </c>
      <c r="K1022" t="s">
        <v>1097</v>
      </c>
      <c r="L1022">
        <v>399</v>
      </c>
      <c r="M1022" t="s">
        <v>1098</v>
      </c>
      <c r="N1022" t="s">
        <v>1099</v>
      </c>
      <c r="O1022">
        <f>Table1[[#This Row],[Unit_Price]]*Table1[[#This Row],[Quantity]]</f>
        <v>140</v>
      </c>
    </row>
    <row r="1023" spans="1:15" x14ac:dyDescent="0.3">
      <c r="A1023" t="s">
        <v>2670</v>
      </c>
      <c r="B1023" t="s">
        <v>2441</v>
      </c>
      <c r="C1023" t="s">
        <v>891</v>
      </c>
      <c r="D1023" t="s">
        <v>1051</v>
      </c>
      <c r="E1023">
        <v>1</v>
      </c>
      <c r="F1023">
        <f>_xlfn.XLOOKUP(Table1[[#This Row],[ProductID]],Products!A:A,Products!D:D,,0)</f>
        <v>150</v>
      </c>
      <c r="I1023">
        <v>499</v>
      </c>
      <c r="J1023">
        <v>424</v>
      </c>
      <c r="K1023" t="s">
        <v>1092</v>
      </c>
      <c r="L1023">
        <v>424</v>
      </c>
      <c r="M1023" t="s">
        <v>1126</v>
      </c>
      <c r="N1023" t="s">
        <v>1099</v>
      </c>
      <c r="O1023">
        <f>Table1[[#This Row],[Unit_Price]]*Table1[[#This Row],[Quantity]]</f>
        <v>150</v>
      </c>
    </row>
    <row r="1024" spans="1:15" x14ac:dyDescent="0.3">
      <c r="A1024" t="s">
        <v>2671</v>
      </c>
      <c r="B1024" t="s">
        <v>1490</v>
      </c>
      <c r="C1024" t="s">
        <v>112</v>
      </c>
      <c r="D1024" t="s">
        <v>1068</v>
      </c>
      <c r="E1024">
        <v>1</v>
      </c>
      <c r="F1024">
        <f>_xlfn.XLOOKUP(Table1[[#This Row],[ProductID]],Products!A:A,Products!D:D,,0)</f>
        <v>180</v>
      </c>
      <c r="I1024">
        <v>449</v>
      </c>
      <c r="J1024">
        <v>404</v>
      </c>
      <c r="K1024" t="s">
        <v>1107</v>
      </c>
      <c r="L1024">
        <v>404</v>
      </c>
      <c r="M1024" t="s">
        <v>1126</v>
      </c>
      <c r="N1024" t="s">
        <v>1099</v>
      </c>
      <c r="O1024">
        <f>Table1[[#This Row],[Unit_Price]]*Table1[[#This Row],[Quantity]]</f>
        <v>180</v>
      </c>
    </row>
    <row r="1025" spans="1:15" x14ac:dyDescent="0.3">
      <c r="A1025" t="s">
        <v>2672</v>
      </c>
      <c r="B1025" t="s">
        <v>1478</v>
      </c>
      <c r="C1025" t="s">
        <v>279</v>
      </c>
      <c r="D1025" t="s">
        <v>1075</v>
      </c>
      <c r="E1025">
        <v>2</v>
      </c>
      <c r="F1025">
        <f>_xlfn.XLOOKUP(Table1[[#This Row],[ProductID]],Products!A:A,Products!D:D,,0)</f>
        <v>80</v>
      </c>
      <c r="I1025">
        <v>499</v>
      </c>
      <c r="J1025">
        <v>449</v>
      </c>
      <c r="K1025" t="s">
        <v>1107</v>
      </c>
      <c r="L1025">
        <v>898</v>
      </c>
      <c r="M1025" t="s">
        <v>1098</v>
      </c>
      <c r="N1025" t="s">
        <v>1099</v>
      </c>
      <c r="O1025">
        <f>Table1[[#This Row],[Unit_Price]]*Table1[[#This Row],[Quantity]]</f>
        <v>160</v>
      </c>
    </row>
    <row r="1026" spans="1:15" x14ac:dyDescent="0.3">
      <c r="A1026" t="s">
        <v>2673</v>
      </c>
      <c r="B1026" t="s">
        <v>2674</v>
      </c>
      <c r="C1026" t="s">
        <v>617</v>
      </c>
      <c r="D1026" t="s">
        <v>1068</v>
      </c>
      <c r="E1026">
        <v>2</v>
      </c>
      <c r="F1026">
        <f>_xlfn.XLOOKUP(Table1[[#This Row],[ProductID]],Products!A:A,Products!D:D,,0)</f>
        <v>180</v>
      </c>
      <c r="I1026">
        <v>449</v>
      </c>
      <c r="J1026">
        <v>449</v>
      </c>
      <c r="K1026" t="s">
        <v>1102</v>
      </c>
      <c r="L1026">
        <v>898</v>
      </c>
      <c r="M1026" t="s">
        <v>1093</v>
      </c>
      <c r="N1026" t="s">
        <v>1099</v>
      </c>
      <c r="O1026">
        <f>Table1[[#This Row],[Unit_Price]]*Table1[[#This Row],[Quantity]]</f>
        <v>360</v>
      </c>
    </row>
    <row r="1027" spans="1:15" x14ac:dyDescent="0.3">
      <c r="A1027" t="s">
        <v>2675</v>
      </c>
      <c r="B1027" t="s">
        <v>1529</v>
      </c>
      <c r="C1027" t="s">
        <v>373</v>
      </c>
      <c r="D1027" t="s">
        <v>1068</v>
      </c>
      <c r="E1027">
        <v>1</v>
      </c>
      <c r="F1027">
        <f>_xlfn.XLOOKUP(Table1[[#This Row],[ProductID]],Products!A:A,Products!D:D,,0)</f>
        <v>180</v>
      </c>
      <c r="I1027">
        <v>449</v>
      </c>
      <c r="J1027">
        <v>449</v>
      </c>
      <c r="K1027" t="s">
        <v>1102</v>
      </c>
      <c r="L1027">
        <v>449</v>
      </c>
      <c r="M1027" t="s">
        <v>1098</v>
      </c>
      <c r="N1027" t="s">
        <v>1099</v>
      </c>
      <c r="O1027">
        <f>Table1[[#This Row],[Unit_Price]]*Table1[[#This Row],[Quantity]]</f>
        <v>180</v>
      </c>
    </row>
    <row r="1028" spans="1:15" x14ac:dyDescent="0.3">
      <c r="A1028" t="s">
        <v>2676</v>
      </c>
      <c r="B1028" t="s">
        <v>2030</v>
      </c>
      <c r="C1028" t="s">
        <v>869</v>
      </c>
      <c r="D1028" t="s">
        <v>1053</v>
      </c>
      <c r="E1028">
        <v>1</v>
      </c>
      <c r="F1028">
        <f>_xlfn.XLOOKUP(Table1[[#This Row],[ProductID]],Products!A:A,Products!D:D,,0)</f>
        <v>200</v>
      </c>
      <c r="I1028">
        <v>899</v>
      </c>
      <c r="J1028">
        <v>899</v>
      </c>
      <c r="K1028" t="s">
        <v>1102</v>
      </c>
      <c r="L1028">
        <v>899</v>
      </c>
      <c r="M1028" t="s">
        <v>1126</v>
      </c>
      <c r="N1028" t="s">
        <v>1099</v>
      </c>
      <c r="O1028">
        <f>Table1[[#This Row],[Unit_Price]]*Table1[[#This Row],[Quantity]]</f>
        <v>200</v>
      </c>
    </row>
    <row r="1029" spans="1:15" x14ac:dyDescent="0.3">
      <c r="A1029" t="s">
        <v>2677</v>
      </c>
      <c r="B1029" t="s">
        <v>1370</v>
      </c>
      <c r="C1029" t="s">
        <v>349</v>
      </c>
      <c r="D1029" t="s">
        <v>1059</v>
      </c>
      <c r="E1029">
        <v>4</v>
      </c>
      <c r="F1029">
        <f>_xlfn.XLOOKUP(Table1[[#This Row],[ProductID]],Products!A:A,Products!D:D,,0)</f>
        <v>110</v>
      </c>
      <c r="I1029">
        <v>399</v>
      </c>
      <c r="J1029">
        <v>399</v>
      </c>
      <c r="K1029" t="s">
        <v>1102</v>
      </c>
      <c r="L1029">
        <v>1596</v>
      </c>
      <c r="M1029" t="s">
        <v>1098</v>
      </c>
      <c r="N1029" t="s">
        <v>1099</v>
      </c>
      <c r="O1029">
        <f>Table1[[#This Row],[Unit_Price]]*Table1[[#This Row],[Quantity]]</f>
        <v>440</v>
      </c>
    </row>
    <row r="1030" spans="1:15" x14ac:dyDescent="0.3">
      <c r="A1030" t="s">
        <v>2678</v>
      </c>
      <c r="B1030" t="s">
        <v>1236</v>
      </c>
      <c r="C1030" t="s">
        <v>275</v>
      </c>
      <c r="D1030" t="s">
        <v>1048</v>
      </c>
      <c r="E1030">
        <v>3</v>
      </c>
      <c r="F1030">
        <f>_xlfn.XLOOKUP(Table1[[#This Row],[ProductID]],Products!A:A,Products!D:D,,0)</f>
        <v>120</v>
      </c>
      <c r="I1030">
        <v>599</v>
      </c>
      <c r="J1030">
        <v>599</v>
      </c>
      <c r="K1030" t="s">
        <v>1102</v>
      </c>
      <c r="L1030">
        <v>1797</v>
      </c>
      <c r="M1030" t="s">
        <v>1098</v>
      </c>
      <c r="N1030" t="s">
        <v>1099</v>
      </c>
      <c r="O1030">
        <f>Table1[[#This Row],[Unit_Price]]*Table1[[#This Row],[Quantity]]</f>
        <v>360</v>
      </c>
    </row>
    <row r="1031" spans="1:15" x14ac:dyDescent="0.3">
      <c r="A1031" t="s">
        <v>2679</v>
      </c>
      <c r="B1031" t="s">
        <v>2573</v>
      </c>
      <c r="C1031" t="s">
        <v>439</v>
      </c>
      <c r="D1031" t="s">
        <v>1068</v>
      </c>
      <c r="E1031">
        <v>2</v>
      </c>
      <c r="F1031">
        <f>_xlfn.XLOOKUP(Table1[[#This Row],[ProductID]],Products!A:A,Products!D:D,,0)</f>
        <v>180</v>
      </c>
      <c r="I1031">
        <v>449</v>
      </c>
      <c r="J1031">
        <v>404</v>
      </c>
      <c r="K1031" t="s">
        <v>1107</v>
      </c>
      <c r="L1031">
        <v>808</v>
      </c>
      <c r="M1031" t="s">
        <v>1098</v>
      </c>
      <c r="N1031" t="s">
        <v>1099</v>
      </c>
      <c r="O1031">
        <f>Table1[[#This Row],[Unit_Price]]*Table1[[#This Row],[Quantity]]</f>
        <v>360</v>
      </c>
    </row>
    <row r="1032" spans="1:15" x14ac:dyDescent="0.3">
      <c r="A1032" t="s">
        <v>2680</v>
      </c>
      <c r="B1032" t="s">
        <v>1319</v>
      </c>
      <c r="C1032" t="s">
        <v>941</v>
      </c>
      <c r="D1032" t="s">
        <v>1066</v>
      </c>
      <c r="E1032">
        <v>2</v>
      </c>
      <c r="F1032">
        <f>_xlfn.XLOOKUP(Table1[[#This Row],[ProductID]],Products!A:A,Products!D:D,,0)</f>
        <v>140</v>
      </c>
      <c r="I1032">
        <v>499</v>
      </c>
      <c r="J1032">
        <v>424</v>
      </c>
      <c r="K1032" t="s">
        <v>1092</v>
      </c>
      <c r="L1032">
        <v>848</v>
      </c>
      <c r="M1032" t="s">
        <v>1098</v>
      </c>
      <c r="N1032" t="s">
        <v>1099</v>
      </c>
      <c r="O1032">
        <f>Table1[[#This Row],[Unit_Price]]*Table1[[#This Row],[Quantity]]</f>
        <v>280</v>
      </c>
    </row>
    <row r="1033" spans="1:15" x14ac:dyDescent="0.3">
      <c r="A1033" t="s">
        <v>2681</v>
      </c>
      <c r="B1033" t="s">
        <v>2682</v>
      </c>
      <c r="C1033" t="s">
        <v>995</v>
      </c>
      <c r="D1033" t="s">
        <v>1078</v>
      </c>
      <c r="E1033">
        <v>1</v>
      </c>
      <c r="F1033">
        <f>_xlfn.XLOOKUP(Table1[[#This Row],[ProductID]],Products!A:A,Products!D:D,,0)</f>
        <v>80</v>
      </c>
      <c r="I1033">
        <v>499</v>
      </c>
      <c r="J1033">
        <v>499</v>
      </c>
      <c r="K1033" t="s">
        <v>1102</v>
      </c>
      <c r="L1033">
        <v>499</v>
      </c>
      <c r="M1033" t="s">
        <v>1126</v>
      </c>
      <c r="N1033" t="s">
        <v>1099</v>
      </c>
      <c r="O1033">
        <f>Table1[[#This Row],[Unit_Price]]*Table1[[#This Row],[Quantity]]</f>
        <v>80</v>
      </c>
    </row>
    <row r="1034" spans="1:15" x14ac:dyDescent="0.3">
      <c r="A1034" t="s">
        <v>2683</v>
      </c>
      <c r="B1034" t="s">
        <v>1606</v>
      </c>
      <c r="C1034" t="s">
        <v>919</v>
      </c>
      <c r="D1034" t="s">
        <v>1055</v>
      </c>
      <c r="E1034">
        <v>2</v>
      </c>
      <c r="F1034">
        <f>_xlfn.XLOOKUP(Table1[[#This Row],[ProductID]],Products!A:A,Products!D:D,,0)</f>
        <v>75</v>
      </c>
      <c r="I1034">
        <v>299</v>
      </c>
      <c r="J1034">
        <v>299</v>
      </c>
      <c r="K1034" t="s">
        <v>1102</v>
      </c>
      <c r="L1034">
        <v>598</v>
      </c>
      <c r="M1034" t="s">
        <v>1093</v>
      </c>
      <c r="N1034" t="s">
        <v>1099</v>
      </c>
      <c r="O1034">
        <f>Table1[[#This Row],[Unit_Price]]*Table1[[#This Row],[Quantity]]</f>
        <v>150</v>
      </c>
    </row>
    <row r="1035" spans="1:15" x14ac:dyDescent="0.3">
      <c r="A1035" t="s">
        <v>2684</v>
      </c>
      <c r="B1035" t="s">
        <v>1920</v>
      </c>
      <c r="C1035" t="s">
        <v>89</v>
      </c>
      <c r="D1035" t="s">
        <v>1059</v>
      </c>
      <c r="E1035">
        <v>1</v>
      </c>
      <c r="F1035">
        <f>_xlfn.XLOOKUP(Table1[[#This Row],[ProductID]],Products!A:A,Products!D:D,,0)</f>
        <v>110</v>
      </c>
      <c r="I1035">
        <v>399</v>
      </c>
      <c r="J1035">
        <v>319</v>
      </c>
      <c r="K1035" t="s">
        <v>1097</v>
      </c>
      <c r="L1035">
        <v>319</v>
      </c>
      <c r="M1035" t="s">
        <v>1093</v>
      </c>
      <c r="N1035" t="s">
        <v>1123</v>
      </c>
      <c r="O1035">
        <f>Table1[[#This Row],[Unit_Price]]*Table1[[#This Row],[Quantity]]</f>
        <v>110</v>
      </c>
    </row>
    <row r="1036" spans="1:15" x14ac:dyDescent="0.3">
      <c r="A1036" t="s">
        <v>2685</v>
      </c>
      <c r="B1036" t="s">
        <v>2686</v>
      </c>
      <c r="C1036" t="s">
        <v>433</v>
      </c>
      <c r="D1036" t="s">
        <v>1068</v>
      </c>
      <c r="E1036">
        <v>1</v>
      </c>
      <c r="F1036">
        <f>_xlfn.XLOOKUP(Table1[[#This Row],[ProductID]],Products!A:A,Products!D:D,,0)</f>
        <v>180</v>
      </c>
      <c r="I1036">
        <v>449</v>
      </c>
      <c r="J1036">
        <v>404</v>
      </c>
      <c r="K1036" t="s">
        <v>1107</v>
      </c>
      <c r="L1036">
        <v>404</v>
      </c>
      <c r="M1036" t="s">
        <v>1093</v>
      </c>
      <c r="N1036" t="s">
        <v>1123</v>
      </c>
      <c r="O1036">
        <f>Table1[[#This Row],[Unit_Price]]*Table1[[#This Row],[Quantity]]</f>
        <v>180</v>
      </c>
    </row>
    <row r="1037" spans="1:15" x14ac:dyDescent="0.3">
      <c r="A1037" t="s">
        <v>2687</v>
      </c>
      <c r="B1037" t="s">
        <v>2688</v>
      </c>
      <c r="C1037" t="s">
        <v>639</v>
      </c>
      <c r="D1037" t="s">
        <v>1053</v>
      </c>
      <c r="E1037">
        <v>2</v>
      </c>
      <c r="F1037">
        <f>_xlfn.XLOOKUP(Table1[[#This Row],[ProductID]],Products!A:A,Products!D:D,,0)</f>
        <v>200</v>
      </c>
      <c r="I1037">
        <v>899</v>
      </c>
      <c r="J1037">
        <v>899</v>
      </c>
      <c r="K1037" t="s">
        <v>1102</v>
      </c>
      <c r="L1037">
        <v>1798</v>
      </c>
      <c r="M1037" t="s">
        <v>1093</v>
      </c>
      <c r="N1037" t="s">
        <v>1094</v>
      </c>
      <c r="O1037">
        <f>Table1[[#This Row],[Unit_Price]]*Table1[[#This Row],[Quantity]]</f>
        <v>400</v>
      </c>
    </row>
    <row r="1038" spans="1:15" x14ac:dyDescent="0.3">
      <c r="A1038" t="s">
        <v>2689</v>
      </c>
      <c r="B1038" t="s">
        <v>2690</v>
      </c>
      <c r="C1038" t="s">
        <v>795</v>
      </c>
      <c r="D1038" t="s">
        <v>1053</v>
      </c>
      <c r="E1038">
        <v>2</v>
      </c>
      <c r="F1038">
        <f>_xlfn.XLOOKUP(Table1[[#This Row],[ProductID]],Products!A:A,Products!D:D,,0)</f>
        <v>200</v>
      </c>
      <c r="I1038">
        <v>899</v>
      </c>
      <c r="J1038">
        <v>899</v>
      </c>
      <c r="K1038" t="s">
        <v>1102</v>
      </c>
      <c r="L1038">
        <v>1798</v>
      </c>
      <c r="M1038" t="s">
        <v>1098</v>
      </c>
      <c r="N1038" t="s">
        <v>1099</v>
      </c>
      <c r="O1038">
        <f>Table1[[#This Row],[Unit_Price]]*Table1[[#This Row],[Quantity]]</f>
        <v>400</v>
      </c>
    </row>
    <row r="1039" spans="1:15" x14ac:dyDescent="0.3">
      <c r="A1039" t="s">
        <v>2691</v>
      </c>
      <c r="B1039" t="s">
        <v>2523</v>
      </c>
      <c r="C1039" t="s">
        <v>829</v>
      </c>
      <c r="D1039" t="s">
        <v>1068</v>
      </c>
      <c r="E1039">
        <v>2</v>
      </c>
      <c r="F1039">
        <f>_xlfn.XLOOKUP(Table1[[#This Row],[ProductID]],Products!A:A,Products!D:D,,0)</f>
        <v>180</v>
      </c>
      <c r="I1039">
        <v>449</v>
      </c>
      <c r="J1039">
        <v>404</v>
      </c>
      <c r="K1039" t="s">
        <v>1107</v>
      </c>
      <c r="L1039">
        <v>808</v>
      </c>
      <c r="M1039" t="s">
        <v>1098</v>
      </c>
      <c r="N1039" t="s">
        <v>1099</v>
      </c>
      <c r="O1039">
        <f>Table1[[#This Row],[Unit_Price]]*Table1[[#This Row],[Quantity]]</f>
        <v>360</v>
      </c>
    </row>
    <row r="1040" spans="1:15" x14ac:dyDescent="0.3">
      <c r="A1040" t="s">
        <v>2692</v>
      </c>
      <c r="B1040" t="s">
        <v>1664</v>
      </c>
      <c r="C1040" t="s">
        <v>711</v>
      </c>
      <c r="D1040" t="s">
        <v>1062</v>
      </c>
      <c r="E1040">
        <v>1</v>
      </c>
      <c r="F1040">
        <f>_xlfn.XLOOKUP(Table1[[#This Row],[ProductID]],Products!A:A,Products!D:D,,0)</f>
        <v>95</v>
      </c>
      <c r="I1040">
        <v>349</v>
      </c>
      <c r="J1040">
        <v>314</v>
      </c>
      <c r="K1040" t="s">
        <v>1107</v>
      </c>
      <c r="L1040">
        <v>314</v>
      </c>
      <c r="M1040" t="s">
        <v>1098</v>
      </c>
      <c r="N1040" t="s">
        <v>1099</v>
      </c>
      <c r="O1040">
        <f>Table1[[#This Row],[Unit_Price]]*Table1[[#This Row],[Quantity]]</f>
        <v>95</v>
      </c>
    </row>
    <row r="1041" spans="1:15" x14ac:dyDescent="0.3">
      <c r="A1041" t="s">
        <v>2693</v>
      </c>
      <c r="B1041" t="s">
        <v>1799</v>
      </c>
      <c r="C1041" t="s">
        <v>807</v>
      </c>
      <c r="D1041" t="s">
        <v>1053</v>
      </c>
      <c r="E1041">
        <v>1</v>
      </c>
      <c r="F1041">
        <f>_xlfn.XLOOKUP(Table1[[#This Row],[ProductID]],Products!A:A,Products!D:D,,0)</f>
        <v>200</v>
      </c>
      <c r="I1041">
        <v>899</v>
      </c>
      <c r="J1041">
        <v>719</v>
      </c>
      <c r="K1041" t="s">
        <v>1097</v>
      </c>
      <c r="L1041">
        <v>719</v>
      </c>
      <c r="M1041" t="s">
        <v>1098</v>
      </c>
      <c r="N1041" t="s">
        <v>1099</v>
      </c>
      <c r="O1041">
        <f>Table1[[#This Row],[Unit_Price]]*Table1[[#This Row],[Quantity]]</f>
        <v>200</v>
      </c>
    </row>
    <row r="1042" spans="1:15" x14ac:dyDescent="0.3">
      <c r="A1042" t="s">
        <v>2694</v>
      </c>
      <c r="B1042" t="s">
        <v>2695</v>
      </c>
      <c r="C1042" t="s">
        <v>95</v>
      </c>
      <c r="D1042" t="s">
        <v>1071</v>
      </c>
      <c r="E1042">
        <v>2</v>
      </c>
      <c r="F1042">
        <f>_xlfn.XLOOKUP(Table1[[#This Row],[ProductID]],Products!A:A,Products!D:D,,0)</f>
        <v>125</v>
      </c>
      <c r="I1042">
        <v>399</v>
      </c>
      <c r="J1042">
        <v>399</v>
      </c>
      <c r="K1042" t="s">
        <v>1102</v>
      </c>
      <c r="L1042">
        <v>798</v>
      </c>
      <c r="M1042" t="s">
        <v>1093</v>
      </c>
      <c r="N1042" t="s">
        <v>1099</v>
      </c>
      <c r="O1042">
        <f>Table1[[#This Row],[Unit_Price]]*Table1[[#This Row],[Quantity]]</f>
        <v>250</v>
      </c>
    </row>
    <row r="1043" spans="1:15" x14ac:dyDescent="0.3">
      <c r="A1043" t="s">
        <v>2696</v>
      </c>
      <c r="B1043" t="s">
        <v>1202</v>
      </c>
      <c r="C1043" t="s">
        <v>955</v>
      </c>
      <c r="D1043" t="s">
        <v>1064</v>
      </c>
      <c r="E1043">
        <v>1</v>
      </c>
      <c r="F1043">
        <f>_xlfn.XLOOKUP(Table1[[#This Row],[ProductID]],Products!A:A,Products!D:D,,0)</f>
        <v>160</v>
      </c>
      <c r="I1043">
        <v>699</v>
      </c>
      <c r="J1043">
        <v>594</v>
      </c>
      <c r="K1043" t="s">
        <v>1092</v>
      </c>
      <c r="L1043">
        <v>594</v>
      </c>
      <c r="M1043" t="s">
        <v>1093</v>
      </c>
      <c r="N1043" t="s">
        <v>1123</v>
      </c>
      <c r="O1043">
        <f>Table1[[#This Row],[Unit_Price]]*Table1[[#This Row],[Quantity]]</f>
        <v>160</v>
      </c>
    </row>
    <row r="1044" spans="1:15" x14ac:dyDescent="0.3">
      <c r="A1044" t="s">
        <v>2697</v>
      </c>
      <c r="B1044" t="s">
        <v>1870</v>
      </c>
      <c r="C1044" t="s">
        <v>383</v>
      </c>
      <c r="D1044" t="s">
        <v>1071</v>
      </c>
      <c r="E1044">
        <v>1</v>
      </c>
      <c r="F1044">
        <f>_xlfn.XLOOKUP(Table1[[#This Row],[ProductID]],Products!A:A,Products!D:D,,0)</f>
        <v>125</v>
      </c>
      <c r="I1044">
        <v>399</v>
      </c>
      <c r="J1044">
        <v>339</v>
      </c>
      <c r="K1044" t="s">
        <v>1092</v>
      </c>
      <c r="L1044">
        <v>339</v>
      </c>
      <c r="M1044" t="s">
        <v>1093</v>
      </c>
      <c r="N1044" t="s">
        <v>1099</v>
      </c>
      <c r="O1044">
        <f>Table1[[#This Row],[Unit_Price]]*Table1[[#This Row],[Quantity]]</f>
        <v>125</v>
      </c>
    </row>
    <row r="1045" spans="1:15" x14ac:dyDescent="0.3">
      <c r="A1045" t="s">
        <v>2698</v>
      </c>
      <c r="B1045" t="s">
        <v>2167</v>
      </c>
      <c r="C1045" t="s">
        <v>85</v>
      </c>
      <c r="D1045" t="s">
        <v>1048</v>
      </c>
      <c r="E1045">
        <v>3</v>
      </c>
      <c r="F1045">
        <f>_xlfn.XLOOKUP(Table1[[#This Row],[ProductID]],Products!A:A,Products!D:D,,0)</f>
        <v>120</v>
      </c>
      <c r="I1045">
        <v>599</v>
      </c>
      <c r="J1045">
        <v>539</v>
      </c>
      <c r="K1045" t="s">
        <v>1107</v>
      </c>
      <c r="L1045">
        <v>1617</v>
      </c>
      <c r="M1045" t="s">
        <v>1098</v>
      </c>
      <c r="N1045" t="s">
        <v>1099</v>
      </c>
      <c r="O1045">
        <f>Table1[[#This Row],[Unit_Price]]*Table1[[#This Row],[Quantity]]</f>
        <v>360</v>
      </c>
    </row>
    <row r="1046" spans="1:15" x14ac:dyDescent="0.3">
      <c r="A1046" t="s">
        <v>2699</v>
      </c>
      <c r="B1046" t="s">
        <v>2491</v>
      </c>
      <c r="C1046" t="s">
        <v>555</v>
      </c>
      <c r="D1046" t="s">
        <v>1066</v>
      </c>
      <c r="E1046">
        <v>1</v>
      </c>
      <c r="F1046">
        <f>_xlfn.XLOOKUP(Table1[[#This Row],[ProductID]],Products!A:A,Products!D:D,,0)</f>
        <v>140</v>
      </c>
      <c r="I1046">
        <v>499</v>
      </c>
      <c r="J1046">
        <v>424</v>
      </c>
      <c r="K1046" t="s">
        <v>1092</v>
      </c>
      <c r="L1046">
        <v>424</v>
      </c>
      <c r="M1046" t="s">
        <v>1093</v>
      </c>
      <c r="N1046" t="s">
        <v>1099</v>
      </c>
      <c r="O1046">
        <f>Table1[[#This Row],[Unit_Price]]*Table1[[#This Row],[Quantity]]</f>
        <v>140</v>
      </c>
    </row>
    <row r="1047" spans="1:15" x14ac:dyDescent="0.3">
      <c r="A1047" t="s">
        <v>2700</v>
      </c>
      <c r="B1047" t="s">
        <v>2701</v>
      </c>
      <c r="C1047" t="s">
        <v>633</v>
      </c>
      <c r="D1047" t="s">
        <v>1055</v>
      </c>
      <c r="E1047">
        <v>4</v>
      </c>
      <c r="F1047">
        <f>_xlfn.XLOOKUP(Table1[[#This Row],[ProductID]],Products!A:A,Products!D:D,,0)</f>
        <v>75</v>
      </c>
      <c r="I1047">
        <v>299</v>
      </c>
      <c r="J1047">
        <v>254</v>
      </c>
      <c r="K1047" t="s">
        <v>1092</v>
      </c>
      <c r="L1047">
        <v>1016</v>
      </c>
      <c r="M1047" t="s">
        <v>1093</v>
      </c>
      <c r="N1047" t="s">
        <v>1099</v>
      </c>
      <c r="O1047">
        <f>Table1[[#This Row],[Unit_Price]]*Table1[[#This Row],[Quantity]]</f>
        <v>300</v>
      </c>
    </row>
    <row r="1048" spans="1:15" x14ac:dyDescent="0.3">
      <c r="A1048" t="s">
        <v>2702</v>
      </c>
      <c r="B1048" t="s">
        <v>1828</v>
      </c>
      <c r="C1048" t="s">
        <v>735</v>
      </c>
      <c r="D1048" t="s">
        <v>1055</v>
      </c>
      <c r="E1048">
        <v>4</v>
      </c>
      <c r="F1048">
        <f>_xlfn.XLOOKUP(Table1[[#This Row],[ProductID]],Products!A:A,Products!D:D,,0)</f>
        <v>75</v>
      </c>
      <c r="I1048">
        <v>299</v>
      </c>
      <c r="J1048">
        <v>254</v>
      </c>
      <c r="K1048" t="s">
        <v>1092</v>
      </c>
      <c r="L1048">
        <v>1016</v>
      </c>
      <c r="M1048" t="s">
        <v>1093</v>
      </c>
      <c r="N1048" t="s">
        <v>1094</v>
      </c>
      <c r="O1048">
        <f>Table1[[#This Row],[Unit_Price]]*Table1[[#This Row],[Quantity]]</f>
        <v>300</v>
      </c>
    </row>
    <row r="1049" spans="1:15" x14ac:dyDescent="0.3">
      <c r="A1049" t="s">
        <v>2703</v>
      </c>
      <c r="B1049" t="s">
        <v>2581</v>
      </c>
      <c r="C1049" t="s">
        <v>431</v>
      </c>
      <c r="D1049" t="s">
        <v>1080</v>
      </c>
      <c r="E1049">
        <v>1</v>
      </c>
      <c r="F1049">
        <f>_xlfn.XLOOKUP(Table1[[#This Row],[ProductID]],Products!A:A,Products!D:D,,0)</f>
        <v>45</v>
      </c>
      <c r="I1049">
        <v>249</v>
      </c>
      <c r="J1049">
        <v>212</v>
      </c>
      <c r="K1049" t="s">
        <v>1092</v>
      </c>
      <c r="L1049">
        <v>212</v>
      </c>
      <c r="M1049" t="s">
        <v>1093</v>
      </c>
      <c r="N1049" t="s">
        <v>1123</v>
      </c>
      <c r="O1049">
        <f>Table1[[#This Row],[Unit_Price]]*Table1[[#This Row],[Quantity]]</f>
        <v>45</v>
      </c>
    </row>
    <row r="1050" spans="1:15" x14ac:dyDescent="0.3">
      <c r="A1050" t="s">
        <v>2704</v>
      </c>
      <c r="B1050" t="s">
        <v>2705</v>
      </c>
      <c r="C1050" t="s">
        <v>299</v>
      </c>
      <c r="D1050" t="s">
        <v>1080</v>
      </c>
      <c r="E1050">
        <v>3</v>
      </c>
      <c r="F1050">
        <f>_xlfn.XLOOKUP(Table1[[#This Row],[ProductID]],Products!A:A,Products!D:D,,0)</f>
        <v>45</v>
      </c>
      <c r="I1050">
        <v>249</v>
      </c>
      <c r="J1050">
        <v>249</v>
      </c>
      <c r="K1050" t="s">
        <v>1102</v>
      </c>
      <c r="L1050">
        <v>747</v>
      </c>
      <c r="M1050" t="s">
        <v>1098</v>
      </c>
      <c r="N1050" t="s">
        <v>1099</v>
      </c>
      <c r="O1050">
        <f>Table1[[#This Row],[Unit_Price]]*Table1[[#This Row],[Quantity]]</f>
        <v>135</v>
      </c>
    </row>
    <row r="1051" spans="1:15" x14ac:dyDescent="0.3">
      <c r="A1051" t="s">
        <v>2706</v>
      </c>
      <c r="B1051" t="s">
        <v>2055</v>
      </c>
      <c r="C1051" t="s">
        <v>577</v>
      </c>
      <c r="D1051" t="s">
        <v>1078</v>
      </c>
      <c r="E1051">
        <v>4</v>
      </c>
      <c r="F1051">
        <f>_xlfn.XLOOKUP(Table1[[#This Row],[ProductID]],Products!A:A,Products!D:D,,0)</f>
        <v>80</v>
      </c>
      <c r="I1051">
        <v>499</v>
      </c>
      <c r="J1051">
        <v>499</v>
      </c>
      <c r="K1051" t="s">
        <v>1102</v>
      </c>
      <c r="L1051">
        <v>1996</v>
      </c>
      <c r="M1051" t="s">
        <v>1098</v>
      </c>
      <c r="N1051" t="s">
        <v>1099</v>
      </c>
      <c r="O1051">
        <f>Table1[[#This Row],[Unit_Price]]*Table1[[#This Row],[Quantity]]</f>
        <v>320</v>
      </c>
    </row>
    <row r="1052" spans="1:15" x14ac:dyDescent="0.3">
      <c r="A1052" t="s">
        <v>2707</v>
      </c>
      <c r="B1052" t="s">
        <v>1345</v>
      </c>
      <c r="C1052" t="s">
        <v>273</v>
      </c>
      <c r="D1052" t="s">
        <v>1066</v>
      </c>
      <c r="E1052">
        <v>1</v>
      </c>
      <c r="F1052">
        <f>_xlfn.XLOOKUP(Table1[[#This Row],[ProductID]],Products!A:A,Products!D:D,,0)</f>
        <v>140</v>
      </c>
      <c r="I1052">
        <v>499</v>
      </c>
      <c r="J1052">
        <v>424</v>
      </c>
      <c r="K1052" t="s">
        <v>1092</v>
      </c>
      <c r="L1052">
        <v>424</v>
      </c>
      <c r="M1052" t="s">
        <v>1098</v>
      </c>
      <c r="N1052" t="s">
        <v>1099</v>
      </c>
      <c r="O1052">
        <f>Table1[[#This Row],[Unit_Price]]*Table1[[#This Row],[Quantity]]</f>
        <v>140</v>
      </c>
    </row>
    <row r="1053" spans="1:15" x14ac:dyDescent="0.3">
      <c r="A1053" t="s">
        <v>2708</v>
      </c>
      <c r="B1053" t="s">
        <v>2709</v>
      </c>
      <c r="C1053" t="s">
        <v>473</v>
      </c>
      <c r="D1053" t="s">
        <v>1073</v>
      </c>
      <c r="E1053">
        <v>2</v>
      </c>
      <c r="F1053">
        <f>_xlfn.XLOOKUP(Table1[[#This Row],[ProductID]],Products!A:A,Products!D:D,,0)</f>
        <v>100</v>
      </c>
      <c r="I1053">
        <v>349</v>
      </c>
      <c r="J1053">
        <v>349</v>
      </c>
      <c r="K1053" t="s">
        <v>1102</v>
      </c>
      <c r="L1053">
        <v>698</v>
      </c>
      <c r="M1053" t="s">
        <v>1093</v>
      </c>
      <c r="N1053" t="s">
        <v>1094</v>
      </c>
      <c r="O1053">
        <f>Table1[[#This Row],[Unit_Price]]*Table1[[#This Row],[Quantity]]</f>
        <v>200</v>
      </c>
    </row>
    <row r="1054" spans="1:15" x14ac:dyDescent="0.3">
      <c r="A1054" t="s">
        <v>2710</v>
      </c>
      <c r="B1054" t="s">
        <v>1341</v>
      </c>
      <c r="C1054" t="s">
        <v>451</v>
      </c>
      <c r="D1054" t="s">
        <v>1055</v>
      </c>
      <c r="E1054">
        <v>3</v>
      </c>
      <c r="F1054">
        <f>_xlfn.XLOOKUP(Table1[[#This Row],[ProductID]],Products!A:A,Products!D:D,,0)</f>
        <v>75</v>
      </c>
      <c r="I1054">
        <v>299</v>
      </c>
      <c r="J1054">
        <v>254</v>
      </c>
      <c r="K1054" t="s">
        <v>1092</v>
      </c>
      <c r="L1054">
        <v>762</v>
      </c>
      <c r="M1054" t="s">
        <v>1093</v>
      </c>
      <c r="N1054" t="s">
        <v>1099</v>
      </c>
      <c r="O1054">
        <f>Table1[[#This Row],[Unit_Price]]*Table1[[#This Row],[Quantity]]</f>
        <v>225</v>
      </c>
    </row>
    <row r="1055" spans="1:15" x14ac:dyDescent="0.3">
      <c r="A1055" t="s">
        <v>2711</v>
      </c>
      <c r="B1055" t="s">
        <v>1244</v>
      </c>
      <c r="C1055" t="s">
        <v>477</v>
      </c>
      <c r="D1055" t="s">
        <v>1051</v>
      </c>
      <c r="E1055">
        <v>1</v>
      </c>
      <c r="F1055">
        <f>_xlfn.XLOOKUP(Table1[[#This Row],[ProductID]],Products!A:A,Products!D:D,,0)</f>
        <v>150</v>
      </c>
      <c r="I1055">
        <v>499</v>
      </c>
      <c r="J1055">
        <v>449</v>
      </c>
      <c r="K1055" t="s">
        <v>1107</v>
      </c>
      <c r="L1055">
        <v>449</v>
      </c>
      <c r="M1055" t="s">
        <v>1098</v>
      </c>
      <c r="N1055" t="s">
        <v>1099</v>
      </c>
      <c r="O1055">
        <f>Table1[[#This Row],[Unit_Price]]*Table1[[#This Row],[Quantity]]</f>
        <v>150</v>
      </c>
    </row>
    <row r="1056" spans="1:15" x14ac:dyDescent="0.3">
      <c r="A1056" t="s">
        <v>2712</v>
      </c>
      <c r="B1056" t="s">
        <v>1772</v>
      </c>
      <c r="C1056" t="s">
        <v>893</v>
      </c>
      <c r="D1056" t="s">
        <v>1066</v>
      </c>
      <c r="E1056">
        <v>1</v>
      </c>
      <c r="F1056">
        <f>_xlfn.XLOOKUP(Table1[[#This Row],[ProductID]],Products!A:A,Products!D:D,,0)</f>
        <v>140</v>
      </c>
      <c r="I1056">
        <v>499</v>
      </c>
      <c r="J1056">
        <v>399</v>
      </c>
      <c r="K1056" t="s">
        <v>1097</v>
      </c>
      <c r="L1056">
        <v>399</v>
      </c>
      <c r="M1056" t="s">
        <v>1093</v>
      </c>
      <c r="N1056" t="s">
        <v>1099</v>
      </c>
      <c r="O1056">
        <f>Table1[[#This Row],[Unit_Price]]*Table1[[#This Row],[Quantity]]</f>
        <v>140</v>
      </c>
    </row>
    <row r="1057" spans="1:15" x14ac:dyDescent="0.3">
      <c r="A1057" t="s">
        <v>2713</v>
      </c>
      <c r="B1057" t="s">
        <v>2184</v>
      </c>
      <c r="C1057" t="s">
        <v>649</v>
      </c>
      <c r="D1057" t="s">
        <v>1066</v>
      </c>
      <c r="E1057">
        <v>1</v>
      </c>
      <c r="F1057">
        <f>_xlfn.XLOOKUP(Table1[[#This Row],[ProductID]],Products!A:A,Products!D:D,,0)</f>
        <v>140</v>
      </c>
      <c r="I1057">
        <v>499</v>
      </c>
      <c r="J1057">
        <v>424</v>
      </c>
      <c r="K1057" t="s">
        <v>1092</v>
      </c>
      <c r="L1057">
        <v>424</v>
      </c>
      <c r="M1057" t="s">
        <v>1098</v>
      </c>
      <c r="N1057" t="s">
        <v>1099</v>
      </c>
      <c r="O1057">
        <f>Table1[[#This Row],[Unit_Price]]*Table1[[#This Row],[Quantity]]</f>
        <v>140</v>
      </c>
    </row>
    <row r="1058" spans="1:15" x14ac:dyDescent="0.3">
      <c r="A1058" t="s">
        <v>2714</v>
      </c>
      <c r="B1058" t="s">
        <v>1568</v>
      </c>
      <c r="C1058" t="s">
        <v>585</v>
      </c>
      <c r="D1058" t="s">
        <v>1064</v>
      </c>
      <c r="E1058">
        <v>1</v>
      </c>
      <c r="F1058">
        <f>_xlfn.XLOOKUP(Table1[[#This Row],[ProductID]],Products!A:A,Products!D:D,,0)</f>
        <v>160</v>
      </c>
      <c r="I1058">
        <v>699</v>
      </c>
      <c r="J1058">
        <v>629</v>
      </c>
      <c r="K1058" t="s">
        <v>1107</v>
      </c>
      <c r="L1058">
        <v>629</v>
      </c>
      <c r="M1058" t="s">
        <v>1126</v>
      </c>
      <c r="N1058" t="s">
        <v>1099</v>
      </c>
      <c r="O1058">
        <f>Table1[[#This Row],[Unit_Price]]*Table1[[#This Row],[Quantity]]</f>
        <v>160</v>
      </c>
    </row>
    <row r="1059" spans="1:15" x14ac:dyDescent="0.3">
      <c r="A1059" t="s">
        <v>2715</v>
      </c>
      <c r="B1059" t="s">
        <v>1264</v>
      </c>
      <c r="C1059" t="s">
        <v>983</v>
      </c>
      <c r="D1059" t="s">
        <v>1066</v>
      </c>
      <c r="E1059">
        <v>2</v>
      </c>
      <c r="F1059">
        <f>_xlfn.XLOOKUP(Table1[[#This Row],[ProductID]],Products!A:A,Products!D:D,,0)</f>
        <v>140</v>
      </c>
      <c r="I1059">
        <v>499</v>
      </c>
      <c r="J1059">
        <v>449</v>
      </c>
      <c r="K1059" t="s">
        <v>1107</v>
      </c>
      <c r="L1059">
        <v>898</v>
      </c>
      <c r="M1059" t="s">
        <v>1098</v>
      </c>
      <c r="N1059" t="s">
        <v>1099</v>
      </c>
      <c r="O1059">
        <f>Table1[[#This Row],[Unit_Price]]*Table1[[#This Row],[Quantity]]</f>
        <v>280</v>
      </c>
    </row>
    <row r="1060" spans="1:15" x14ac:dyDescent="0.3">
      <c r="A1060" t="s">
        <v>2716</v>
      </c>
      <c r="B1060" t="s">
        <v>2717</v>
      </c>
      <c r="C1060" t="s">
        <v>1007</v>
      </c>
      <c r="D1060" t="s">
        <v>1071</v>
      </c>
      <c r="E1060">
        <v>1</v>
      </c>
      <c r="F1060">
        <f>_xlfn.XLOOKUP(Table1[[#This Row],[ProductID]],Products!A:A,Products!D:D,,0)</f>
        <v>125</v>
      </c>
      <c r="I1060">
        <v>399</v>
      </c>
      <c r="J1060">
        <v>399</v>
      </c>
      <c r="K1060" t="s">
        <v>1102</v>
      </c>
      <c r="L1060">
        <v>399</v>
      </c>
      <c r="M1060" t="s">
        <v>1098</v>
      </c>
      <c r="N1060" t="s">
        <v>1099</v>
      </c>
      <c r="O1060">
        <f>Table1[[#This Row],[Unit_Price]]*Table1[[#This Row],[Quantity]]</f>
        <v>125</v>
      </c>
    </row>
    <row r="1061" spans="1:15" x14ac:dyDescent="0.3">
      <c r="A1061" t="s">
        <v>2718</v>
      </c>
      <c r="B1061" t="s">
        <v>1900</v>
      </c>
      <c r="C1061" t="s">
        <v>371</v>
      </c>
      <c r="D1061" t="s">
        <v>1055</v>
      </c>
      <c r="E1061">
        <v>1</v>
      </c>
      <c r="F1061">
        <f>_xlfn.XLOOKUP(Table1[[#This Row],[ProductID]],Products!A:A,Products!D:D,,0)</f>
        <v>75</v>
      </c>
      <c r="I1061">
        <v>299</v>
      </c>
      <c r="J1061">
        <v>239</v>
      </c>
      <c r="K1061" t="s">
        <v>1097</v>
      </c>
      <c r="L1061">
        <v>239</v>
      </c>
      <c r="M1061" t="s">
        <v>1093</v>
      </c>
      <c r="N1061" t="s">
        <v>1099</v>
      </c>
      <c r="O1061">
        <f>Table1[[#This Row],[Unit_Price]]*Table1[[#This Row],[Quantity]]</f>
        <v>75</v>
      </c>
    </row>
    <row r="1062" spans="1:15" x14ac:dyDescent="0.3">
      <c r="A1062" t="s">
        <v>2719</v>
      </c>
      <c r="B1062" t="s">
        <v>2720</v>
      </c>
      <c r="C1062" t="s">
        <v>939</v>
      </c>
      <c r="D1062" t="s">
        <v>1075</v>
      </c>
      <c r="E1062">
        <v>1</v>
      </c>
      <c r="F1062">
        <f>_xlfn.XLOOKUP(Table1[[#This Row],[ProductID]],Products!A:A,Products!D:D,,0)</f>
        <v>80</v>
      </c>
      <c r="I1062">
        <v>499</v>
      </c>
      <c r="J1062">
        <v>449</v>
      </c>
      <c r="K1062" t="s">
        <v>1107</v>
      </c>
      <c r="L1062">
        <v>449</v>
      </c>
      <c r="M1062" t="s">
        <v>1093</v>
      </c>
      <c r="N1062" t="s">
        <v>1099</v>
      </c>
      <c r="O1062">
        <f>Table1[[#This Row],[Unit_Price]]*Table1[[#This Row],[Quantity]]</f>
        <v>80</v>
      </c>
    </row>
    <row r="1063" spans="1:15" x14ac:dyDescent="0.3">
      <c r="A1063" t="s">
        <v>2721</v>
      </c>
      <c r="B1063" t="s">
        <v>2135</v>
      </c>
      <c r="C1063" t="s">
        <v>557</v>
      </c>
      <c r="D1063" t="s">
        <v>1051</v>
      </c>
      <c r="E1063">
        <v>3</v>
      </c>
      <c r="F1063">
        <f>_xlfn.XLOOKUP(Table1[[#This Row],[ProductID]],Products!A:A,Products!D:D,,0)</f>
        <v>150</v>
      </c>
      <c r="I1063">
        <v>499</v>
      </c>
      <c r="J1063">
        <v>399</v>
      </c>
      <c r="K1063" t="s">
        <v>1097</v>
      </c>
      <c r="L1063">
        <v>1197</v>
      </c>
      <c r="M1063" t="s">
        <v>1093</v>
      </c>
      <c r="N1063" t="s">
        <v>1099</v>
      </c>
      <c r="O1063">
        <f>Table1[[#This Row],[Unit_Price]]*Table1[[#This Row],[Quantity]]</f>
        <v>450</v>
      </c>
    </row>
    <row r="1064" spans="1:15" x14ac:dyDescent="0.3">
      <c r="A1064" t="s">
        <v>2722</v>
      </c>
      <c r="B1064" t="s">
        <v>1128</v>
      </c>
      <c r="C1064" t="s">
        <v>991</v>
      </c>
      <c r="D1064" t="s">
        <v>1064</v>
      </c>
      <c r="E1064">
        <v>1</v>
      </c>
      <c r="F1064">
        <f>_xlfn.XLOOKUP(Table1[[#This Row],[ProductID]],Products!A:A,Products!D:D,,0)</f>
        <v>160</v>
      </c>
      <c r="I1064">
        <v>699</v>
      </c>
      <c r="J1064">
        <v>559</v>
      </c>
      <c r="K1064" t="s">
        <v>1097</v>
      </c>
      <c r="L1064">
        <v>559</v>
      </c>
      <c r="M1064" t="s">
        <v>1126</v>
      </c>
      <c r="N1064" t="s">
        <v>1099</v>
      </c>
      <c r="O1064">
        <f>Table1[[#This Row],[Unit_Price]]*Table1[[#This Row],[Quantity]]</f>
        <v>160</v>
      </c>
    </row>
    <row r="1065" spans="1:15" x14ac:dyDescent="0.3">
      <c r="A1065" t="s">
        <v>2723</v>
      </c>
      <c r="B1065" t="s">
        <v>1732</v>
      </c>
      <c r="C1065" t="s">
        <v>1011</v>
      </c>
      <c r="D1065" t="s">
        <v>1053</v>
      </c>
      <c r="E1065">
        <v>4</v>
      </c>
      <c r="F1065">
        <f>_xlfn.XLOOKUP(Table1[[#This Row],[ProductID]],Products!A:A,Products!D:D,,0)</f>
        <v>200</v>
      </c>
      <c r="I1065">
        <v>899</v>
      </c>
      <c r="J1065">
        <v>899</v>
      </c>
      <c r="K1065" t="s">
        <v>1102</v>
      </c>
      <c r="L1065">
        <v>3596</v>
      </c>
      <c r="M1065" t="s">
        <v>1098</v>
      </c>
      <c r="N1065" t="s">
        <v>1099</v>
      </c>
      <c r="O1065">
        <f>Table1[[#This Row],[Unit_Price]]*Table1[[#This Row],[Quantity]]</f>
        <v>800</v>
      </c>
    </row>
    <row r="1066" spans="1:15" x14ac:dyDescent="0.3">
      <c r="A1066" t="s">
        <v>2724</v>
      </c>
      <c r="B1066" t="s">
        <v>2725</v>
      </c>
      <c r="C1066" t="s">
        <v>783</v>
      </c>
      <c r="D1066" t="s">
        <v>1080</v>
      </c>
      <c r="E1066">
        <v>1</v>
      </c>
      <c r="F1066">
        <f>_xlfn.XLOOKUP(Table1[[#This Row],[ProductID]],Products!A:A,Products!D:D,,0)</f>
        <v>45</v>
      </c>
      <c r="I1066">
        <v>249</v>
      </c>
      <c r="J1066">
        <v>212</v>
      </c>
      <c r="K1066" t="s">
        <v>1092</v>
      </c>
      <c r="L1066">
        <v>212</v>
      </c>
      <c r="M1066" t="s">
        <v>1093</v>
      </c>
      <c r="N1066" t="s">
        <v>1099</v>
      </c>
      <c r="O1066">
        <f>Table1[[#This Row],[Unit_Price]]*Table1[[#This Row],[Quantity]]</f>
        <v>45</v>
      </c>
    </row>
    <row r="1067" spans="1:15" x14ac:dyDescent="0.3">
      <c r="A1067" t="s">
        <v>2726</v>
      </c>
      <c r="B1067" t="s">
        <v>2727</v>
      </c>
      <c r="C1067" t="s">
        <v>37</v>
      </c>
      <c r="D1067" t="s">
        <v>1057</v>
      </c>
      <c r="E1067">
        <v>4</v>
      </c>
      <c r="F1067">
        <f>_xlfn.XLOOKUP(Table1[[#This Row],[ProductID]],Products!A:A,Products!D:D,,0)</f>
        <v>130</v>
      </c>
      <c r="I1067">
        <v>549</v>
      </c>
      <c r="J1067">
        <v>549</v>
      </c>
      <c r="K1067" t="s">
        <v>1102</v>
      </c>
      <c r="L1067">
        <v>2196</v>
      </c>
      <c r="M1067" t="s">
        <v>1093</v>
      </c>
      <c r="N1067" t="s">
        <v>1099</v>
      </c>
      <c r="O1067">
        <f>Table1[[#This Row],[Unit_Price]]*Table1[[#This Row],[Quantity]]</f>
        <v>520</v>
      </c>
    </row>
    <row r="1068" spans="1:15" x14ac:dyDescent="0.3">
      <c r="A1068" t="s">
        <v>2728</v>
      </c>
      <c r="B1068" t="s">
        <v>1797</v>
      </c>
      <c r="C1068" t="s">
        <v>491</v>
      </c>
      <c r="D1068" t="s">
        <v>1062</v>
      </c>
      <c r="E1068">
        <v>2</v>
      </c>
      <c r="F1068">
        <f>_xlfn.XLOOKUP(Table1[[#This Row],[ProductID]],Products!A:A,Products!D:D,,0)</f>
        <v>95</v>
      </c>
      <c r="I1068">
        <v>349</v>
      </c>
      <c r="J1068">
        <v>297</v>
      </c>
      <c r="K1068" t="s">
        <v>1092</v>
      </c>
      <c r="L1068">
        <v>594</v>
      </c>
      <c r="M1068" t="s">
        <v>1093</v>
      </c>
      <c r="N1068" t="s">
        <v>1094</v>
      </c>
      <c r="O1068">
        <f>Table1[[#This Row],[Unit_Price]]*Table1[[#This Row],[Quantity]]</f>
        <v>190</v>
      </c>
    </row>
    <row r="1069" spans="1:15" x14ac:dyDescent="0.3">
      <c r="A1069" t="s">
        <v>2729</v>
      </c>
      <c r="B1069" t="s">
        <v>2730</v>
      </c>
      <c r="C1069" t="s">
        <v>189</v>
      </c>
      <c r="D1069" t="s">
        <v>1075</v>
      </c>
      <c r="E1069">
        <v>2</v>
      </c>
      <c r="F1069">
        <f>_xlfn.XLOOKUP(Table1[[#This Row],[ProductID]],Products!A:A,Products!D:D,,0)</f>
        <v>80</v>
      </c>
      <c r="I1069">
        <v>499</v>
      </c>
      <c r="J1069">
        <v>424</v>
      </c>
      <c r="K1069" t="s">
        <v>1092</v>
      </c>
      <c r="L1069">
        <v>848</v>
      </c>
      <c r="M1069" t="s">
        <v>1098</v>
      </c>
      <c r="N1069" t="s">
        <v>1099</v>
      </c>
      <c r="O1069">
        <f>Table1[[#This Row],[Unit_Price]]*Table1[[#This Row],[Quantity]]</f>
        <v>160</v>
      </c>
    </row>
    <row r="1070" spans="1:15" x14ac:dyDescent="0.3">
      <c r="A1070" t="s">
        <v>2731</v>
      </c>
      <c r="B1070" t="s">
        <v>1190</v>
      </c>
      <c r="C1070" t="s">
        <v>905</v>
      </c>
      <c r="D1070" t="s">
        <v>1073</v>
      </c>
      <c r="E1070">
        <v>1</v>
      </c>
      <c r="F1070">
        <f>_xlfn.XLOOKUP(Table1[[#This Row],[ProductID]],Products!A:A,Products!D:D,,0)</f>
        <v>100</v>
      </c>
      <c r="I1070">
        <v>349</v>
      </c>
      <c r="J1070">
        <v>314</v>
      </c>
      <c r="K1070" t="s">
        <v>1107</v>
      </c>
      <c r="L1070">
        <v>314</v>
      </c>
      <c r="M1070" t="s">
        <v>1093</v>
      </c>
      <c r="N1070" t="s">
        <v>1094</v>
      </c>
      <c r="O1070">
        <f>Table1[[#This Row],[Unit_Price]]*Table1[[#This Row],[Quantity]]</f>
        <v>100</v>
      </c>
    </row>
    <row r="1071" spans="1:15" x14ac:dyDescent="0.3">
      <c r="A1071" t="s">
        <v>2732</v>
      </c>
      <c r="B1071" t="s">
        <v>2092</v>
      </c>
      <c r="C1071" t="s">
        <v>649</v>
      </c>
      <c r="D1071" t="s">
        <v>1080</v>
      </c>
      <c r="E1071">
        <v>1</v>
      </c>
      <c r="F1071">
        <f>_xlfn.XLOOKUP(Table1[[#This Row],[ProductID]],Products!A:A,Products!D:D,,0)</f>
        <v>45</v>
      </c>
      <c r="I1071">
        <v>249</v>
      </c>
      <c r="J1071">
        <v>224</v>
      </c>
      <c r="K1071" t="s">
        <v>1107</v>
      </c>
      <c r="L1071">
        <v>224</v>
      </c>
      <c r="M1071" t="s">
        <v>1093</v>
      </c>
      <c r="N1071" t="s">
        <v>1099</v>
      </c>
      <c r="O1071">
        <f>Table1[[#This Row],[Unit_Price]]*Table1[[#This Row],[Quantity]]</f>
        <v>45</v>
      </c>
    </row>
    <row r="1072" spans="1:15" x14ac:dyDescent="0.3">
      <c r="A1072" t="s">
        <v>2733</v>
      </c>
      <c r="B1072" t="s">
        <v>1478</v>
      </c>
      <c r="C1072" t="s">
        <v>18</v>
      </c>
      <c r="D1072" t="s">
        <v>1080</v>
      </c>
      <c r="E1072">
        <v>1</v>
      </c>
      <c r="F1072">
        <f>_xlfn.XLOOKUP(Table1[[#This Row],[ProductID]],Products!A:A,Products!D:D,,0)</f>
        <v>45</v>
      </c>
      <c r="I1072">
        <v>249</v>
      </c>
      <c r="J1072">
        <v>212</v>
      </c>
      <c r="K1072" t="s">
        <v>1092</v>
      </c>
      <c r="L1072">
        <v>212</v>
      </c>
      <c r="M1072" t="s">
        <v>1098</v>
      </c>
      <c r="N1072" t="s">
        <v>1099</v>
      </c>
      <c r="O1072">
        <f>Table1[[#This Row],[Unit_Price]]*Table1[[#This Row],[Quantity]]</f>
        <v>45</v>
      </c>
    </row>
    <row r="1073" spans="1:15" x14ac:dyDescent="0.3">
      <c r="A1073" t="s">
        <v>2734</v>
      </c>
      <c r="B1073" t="s">
        <v>2224</v>
      </c>
      <c r="C1073" t="s">
        <v>353</v>
      </c>
      <c r="D1073" t="s">
        <v>1066</v>
      </c>
      <c r="E1073">
        <v>1</v>
      </c>
      <c r="F1073">
        <f>_xlfn.XLOOKUP(Table1[[#This Row],[ProductID]],Products!A:A,Products!D:D,,0)</f>
        <v>140</v>
      </c>
      <c r="I1073">
        <v>499</v>
      </c>
      <c r="J1073">
        <v>449</v>
      </c>
      <c r="K1073" t="s">
        <v>1107</v>
      </c>
      <c r="L1073">
        <v>449</v>
      </c>
      <c r="M1073" t="s">
        <v>1093</v>
      </c>
      <c r="N1073" t="s">
        <v>1094</v>
      </c>
      <c r="O1073">
        <f>Table1[[#This Row],[Unit_Price]]*Table1[[#This Row],[Quantity]]</f>
        <v>140</v>
      </c>
    </row>
    <row r="1074" spans="1:15" x14ac:dyDescent="0.3">
      <c r="A1074" t="s">
        <v>2735</v>
      </c>
      <c r="B1074" t="s">
        <v>1436</v>
      </c>
      <c r="C1074" t="s">
        <v>985</v>
      </c>
      <c r="D1074" t="s">
        <v>1062</v>
      </c>
      <c r="E1074">
        <v>1</v>
      </c>
      <c r="F1074">
        <f>_xlfn.XLOOKUP(Table1[[#This Row],[ProductID]],Products!A:A,Products!D:D,,0)</f>
        <v>95</v>
      </c>
      <c r="I1074">
        <v>349</v>
      </c>
      <c r="J1074">
        <v>279</v>
      </c>
      <c r="K1074" t="s">
        <v>1097</v>
      </c>
      <c r="L1074">
        <v>279</v>
      </c>
      <c r="M1074" t="s">
        <v>1098</v>
      </c>
      <c r="N1074" t="s">
        <v>1099</v>
      </c>
      <c r="O1074">
        <f>Table1[[#This Row],[Unit_Price]]*Table1[[#This Row],[Quantity]]</f>
        <v>95</v>
      </c>
    </row>
    <row r="1075" spans="1:15" x14ac:dyDescent="0.3">
      <c r="A1075" t="s">
        <v>2736</v>
      </c>
      <c r="B1075" t="s">
        <v>1676</v>
      </c>
      <c r="C1075" t="s">
        <v>699</v>
      </c>
      <c r="D1075" t="s">
        <v>1080</v>
      </c>
      <c r="E1075">
        <v>2</v>
      </c>
      <c r="F1075">
        <f>_xlfn.XLOOKUP(Table1[[#This Row],[ProductID]],Products!A:A,Products!D:D,,0)</f>
        <v>45</v>
      </c>
      <c r="I1075">
        <v>249</v>
      </c>
      <c r="J1075">
        <v>212</v>
      </c>
      <c r="K1075" t="s">
        <v>1092</v>
      </c>
      <c r="L1075">
        <v>424</v>
      </c>
      <c r="M1075" t="s">
        <v>1093</v>
      </c>
      <c r="N1075" t="s">
        <v>1123</v>
      </c>
      <c r="O1075">
        <f>Table1[[#This Row],[Unit_Price]]*Table1[[#This Row],[Quantity]]</f>
        <v>90</v>
      </c>
    </row>
    <row r="1076" spans="1:15" x14ac:dyDescent="0.3">
      <c r="A1076" t="s">
        <v>2737</v>
      </c>
      <c r="B1076" t="s">
        <v>1958</v>
      </c>
      <c r="C1076" t="s">
        <v>431</v>
      </c>
      <c r="D1076" t="s">
        <v>1073</v>
      </c>
      <c r="E1076">
        <v>1</v>
      </c>
      <c r="F1076">
        <f>_xlfn.XLOOKUP(Table1[[#This Row],[ProductID]],Products!A:A,Products!D:D,,0)</f>
        <v>100</v>
      </c>
      <c r="I1076">
        <v>349</v>
      </c>
      <c r="J1076">
        <v>349</v>
      </c>
      <c r="K1076" t="s">
        <v>1102</v>
      </c>
      <c r="L1076">
        <v>349</v>
      </c>
      <c r="M1076" t="s">
        <v>1098</v>
      </c>
      <c r="N1076" t="s">
        <v>1099</v>
      </c>
      <c r="O1076">
        <f>Table1[[#This Row],[Unit_Price]]*Table1[[#This Row],[Quantity]]</f>
        <v>100</v>
      </c>
    </row>
    <row r="1077" spans="1:15" x14ac:dyDescent="0.3">
      <c r="A1077" t="s">
        <v>2738</v>
      </c>
      <c r="B1077" t="s">
        <v>1650</v>
      </c>
      <c r="C1077" t="s">
        <v>963</v>
      </c>
      <c r="D1077" t="s">
        <v>1078</v>
      </c>
      <c r="E1077">
        <v>1</v>
      </c>
      <c r="F1077">
        <f>_xlfn.XLOOKUP(Table1[[#This Row],[ProductID]],Products!A:A,Products!D:D,,0)</f>
        <v>80</v>
      </c>
      <c r="I1077">
        <v>499</v>
      </c>
      <c r="J1077">
        <v>399</v>
      </c>
      <c r="K1077" t="s">
        <v>1097</v>
      </c>
      <c r="L1077">
        <v>399</v>
      </c>
      <c r="M1077" t="s">
        <v>1118</v>
      </c>
      <c r="N1077" t="s">
        <v>1094</v>
      </c>
      <c r="O1077">
        <f>Table1[[#This Row],[Unit_Price]]*Table1[[#This Row],[Quantity]]</f>
        <v>80</v>
      </c>
    </row>
    <row r="1078" spans="1:15" x14ac:dyDescent="0.3">
      <c r="A1078" t="s">
        <v>2739</v>
      </c>
      <c r="B1078" t="s">
        <v>2615</v>
      </c>
      <c r="C1078" t="s">
        <v>679</v>
      </c>
      <c r="D1078" t="s">
        <v>1071</v>
      </c>
      <c r="E1078">
        <v>2</v>
      </c>
      <c r="F1078">
        <f>_xlfn.XLOOKUP(Table1[[#This Row],[ProductID]],Products!A:A,Products!D:D,,0)</f>
        <v>125</v>
      </c>
      <c r="I1078">
        <v>399</v>
      </c>
      <c r="J1078">
        <v>399</v>
      </c>
      <c r="K1078" t="s">
        <v>1102</v>
      </c>
      <c r="L1078">
        <v>798</v>
      </c>
      <c r="M1078" t="s">
        <v>1098</v>
      </c>
      <c r="N1078" t="s">
        <v>1099</v>
      </c>
      <c r="O1078">
        <f>Table1[[#This Row],[Unit_Price]]*Table1[[#This Row],[Quantity]]</f>
        <v>250</v>
      </c>
    </row>
    <row r="1079" spans="1:15" x14ac:dyDescent="0.3">
      <c r="A1079" t="s">
        <v>2740</v>
      </c>
      <c r="B1079" t="s">
        <v>2150</v>
      </c>
      <c r="C1079" t="s">
        <v>735</v>
      </c>
      <c r="D1079" t="s">
        <v>1053</v>
      </c>
      <c r="E1079">
        <v>1</v>
      </c>
      <c r="F1079">
        <f>_xlfn.XLOOKUP(Table1[[#This Row],[ProductID]],Products!A:A,Products!D:D,,0)</f>
        <v>200</v>
      </c>
      <c r="I1079">
        <v>899</v>
      </c>
      <c r="J1079">
        <v>764</v>
      </c>
      <c r="K1079" t="s">
        <v>1092</v>
      </c>
      <c r="L1079">
        <v>764</v>
      </c>
      <c r="M1079" t="s">
        <v>1098</v>
      </c>
      <c r="N1079" t="s">
        <v>1099</v>
      </c>
      <c r="O1079">
        <f>Table1[[#This Row],[Unit_Price]]*Table1[[#This Row],[Quantity]]</f>
        <v>200</v>
      </c>
    </row>
    <row r="1080" spans="1:15" x14ac:dyDescent="0.3">
      <c r="A1080" t="s">
        <v>2741</v>
      </c>
      <c r="B1080" t="s">
        <v>1389</v>
      </c>
      <c r="C1080" t="s">
        <v>531</v>
      </c>
      <c r="D1080" t="s">
        <v>1048</v>
      </c>
      <c r="E1080">
        <v>2</v>
      </c>
      <c r="F1080">
        <f>_xlfn.XLOOKUP(Table1[[#This Row],[ProductID]],Products!A:A,Products!D:D,,0)</f>
        <v>120</v>
      </c>
      <c r="I1080">
        <v>599</v>
      </c>
      <c r="J1080">
        <v>599</v>
      </c>
      <c r="K1080" t="s">
        <v>1102</v>
      </c>
      <c r="L1080">
        <v>1198</v>
      </c>
      <c r="M1080" t="s">
        <v>1093</v>
      </c>
      <c r="N1080" t="s">
        <v>1099</v>
      </c>
      <c r="O1080">
        <f>Table1[[#This Row],[Unit_Price]]*Table1[[#This Row],[Quantity]]</f>
        <v>240</v>
      </c>
    </row>
    <row r="1081" spans="1:15" x14ac:dyDescent="0.3">
      <c r="A1081" t="s">
        <v>2742</v>
      </c>
      <c r="B1081" t="s">
        <v>2555</v>
      </c>
      <c r="C1081" t="s">
        <v>853</v>
      </c>
      <c r="D1081" t="s">
        <v>1071</v>
      </c>
      <c r="E1081">
        <v>3</v>
      </c>
      <c r="F1081">
        <f>_xlfn.XLOOKUP(Table1[[#This Row],[ProductID]],Products!A:A,Products!D:D,,0)</f>
        <v>125</v>
      </c>
      <c r="I1081">
        <v>399</v>
      </c>
      <c r="J1081">
        <v>399</v>
      </c>
      <c r="K1081" t="s">
        <v>1102</v>
      </c>
      <c r="L1081">
        <v>1197</v>
      </c>
      <c r="M1081" t="s">
        <v>1126</v>
      </c>
      <c r="N1081" t="s">
        <v>1099</v>
      </c>
      <c r="O1081">
        <f>Table1[[#This Row],[Unit_Price]]*Table1[[#This Row],[Quantity]]</f>
        <v>375</v>
      </c>
    </row>
    <row r="1082" spans="1:15" x14ac:dyDescent="0.3">
      <c r="A1082" t="s">
        <v>2743</v>
      </c>
      <c r="B1082" t="s">
        <v>1630</v>
      </c>
      <c r="C1082" t="s">
        <v>947</v>
      </c>
      <c r="D1082" t="s">
        <v>1073</v>
      </c>
      <c r="E1082">
        <v>1</v>
      </c>
      <c r="F1082">
        <f>_xlfn.XLOOKUP(Table1[[#This Row],[ProductID]],Products!A:A,Products!D:D,,0)</f>
        <v>100</v>
      </c>
      <c r="I1082">
        <v>349</v>
      </c>
      <c r="J1082">
        <v>349</v>
      </c>
      <c r="K1082" t="s">
        <v>1102</v>
      </c>
      <c r="L1082">
        <v>349</v>
      </c>
      <c r="M1082" t="s">
        <v>1098</v>
      </c>
      <c r="N1082" t="s">
        <v>1099</v>
      </c>
      <c r="O1082">
        <f>Table1[[#This Row],[Unit_Price]]*Table1[[#This Row],[Quantity]]</f>
        <v>100</v>
      </c>
    </row>
    <row r="1083" spans="1:15" x14ac:dyDescent="0.3">
      <c r="A1083" t="s">
        <v>2744</v>
      </c>
      <c r="B1083" t="s">
        <v>1164</v>
      </c>
      <c r="C1083" t="s">
        <v>781</v>
      </c>
      <c r="D1083" t="s">
        <v>1075</v>
      </c>
      <c r="E1083">
        <v>3</v>
      </c>
      <c r="F1083">
        <f>_xlfn.XLOOKUP(Table1[[#This Row],[ProductID]],Products!A:A,Products!D:D,,0)</f>
        <v>80</v>
      </c>
      <c r="I1083">
        <v>499</v>
      </c>
      <c r="J1083">
        <v>424</v>
      </c>
      <c r="K1083" t="s">
        <v>1092</v>
      </c>
      <c r="L1083">
        <v>1272</v>
      </c>
      <c r="M1083" t="s">
        <v>1098</v>
      </c>
      <c r="N1083" t="s">
        <v>1099</v>
      </c>
      <c r="O1083">
        <f>Table1[[#This Row],[Unit_Price]]*Table1[[#This Row],[Quantity]]</f>
        <v>240</v>
      </c>
    </row>
    <row r="1084" spans="1:15" x14ac:dyDescent="0.3">
      <c r="A1084" t="s">
        <v>2745</v>
      </c>
      <c r="B1084" t="s">
        <v>1674</v>
      </c>
      <c r="C1084" t="s">
        <v>721</v>
      </c>
      <c r="D1084" t="s">
        <v>1068</v>
      </c>
      <c r="E1084">
        <v>2</v>
      </c>
      <c r="F1084">
        <f>_xlfn.XLOOKUP(Table1[[#This Row],[ProductID]],Products!A:A,Products!D:D,,0)</f>
        <v>180</v>
      </c>
      <c r="I1084">
        <v>449</v>
      </c>
      <c r="J1084">
        <v>382</v>
      </c>
      <c r="K1084" t="s">
        <v>1092</v>
      </c>
      <c r="L1084">
        <v>764</v>
      </c>
      <c r="M1084" t="s">
        <v>1098</v>
      </c>
      <c r="N1084" t="s">
        <v>1123</v>
      </c>
      <c r="O1084">
        <f>Table1[[#This Row],[Unit_Price]]*Table1[[#This Row],[Quantity]]</f>
        <v>360</v>
      </c>
    </row>
    <row r="1085" spans="1:15" x14ac:dyDescent="0.3">
      <c r="A1085" t="s">
        <v>2746</v>
      </c>
      <c r="B1085" t="s">
        <v>1244</v>
      </c>
      <c r="C1085" t="s">
        <v>915</v>
      </c>
      <c r="D1085" t="s">
        <v>1059</v>
      </c>
      <c r="E1085">
        <v>1</v>
      </c>
      <c r="F1085">
        <f>_xlfn.XLOOKUP(Table1[[#This Row],[ProductID]],Products!A:A,Products!D:D,,0)</f>
        <v>110</v>
      </c>
      <c r="I1085">
        <v>399</v>
      </c>
      <c r="J1085">
        <v>319</v>
      </c>
      <c r="K1085" t="s">
        <v>1097</v>
      </c>
      <c r="L1085">
        <v>319</v>
      </c>
      <c r="M1085" t="s">
        <v>1093</v>
      </c>
      <c r="N1085" t="s">
        <v>1099</v>
      </c>
      <c r="O1085">
        <f>Table1[[#This Row],[Unit_Price]]*Table1[[#This Row],[Quantity]]</f>
        <v>110</v>
      </c>
    </row>
    <row r="1086" spans="1:15" x14ac:dyDescent="0.3">
      <c r="A1086" t="s">
        <v>2747</v>
      </c>
      <c r="B1086" t="s">
        <v>2004</v>
      </c>
      <c r="C1086" t="s">
        <v>965</v>
      </c>
      <c r="D1086" t="s">
        <v>1068</v>
      </c>
      <c r="E1086">
        <v>2</v>
      </c>
      <c r="F1086">
        <f>_xlfn.XLOOKUP(Table1[[#This Row],[ProductID]],Products!A:A,Products!D:D,,0)</f>
        <v>180</v>
      </c>
      <c r="I1086">
        <v>449</v>
      </c>
      <c r="J1086">
        <v>449</v>
      </c>
      <c r="K1086" t="s">
        <v>1102</v>
      </c>
      <c r="L1086">
        <v>898</v>
      </c>
      <c r="M1086" t="s">
        <v>1093</v>
      </c>
      <c r="N1086" t="s">
        <v>1099</v>
      </c>
      <c r="O1086">
        <f>Table1[[#This Row],[Unit_Price]]*Table1[[#This Row],[Quantity]]</f>
        <v>360</v>
      </c>
    </row>
    <row r="1087" spans="1:15" x14ac:dyDescent="0.3">
      <c r="A1087" t="s">
        <v>2748</v>
      </c>
      <c r="B1087" t="s">
        <v>2749</v>
      </c>
      <c r="C1087" t="s">
        <v>122</v>
      </c>
      <c r="D1087" t="s">
        <v>1055</v>
      </c>
      <c r="E1087">
        <v>1</v>
      </c>
      <c r="F1087">
        <f>_xlfn.XLOOKUP(Table1[[#This Row],[ProductID]],Products!A:A,Products!D:D,,0)</f>
        <v>75</v>
      </c>
      <c r="I1087">
        <v>299</v>
      </c>
      <c r="J1087">
        <v>299</v>
      </c>
      <c r="K1087" t="s">
        <v>1102</v>
      </c>
      <c r="L1087">
        <v>299</v>
      </c>
      <c r="M1087" t="s">
        <v>1098</v>
      </c>
      <c r="N1087" t="s">
        <v>1099</v>
      </c>
      <c r="O1087">
        <f>Table1[[#This Row],[Unit_Price]]*Table1[[#This Row],[Quantity]]</f>
        <v>75</v>
      </c>
    </row>
    <row r="1088" spans="1:15" x14ac:dyDescent="0.3">
      <c r="A1088" t="s">
        <v>2750</v>
      </c>
      <c r="B1088" t="s">
        <v>2751</v>
      </c>
      <c r="C1088" t="s">
        <v>297</v>
      </c>
      <c r="D1088" t="s">
        <v>1073</v>
      </c>
      <c r="E1088">
        <v>1</v>
      </c>
      <c r="F1088">
        <f>_xlfn.XLOOKUP(Table1[[#This Row],[ProductID]],Products!A:A,Products!D:D,,0)</f>
        <v>100</v>
      </c>
      <c r="I1088">
        <v>349</v>
      </c>
      <c r="J1088">
        <v>297</v>
      </c>
      <c r="K1088" t="s">
        <v>1092</v>
      </c>
      <c r="L1088">
        <v>297</v>
      </c>
      <c r="M1088" t="s">
        <v>1093</v>
      </c>
      <c r="N1088" t="s">
        <v>1123</v>
      </c>
      <c r="O1088">
        <f>Table1[[#This Row],[Unit_Price]]*Table1[[#This Row],[Quantity]]</f>
        <v>100</v>
      </c>
    </row>
    <row r="1089" spans="1:15" x14ac:dyDescent="0.3">
      <c r="A1089" t="s">
        <v>2752</v>
      </c>
      <c r="B1089" t="s">
        <v>1445</v>
      </c>
      <c r="C1089" t="s">
        <v>771</v>
      </c>
      <c r="D1089" t="s">
        <v>1053</v>
      </c>
      <c r="E1089">
        <v>1</v>
      </c>
      <c r="F1089">
        <f>_xlfn.XLOOKUP(Table1[[#This Row],[ProductID]],Products!A:A,Products!D:D,,0)</f>
        <v>200</v>
      </c>
      <c r="I1089">
        <v>899</v>
      </c>
      <c r="J1089">
        <v>719</v>
      </c>
      <c r="K1089" t="s">
        <v>1097</v>
      </c>
      <c r="L1089">
        <v>719</v>
      </c>
      <c r="M1089" t="s">
        <v>1098</v>
      </c>
      <c r="N1089" t="s">
        <v>1099</v>
      </c>
      <c r="O1089">
        <f>Table1[[#This Row],[Unit_Price]]*Table1[[#This Row],[Quantity]]</f>
        <v>200</v>
      </c>
    </row>
    <row r="1090" spans="1:15" x14ac:dyDescent="0.3">
      <c r="A1090" t="s">
        <v>2753</v>
      </c>
      <c r="B1090" t="s">
        <v>2754</v>
      </c>
      <c r="C1090" t="s">
        <v>783</v>
      </c>
      <c r="D1090" t="s">
        <v>1053</v>
      </c>
      <c r="E1090">
        <v>1</v>
      </c>
      <c r="F1090">
        <f>_xlfn.XLOOKUP(Table1[[#This Row],[ProductID]],Products!A:A,Products!D:D,,0)</f>
        <v>200</v>
      </c>
      <c r="I1090">
        <v>899</v>
      </c>
      <c r="J1090">
        <v>809</v>
      </c>
      <c r="K1090" t="s">
        <v>1107</v>
      </c>
      <c r="L1090">
        <v>809</v>
      </c>
      <c r="M1090" t="s">
        <v>1093</v>
      </c>
      <c r="N1090" t="s">
        <v>1094</v>
      </c>
      <c r="O1090">
        <f>Table1[[#This Row],[Unit_Price]]*Table1[[#This Row],[Quantity]]</f>
        <v>200</v>
      </c>
    </row>
    <row r="1091" spans="1:15" x14ac:dyDescent="0.3">
      <c r="A1091" t="s">
        <v>2755</v>
      </c>
      <c r="B1091" t="s">
        <v>1451</v>
      </c>
      <c r="C1091" t="s">
        <v>971</v>
      </c>
      <c r="D1091" t="s">
        <v>1078</v>
      </c>
      <c r="E1091">
        <v>1</v>
      </c>
      <c r="F1091">
        <f>_xlfn.XLOOKUP(Table1[[#This Row],[ProductID]],Products!A:A,Products!D:D,,0)</f>
        <v>80</v>
      </c>
      <c r="I1091">
        <v>499</v>
      </c>
      <c r="J1091">
        <v>449</v>
      </c>
      <c r="K1091" t="s">
        <v>1107</v>
      </c>
      <c r="L1091">
        <v>449</v>
      </c>
      <c r="M1091" t="s">
        <v>1093</v>
      </c>
      <c r="N1091" t="s">
        <v>1099</v>
      </c>
      <c r="O1091">
        <f>Table1[[#This Row],[Unit_Price]]*Table1[[#This Row],[Quantity]]</f>
        <v>80</v>
      </c>
    </row>
    <row r="1092" spans="1:15" x14ac:dyDescent="0.3">
      <c r="A1092" t="s">
        <v>2756</v>
      </c>
      <c r="B1092" t="s">
        <v>2757</v>
      </c>
      <c r="C1092" t="s">
        <v>821</v>
      </c>
      <c r="D1092" t="s">
        <v>1068</v>
      </c>
      <c r="E1092">
        <v>2</v>
      </c>
      <c r="F1092">
        <f>_xlfn.XLOOKUP(Table1[[#This Row],[ProductID]],Products!A:A,Products!D:D,,0)</f>
        <v>180</v>
      </c>
      <c r="I1092">
        <v>449</v>
      </c>
      <c r="J1092">
        <v>449</v>
      </c>
      <c r="K1092" t="s">
        <v>1102</v>
      </c>
      <c r="L1092">
        <v>898</v>
      </c>
      <c r="M1092" t="s">
        <v>1093</v>
      </c>
      <c r="N1092" t="s">
        <v>1099</v>
      </c>
      <c r="O1092">
        <f>Table1[[#This Row],[Unit_Price]]*Table1[[#This Row],[Quantity]]</f>
        <v>360</v>
      </c>
    </row>
    <row r="1093" spans="1:15" x14ac:dyDescent="0.3">
      <c r="A1093" t="s">
        <v>2758</v>
      </c>
      <c r="B1093" t="s">
        <v>1482</v>
      </c>
      <c r="C1093" t="s">
        <v>120</v>
      </c>
      <c r="D1093" t="s">
        <v>1057</v>
      </c>
      <c r="E1093">
        <v>4</v>
      </c>
      <c r="F1093">
        <f>_xlfn.XLOOKUP(Table1[[#This Row],[ProductID]],Products!A:A,Products!D:D,,0)</f>
        <v>130</v>
      </c>
      <c r="I1093">
        <v>549</v>
      </c>
      <c r="J1093">
        <v>467</v>
      </c>
      <c r="K1093" t="s">
        <v>1092</v>
      </c>
      <c r="L1093">
        <v>1868</v>
      </c>
      <c r="M1093" t="s">
        <v>1126</v>
      </c>
      <c r="N1093" t="s">
        <v>1099</v>
      </c>
      <c r="O1093">
        <f>Table1[[#This Row],[Unit_Price]]*Table1[[#This Row],[Quantity]]</f>
        <v>520</v>
      </c>
    </row>
    <row r="1094" spans="1:15" x14ac:dyDescent="0.3">
      <c r="A1094" t="s">
        <v>2759</v>
      </c>
      <c r="B1094" t="s">
        <v>2760</v>
      </c>
      <c r="C1094" t="s">
        <v>167</v>
      </c>
      <c r="D1094" t="s">
        <v>1078</v>
      </c>
      <c r="E1094">
        <v>2</v>
      </c>
      <c r="F1094">
        <f>_xlfn.XLOOKUP(Table1[[#This Row],[ProductID]],Products!A:A,Products!D:D,,0)</f>
        <v>80</v>
      </c>
      <c r="I1094">
        <v>499</v>
      </c>
      <c r="J1094">
        <v>424</v>
      </c>
      <c r="K1094" t="s">
        <v>1092</v>
      </c>
      <c r="L1094">
        <v>848</v>
      </c>
      <c r="M1094" t="s">
        <v>1093</v>
      </c>
      <c r="N1094" t="s">
        <v>1094</v>
      </c>
      <c r="O1094">
        <f>Table1[[#This Row],[Unit_Price]]*Table1[[#This Row],[Quantity]]</f>
        <v>160</v>
      </c>
    </row>
    <row r="1095" spans="1:15" x14ac:dyDescent="0.3">
      <c r="A1095" t="s">
        <v>2761</v>
      </c>
      <c r="B1095" t="s">
        <v>2150</v>
      </c>
      <c r="C1095" t="s">
        <v>601</v>
      </c>
      <c r="D1095" t="s">
        <v>1057</v>
      </c>
      <c r="E1095">
        <v>1</v>
      </c>
      <c r="F1095">
        <f>_xlfn.XLOOKUP(Table1[[#This Row],[ProductID]],Products!A:A,Products!D:D,,0)</f>
        <v>130</v>
      </c>
      <c r="I1095">
        <v>549</v>
      </c>
      <c r="J1095">
        <v>549</v>
      </c>
      <c r="K1095" t="s">
        <v>1102</v>
      </c>
      <c r="L1095">
        <v>549</v>
      </c>
      <c r="M1095" t="s">
        <v>1098</v>
      </c>
      <c r="N1095" t="s">
        <v>1099</v>
      </c>
      <c r="O1095">
        <f>Table1[[#This Row],[Unit_Price]]*Table1[[#This Row],[Quantity]]</f>
        <v>130</v>
      </c>
    </row>
    <row r="1096" spans="1:15" x14ac:dyDescent="0.3">
      <c r="A1096" t="s">
        <v>2762</v>
      </c>
      <c r="B1096" t="s">
        <v>2190</v>
      </c>
      <c r="C1096" t="s">
        <v>469</v>
      </c>
      <c r="D1096" t="s">
        <v>1055</v>
      </c>
      <c r="E1096">
        <v>2</v>
      </c>
      <c r="F1096">
        <f>_xlfn.XLOOKUP(Table1[[#This Row],[ProductID]],Products!A:A,Products!D:D,,0)</f>
        <v>75</v>
      </c>
      <c r="I1096">
        <v>299</v>
      </c>
      <c r="J1096">
        <v>239</v>
      </c>
      <c r="K1096" t="s">
        <v>1097</v>
      </c>
      <c r="L1096">
        <v>478</v>
      </c>
      <c r="M1096" t="s">
        <v>1126</v>
      </c>
      <c r="N1096" t="s">
        <v>1099</v>
      </c>
      <c r="O1096">
        <f>Table1[[#This Row],[Unit_Price]]*Table1[[#This Row],[Quantity]]</f>
        <v>150</v>
      </c>
    </row>
    <row r="1097" spans="1:15" x14ac:dyDescent="0.3">
      <c r="A1097" t="s">
        <v>2763</v>
      </c>
      <c r="B1097" t="s">
        <v>2312</v>
      </c>
      <c r="C1097" t="s">
        <v>295</v>
      </c>
      <c r="D1097" t="s">
        <v>1068</v>
      </c>
      <c r="E1097">
        <v>4</v>
      </c>
      <c r="F1097">
        <f>_xlfn.XLOOKUP(Table1[[#This Row],[ProductID]],Products!A:A,Products!D:D,,0)</f>
        <v>180</v>
      </c>
      <c r="I1097">
        <v>449</v>
      </c>
      <c r="J1097">
        <v>404</v>
      </c>
      <c r="K1097" t="s">
        <v>1107</v>
      </c>
      <c r="L1097">
        <v>1616</v>
      </c>
      <c r="M1097" t="s">
        <v>1093</v>
      </c>
      <c r="N1097" t="s">
        <v>1123</v>
      </c>
      <c r="O1097">
        <f>Table1[[#This Row],[Unit_Price]]*Table1[[#This Row],[Quantity]]</f>
        <v>720</v>
      </c>
    </row>
    <row r="1098" spans="1:15" x14ac:dyDescent="0.3">
      <c r="A1098" t="s">
        <v>2764</v>
      </c>
      <c r="B1098" t="s">
        <v>1436</v>
      </c>
      <c r="C1098" t="s">
        <v>927</v>
      </c>
      <c r="D1098" t="s">
        <v>1068</v>
      </c>
      <c r="E1098">
        <v>1</v>
      </c>
      <c r="F1098">
        <f>_xlfn.XLOOKUP(Table1[[#This Row],[ProductID]],Products!A:A,Products!D:D,,0)</f>
        <v>180</v>
      </c>
      <c r="I1098">
        <v>449</v>
      </c>
      <c r="J1098">
        <v>449</v>
      </c>
      <c r="K1098" t="s">
        <v>1102</v>
      </c>
      <c r="L1098">
        <v>449</v>
      </c>
      <c r="M1098" t="s">
        <v>1093</v>
      </c>
      <c r="N1098" t="s">
        <v>1094</v>
      </c>
      <c r="O1098">
        <f>Table1[[#This Row],[Unit_Price]]*Table1[[#This Row],[Quantity]]</f>
        <v>180</v>
      </c>
    </row>
    <row r="1099" spans="1:15" x14ac:dyDescent="0.3">
      <c r="A1099" t="s">
        <v>2765</v>
      </c>
      <c r="B1099" t="s">
        <v>1443</v>
      </c>
      <c r="C1099" t="s">
        <v>455</v>
      </c>
      <c r="D1099" t="s">
        <v>1066</v>
      </c>
      <c r="E1099">
        <v>1</v>
      </c>
      <c r="F1099">
        <f>_xlfn.XLOOKUP(Table1[[#This Row],[ProductID]],Products!A:A,Products!D:D,,0)</f>
        <v>140</v>
      </c>
      <c r="I1099">
        <v>499</v>
      </c>
      <c r="J1099">
        <v>399</v>
      </c>
      <c r="K1099" t="s">
        <v>1097</v>
      </c>
      <c r="L1099">
        <v>399</v>
      </c>
      <c r="M1099" t="s">
        <v>1118</v>
      </c>
      <c r="N1099" t="s">
        <v>1099</v>
      </c>
      <c r="O1099">
        <f>Table1[[#This Row],[Unit_Price]]*Table1[[#This Row],[Quantity]]</f>
        <v>140</v>
      </c>
    </row>
    <row r="1100" spans="1:15" x14ac:dyDescent="0.3">
      <c r="A1100" t="s">
        <v>2766</v>
      </c>
      <c r="B1100" t="s">
        <v>2297</v>
      </c>
      <c r="C1100" t="s">
        <v>477</v>
      </c>
      <c r="D1100" t="s">
        <v>1053</v>
      </c>
      <c r="E1100">
        <v>1</v>
      </c>
      <c r="F1100">
        <f>_xlfn.XLOOKUP(Table1[[#This Row],[ProductID]],Products!A:A,Products!D:D,,0)</f>
        <v>200</v>
      </c>
      <c r="I1100">
        <v>899</v>
      </c>
      <c r="J1100">
        <v>899</v>
      </c>
      <c r="K1100" t="s">
        <v>1102</v>
      </c>
      <c r="L1100">
        <v>899</v>
      </c>
      <c r="M1100" t="s">
        <v>1093</v>
      </c>
      <c r="N1100" t="s">
        <v>1094</v>
      </c>
      <c r="O1100">
        <f>Table1[[#This Row],[Unit_Price]]*Table1[[#This Row],[Quantity]]</f>
        <v>200</v>
      </c>
    </row>
    <row r="1101" spans="1:15" x14ac:dyDescent="0.3">
      <c r="A1101" t="s">
        <v>2767</v>
      </c>
      <c r="B1101" t="s">
        <v>1207</v>
      </c>
      <c r="C1101" t="s">
        <v>987</v>
      </c>
      <c r="D1101" t="s">
        <v>1055</v>
      </c>
      <c r="E1101">
        <v>2</v>
      </c>
      <c r="F1101">
        <f>_xlfn.XLOOKUP(Table1[[#This Row],[ProductID]],Products!A:A,Products!D:D,,0)</f>
        <v>75</v>
      </c>
      <c r="I1101">
        <v>299</v>
      </c>
      <c r="J1101">
        <v>254</v>
      </c>
      <c r="K1101" t="s">
        <v>1092</v>
      </c>
      <c r="L1101">
        <v>508</v>
      </c>
      <c r="M1101" t="s">
        <v>1093</v>
      </c>
      <c r="N1101" t="s">
        <v>1099</v>
      </c>
      <c r="O1101">
        <f>Table1[[#This Row],[Unit_Price]]*Table1[[#This Row],[Quantity]]</f>
        <v>150</v>
      </c>
    </row>
    <row r="1102" spans="1:15" x14ac:dyDescent="0.3">
      <c r="A1102" t="s">
        <v>2768</v>
      </c>
      <c r="B1102" t="s">
        <v>2705</v>
      </c>
      <c r="C1102" t="s">
        <v>453</v>
      </c>
      <c r="D1102" t="s">
        <v>1080</v>
      </c>
      <c r="E1102">
        <v>2</v>
      </c>
      <c r="F1102">
        <f>_xlfn.XLOOKUP(Table1[[#This Row],[ProductID]],Products!A:A,Products!D:D,,0)</f>
        <v>45</v>
      </c>
      <c r="I1102">
        <v>249</v>
      </c>
      <c r="J1102">
        <v>212</v>
      </c>
      <c r="K1102" t="s">
        <v>1092</v>
      </c>
      <c r="L1102">
        <v>424</v>
      </c>
      <c r="M1102" t="s">
        <v>1098</v>
      </c>
      <c r="N1102" t="s">
        <v>1099</v>
      </c>
      <c r="O1102">
        <f>Table1[[#This Row],[Unit_Price]]*Table1[[#This Row],[Quantity]]</f>
        <v>90</v>
      </c>
    </row>
    <row r="1103" spans="1:15" x14ac:dyDescent="0.3">
      <c r="A1103" t="s">
        <v>2769</v>
      </c>
      <c r="B1103" t="s">
        <v>1196</v>
      </c>
      <c r="C1103" t="s">
        <v>869</v>
      </c>
      <c r="D1103" t="s">
        <v>1071</v>
      </c>
      <c r="E1103">
        <v>1</v>
      </c>
      <c r="F1103">
        <f>_xlfn.XLOOKUP(Table1[[#This Row],[ProductID]],Products!A:A,Products!D:D,,0)</f>
        <v>125</v>
      </c>
      <c r="I1103">
        <v>399</v>
      </c>
      <c r="J1103">
        <v>339</v>
      </c>
      <c r="K1103" t="s">
        <v>1092</v>
      </c>
      <c r="L1103">
        <v>339</v>
      </c>
      <c r="M1103" t="s">
        <v>1098</v>
      </c>
      <c r="N1103" t="s">
        <v>1099</v>
      </c>
      <c r="O1103">
        <f>Table1[[#This Row],[Unit_Price]]*Table1[[#This Row],[Quantity]]</f>
        <v>125</v>
      </c>
    </row>
    <row r="1104" spans="1:15" x14ac:dyDescent="0.3">
      <c r="A1104" t="s">
        <v>2770</v>
      </c>
      <c r="B1104" t="s">
        <v>1799</v>
      </c>
      <c r="C1104" t="s">
        <v>371</v>
      </c>
      <c r="D1104" t="s">
        <v>1068</v>
      </c>
      <c r="E1104">
        <v>2</v>
      </c>
      <c r="F1104">
        <f>_xlfn.XLOOKUP(Table1[[#This Row],[ProductID]],Products!A:A,Products!D:D,,0)</f>
        <v>180</v>
      </c>
      <c r="I1104">
        <v>449</v>
      </c>
      <c r="J1104">
        <v>449</v>
      </c>
      <c r="K1104" t="s">
        <v>1102</v>
      </c>
      <c r="L1104">
        <v>898</v>
      </c>
      <c r="M1104" t="s">
        <v>1098</v>
      </c>
      <c r="N1104" t="s">
        <v>1099</v>
      </c>
      <c r="O1104">
        <f>Table1[[#This Row],[Unit_Price]]*Table1[[#This Row],[Quantity]]</f>
        <v>360</v>
      </c>
    </row>
    <row r="1105" spans="1:15" x14ac:dyDescent="0.3">
      <c r="A1105" t="s">
        <v>2771</v>
      </c>
      <c r="B1105" t="s">
        <v>2772</v>
      </c>
      <c r="C1105" t="s">
        <v>829</v>
      </c>
      <c r="D1105" t="s">
        <v>1064</v>
      </c>
      <c r="E1105">
        <v>1</v>
      </c>
      <c r="F1105">
        <f>_xlfn.XLOOKUP(Table1[[#This Row],[ProductID]],Products!A:A,Products!D:D,,0)</f>
        <v>160</v>
      </c>
      <c r="I1105">
        <v>699</v>
      </c>
      <c r="J1105">
        <v>559</v>
      </c>
      <c r="K1105" t="s">
        <v>1097</v>
      </c>
      <c r="L1105">
        <v>559</v>
      </c>
      <c r="M1105" t="s">
        <v>1093</v>
      </c>
      <c r="N1105" t="s">
        <v>1099</v>
      </c>
      <c r="O1105">
        <f>Table1[[#This Row],[Unit_Price]]*Table1[[#This Row],[Quantity]]</f>
        <v>160</v>
      </c>
    </row>
    <row r="1106" spans="1:15" x14ac:dyDescent="0.3">
      <c r="A1106" t="s">
        <v>2773</v>
      </c>
      <c r="B1106" t="s">
        <v>1949</v>
      </c>
      <c r="C1106" t="s">
        <v>249</v>
      </c>
      <c r="D1106" t="s">
        <v>1059</v>
      </c>
      <c r="E1106">
        <v>2</v>
      </c>
      <c r="F1106">
        <f>_xlfn.XLOOKUP(Table1[[#This Row],[ProductID]],Products!A:A,Products!D:D,,0)</f>
        <v>110</v>
      </c>
      <c r="I1106">
        <v>399</v>
      </c>
      <c r="J1106">
        <v>339</v>
      </c>
      <c r="K1106" t="s">
        <v>1092</v>
      </c>
      <c r="L1106">
        <v>678</v>
      </c>
      <c r="M1106" t="s">
        <v>1093</v>
      </c>
      <c r="N1106" t="s">
        <v>1099</v>
      </c>
      <c r="O1106">
        <f>Table1[[#This Row],[Unit_Price]]*Table1[[#This Row],[Quantity]]</f>
        <v>220</v>
      </c>
    </row>
    <row r="1107" spans="1:15" x14ac:dyDescent="0.3">
      <c r="A1107" t="s">
        <v>2774</v>
      </c>
      <c r="B1107" t="s">
        <v>1138</v>
      </c>
      <c r="C1107" t="s">
        <v>311</v>
      </c>
      <c r="D1107" t="s">
        <v>1066</v>
      </c>
      <c r="E1107">
        <v>1</v>
      </c>
      <c r="F1107">
        <f>_xlfn.XLOOKUP(Table1[[#This Row],[ProductID]],Products!A:A,Products!D:D,,0)</f>
        <v>140</v>
      </c>
      <c r="I1107">
        <v>499</v>
      </c>
      <c r="J1107">
        <v>449</v>
      </c>
      <c r="K1107" t="s">
        <v>1107</v>
      </c>
      <c r="L1107">
        <v>449</v>
      </c>
      <c r="M1107" t="s">
        <v>1098</v>
      </c>
      <c r="N1107" t="s">
        <v>1123</v>
      </c>
      <c r="O1107">
        <f>Table1[[#This Row],[Unit_Price]]*Table1[[#This Row],[Quantity]]</f>
        <v>140</v>
      </c>
    </row>
    <row r="1108" spans="1:15" x14ac:dyDescent="0.3">
      <c r="A1108" t="s">
        <v>2775</v>
      </c>
      <c r="B1108" t="s">
        <v>2576</v>
      </c>
      <c r="C1108" t="s">
        <v>321</v>
      </c>
      <c r="D1108" t="s">
        <v>1051</v>
      </c>
      <c r="E1108">
        <v>3</v>
      </c>
      <c r="F1108">
        <f>_xlfn.XLOOKUP(Table1[[#This Row],[ProductID]],Products!A:A,Products!D:D,,0)</f>
        <v>150</v>
      </c>
      <c r="I1108">
        <v>499</v>
      </c>
      <c r="J1108">
        <v>449</v>
      </c>
      <c r="K1108" t="s">
        <v>1107</v>
      </c>
      <c r="L1108">
        <v>1347</v>
      </c>
      <c r="M1108" t="s">
        <v>1093</v>
      </c>
      <c r="N1108" t="s">
        <v>1094</v>
      </c>
      <c r="O1108">
        <f>Table1[[#This Row],[Unit_Price]]*Table1[[#This Row],[Quantity]]</f>
        <v>450</v>
      </c>
    </row>
    <row r="1109" spans="1:15" x14ac:dyDescent="0.3">
      <c r="A1109" t="s">
        <v>2776</v>
      </c>
      <c r="B1109" t="s">
        <v>1541</v>
      </c>
      <c r="C1109" t="s">
        <v>627</v>
      </c>
      <c r="D1109" t="s">
        <v>1059</v>
      </c>
      <c r="E1109">
        <v>1</v>
      </c>
      <c r="F1109">
        <f>_xlfn.XLOOKUP(Table1[[#This Row],[ProductID]],Products!A:A,Products!D:D,,0)</f>
        <v>110</v>
      </c>
      <c r="I1109">
        <v>399</v>
      </c>
      <c r="J1109">
        <v>339</v>
      </c>
      <c r="K1109" t="s">
        <v>1092</v>
      </c>
      <c r="L1109">
        <v>339</v>
      </c>
      <c r="M1109" t="s">
        <v>1093</v>
      </c>
      <c r="N1109" t="s">
        <v>1099</v>
      </c>
      <c r="O1109">
        <f>Table1[[#This Row],[Unit_Price]]*Table1[[#This Row],[Quantity]]</f>
        <v>110</v>
      </c>
    </row>
    <row r="1110" spans="1:15" x14ac:dyDescent="0.3">
      <c r="A1110" t="s">
        <v>2777</v>
      </c>
      <c r="B1110" t="s">
        <v>2778</v>
      </c>
      <c r="C1110" t="s">
        <v>267</v>
      </c>
      <c r="D1110" t="s">
        <v>1053</v>
      </c>
      <c r="E1110">
        <v>1</v>
      </c>
      <c r="F1110">
        <f>_xlfn.XLOOKUP(Table1[[#This Row],[ProductID]],Products!A:A,Products!D:D,,0)</f>
        <v>200</v>
      </c>
      <c r="I1110">
        <v>899</v>
      </c>
      <c r="J1110">
        <v>809</v>
      </c>
      <c r="K1110" t="s">
        <v>1107</v>
      </c>
      <c r="L1110">
        <v>809</v>
      </c>
      <c r="M1110" t="s">
        <v>1118</v>
      </c>
      <c r="N1110" t="s">
        <v>1099</v>
      </c>
      <c r="O1110">
        <f>Table1[[#This Row],[Unit_Price]]*Table1[[#This Row],[Quantity]]</f>
        <v>200</v>
      </c>
    </row>
    <row r="1111" spans="1:15" x14ac:dyDescent="0.3">
      <c r="A1111" t="s">
        <v>2779</v>
      </c>
      <c r="B1111" t="s">
        <v>1361</v>
      </c>
      <c r="C1111" t="s">
        <v>803</v>
      </c>
      <c r="D1111" t="s">
        <v>1059</v>
      </c>
      <c r="E1111">
        <v>1</v>
      </c>
      <c r="F1111">
        <f>_xlfn.XLOOKUP(Table1[[#This Row],[ProductID]],Products!A:A,Products!D:D,,0)</f>
        <v>110</v>
      </c>
      <c r="I1111">
        <v>399</v>
      </c>
      <c r="J1111">
        <v>359</v>
      </c>
      <c r="K1111" t="s">
        <v>1107</v>
      </c>
      <c r="L1111">
        <v>359</v>
      </c>
      <c r="M1111" t="s">
        <v>1093</v>
      </c>
      <c r="N1111" t="s">
        <v>1099</v>
      </c>
      <c r="O1111">
        <f>Table1[[#This Row],[Unit_Price]]*Table1[[#This Row],[Quantity]]</f>
        <v>110</v>
      </c>
    </row>
    <row r="1112" spans="1:15" x14ac:dyDescent="0.3">
      <c r="A1112" t="s">
        <v>2780</v>
      </c>
      <c r="B1112" t="s">
        <v>1383</v>
      </c>
      <c r="C1112" t="s">
        <v>821</v>
      </c>
      <c r="D1112" t="s">
        <v>1080</v>
      </c>
      <c r="E1112">
        <v>2</v>
      </c>
      <c r="F1112">
        <f>_xlfn.XLOOKUP(Table1[[#This Row],[ProductID]],Products!A:A,Products!D:D,,0)</f>
        <v>45</v>
      </c>
      <c r="I1112">
        <v>249</v>
      </c>
      <c r="J1112">
        <v>224</v>
      </c>
      <c r="K1112" t="s">
        <v>1107</v>
      </c>
      <c r="L1112">
        <v>448</v>
      </c>
      <c r="M1112" t="s">
        <v>1098</v>
      </c>
      <c r="N1112" t="s">
        <v>1099</v>
      </c>
      <c r="O1112">
        <f>Table1[[#This Row],[Unit_Price]]*Table1[[#This Row],[Quantity]]</f>
        <v>90</v>
      </c>
    </row>
    <row r="1113" spans="1:15" x14ac:dyDescent="0.3">
      <c r="A1113" t="s">
        <v>2781</v>
      </c>
      <c r="B1113" t="s">
        <v>2605</v>
      </c>
      <c r="C1113" t="s">
        <v>793</v>
      </c>
      <c r="D1113" t="s">
        <v>1057</v>
      </c>
      <c r="E1113">
        <v>1</v>
      </c>
      <c r="F1113">
        <f>_xlfn.XLOOKUP(Table1[[#This Row],[ProductID]],Products!A:A,Products!D:D,,0)</f>
        <v>130</v>
      </c>
      <c r="I1113">
        <v>549</v>
      </c>
      <c r="J1113">
        <v>439</v>
      </c>
      <c r="K1113" t="s">
        <v>1097</v>
      </c>
      <c r="L1113">
        <v>439</v>
      </c>
      <c r="M1113" t="s">
        <v>1093</v>
      </c>
      <c r="N1113" t="s">
        <v>1094</v>
      </c>
      <c r="O1113">
        <f>Table1[[#This Row],[Unit_Price]]*Table1[[#This Row],[Quantity]]</f>
        <v>130</v>
      </c>
    </row>
    <row r="1114" spans="1:15" x14ac:dyDescent="0.3">
      <c r="A1114" t="s">
        <v>2782</v>
      </c>
      <c r="B1114" t="s">
        <v>1778</v>
      </c>
      <c r="C1114" t="s">
        <v>201</v>
      </c>
      <c r="D1114" t="s">
        <v>1048</v>
      </c>
      <c r="E1114">
        <v>1</v>
      </c>
      <c r="F1114">
        <f>_xlfn.XLOOKUP(Table1[[#This Row],[ProductID]],Products!A:A,Products!D:D,,0)</f>
        <v>120</v>
      </c>
      <c r="I1114">
        <v>599</v>
      </c>
      <c r="J1114">
        <v>509</v>
      </c>
      <c r="K1114" t="s">
        <v>1092</v>
      </c>
      <c r="L1114">
        <v>509</v>
      </c>
      <c r="M1114" t="s">
        <v>1093</v>
      </c>
      <c r="N1114" t="s">
        <v>1099</v>
      </c>
      <c r="O1114">
        <f>Table1[[#This Row],[Unit_Price]]*Table1[[#This Row],[Quantity]]</f>
        <v>120</v>
      </c>
    </row>
    <row r="1115" spans="1:15" x14ac:dyDescent="0.3">
      <c r="A1115" t="s">
        <v>2783</v>
      </c>
      <c r="B1115" t="s">
        <v>2668</v>
      </c>
      <c r="C1115" t="s">
        <v>95</v>
      </c>
      <c r="D1115" t="s">
        <v>1080</v>
      </c>
      <c r="E1115">
        <v>2</v>
      </c>
      <c r="F1115">
        <f>_xlfn.XLOOKUP(Table1[[#This Row],[ProductID]],Products!A:A,Products!D:D,,0)</f>
        <v>45</v>
      </c>
      <c r="I1115">
        <v>249</v>
      </c>
      <c r="J1115">
        <v>224</v>
      </c>
      <c r="K1115" t="s">
        <v>1107</v>
      </c>
      <c r="L1115">
        <v>448</v>
      </c>
      <c r="M1115" t="s">
        <v>1098</v>
      </c>
      <c r="N1115" t="s">
        <v>1099</v>
      </c>
      <c r="O1115">
        <f>Table1[[#This Row],[Unit_Price]]*Table1[[#This Row],[Quantity]]</f>
        <v>90</v>
      </c>
    </row>
    <row r="1116" spans="1:15" x14ac:dyDescent="0.3">
      <c r="A1116" t="s">
        <v>2784</v>
      </c>
      <c r="B1116" t="s">
        <v>2001</v>
      </c>
      <c r="C1116" t="s">
        <v>705</v>
      </c>
      <c r="D1116" t="s">
        <v>1062</v>
      </c>
      <c r="E1116">
        <v>1</v>
      </c>
      <c r="F1116">
        <f>_xlfn.XLOOKUP(Table1[[#This Row],[ProductID]],Products!A:A,Products!D:D,,0)</f>
        <v>95</v>
      </c>
      <c r="I1116">
        <v>349</v>
      </c>
      <c r="J1116">
        <v>297</v>
      </c>
      <c r="K1116" t="s">
        <v>1092</v>
      </c>
      <c r="L1116">
        <v>297</v>
      </c>
      <c r="M1116" t="s">
        <v>1093</v>
      </c>
      <c r="N1116" t="s">
        <v>1099</v>
      </c>
      <c r="O1116">
        <f>Table1[[#This Row],[Unit_Price]]*Table1[[#This Row],[Quantity]]</f>
        <v>95</v>
      </c>
    </row>
    <row r="1117" spans="1:15" x14ac:dyDescent="0.3">
      <c r="A1117" t="s">
        <v>2785</v>
      </c>
      <c r="B1117" t="s">
        <v>2304</v>
      </c>
      <c r="C1117" t="s">
        <v>169</v>
      </c>
      <c r="D1117" t="s">
        <v>1059</v>
      </c>
      <c r="E1117">
        <v>1</v>
      </c>
      <c r="F1117">
        <f>_xlfn.XLOOKUP(Table1[[#This Row],[ProductID]],Products!A:A,Products!D:D,,0)</f>
        <v>110</v>
      </c>
      <c r="I1117">
        <v>399</v>
      </c>
      <c r="J1117">
        <v>359</v>
      </c>
      <c r="K1117" t="s">
        <v>1107</v>
      </c>
      <c r="L1117">
        <v>359</v>
      </c>
      <c r="M1117" t="s">
        <v>1098</v>
      </c>
      <c r="N1117" t="s">
        <v>1099</v>
      </c>
      <c r="O1117">
        <f>Table1[[#This Row],[Unit_Price]]*Table1[[#This Row],[Quantity]]</f>
        <v>110</v>
      </c>
    </row>
    <row r="1118" spans="1:15" x14ac:dyDescent="0.3">
      <c r="A1118" t="s">
        <v>2786</v>
      </c>
      <c r="B1118" t="s">
        <v>1616</v>
      </c>
      <c r="C1118" t="s">
        <v>1003</v>
      </c>
      <c r="D1118" t="s">
        <v>1064</v>
      </c>
      <c r="E1118">
        <v>1</v>
      </c>
      <c r="F1118">
        <f>_xlfn.XLOOKUP(Table1[[#This Row],[ProductID]],Products!A:A,Products!D:D,,0)</f>
        <v>160</v>
      </c>
      <c r="I1118">
        <v>699</v>
      </c>
      <c r="J1118">
        <v>629</v>
      </c>
      <c r="K1118" t="s">
        <v>1107</v>
      </c>
      <c r="L1118">
        <v>629</v>
      </c>
      <c r="M1118" t="s">
        <v>1093</v>
      </c>
      <c r="N1118" t="s">
        <v>1094</v>
      </c>
      <c r="O1118">
        <f>Table1[[#This Row],[Unit_Price]]*Table1[[#This Row],[Quantity]]</f>
        <v>160</v>
      </c>
    </row>
    <row r="1119" spans="1:15" x14ac:dyDescent="0.3">
      <c r="A1119" t="s">
        <v>2787</v>
      </c>
      <c r="B1119" t="s">
        <v>2285</v>
      </c>
      <c r="C1119" t="s">
        <v>803</v>
      </c>
      <c r="D1119" t="s">
        <v>1057</v>
      </c>
      <c r="E1119">
        <v>1</v>
      </c>
      <c r="F1119">
        <f>_xlfn.XLOOKUP(Table1[[#This Row],[ProductID]],Products!A:A,Products!D:D,,0)</f>
        <v>130</v>
      </c>
      <c r="I1119">
        <v>549</v>
      </c>
      <c r="J1119">
        <v>439</v>
      </c>
      <c r="K1119" t="s">
        <v>1097</v>
      </c>
      <c r="L1119">
        <v>439</v>
      </c>
      <c r="M1119" t="s">
        <v>1093</v>
      </c>
      <c r="N1119" t="s">
        <v>1099</v>
      </c>
      <c r="O1119">
        <f>Table1[[#This Row],[Unit_Price]]*Table1[[#This Row],[Quantity]]</f>
        <v>130</v>
      </c>
    </row>
    <row r="1120" spans="1:15" x14ac:dyDescent="0.3">
      <c r="A1120" t="s">
        <v>2788</v>
      </c>
      <c r="B1120" t="s">
        <v>1296</v>
      </c>
      <c r="C1120" t="s">
        <v>913</v>
      </c>
      <c r="D1120" t="s">
        <v>1064</v>
      </c>
      <c r="E1120">
        <v>1</v>
      </c>
      <c r="F1120">
        <f>_xlfn.XLOOKUP(Table1[[#This Row],[ProductID]],Products!A:A,Products!D:D,,0)</f>
        <v>160</v>
      </c>
      <c r="I1120">
        <v>699</v>
      </c>
      <c r="J1120">
        <v>594</v>
      </c>
      <c r="K1120" t="s">
        <v>1092</v>
      </c>
      <c r="L1120">
        <v>594</v>
      </c>
      <c r="M1120" t="s">
        <v>1098</v>
      </c>
      <c r="N1120" t="s">
        <v>1099</v>
      </c>
      <c r="O1120">
        <f>Table1[[#This Row],[Unit_Price]]*Table1[[#This Row],[Quantity]]</f>
        <v>160</v>
      </c>
    </row>
    <row r="1121" spans="1:15" x14ac:dyDescent="0.3">
      <c r="A1121" t="s">
        <v>2789</v>
      </c>
      <c r="B1121" t="s">
        <v>1774</v>
      </c>
      <c r="C1121" t="s">
        <v>339</v>
      </c>
      <c r="D1121" t="s">
        <v>1051</v>
      </c>
      <c r="E1121">
        <v>2</v>
      </c>
      <c r="F1121">
        <f>_xlfn.XLOOKUP(Table1[[#This Row],[ProductID]],Products!A:A,Products!D:D,,0)</f>
        <v>150</v>
      </c>
      <c r="I1121">
        <v>499</v>
      </c>
      <c r="J1121">
        <v>449</v>
      </c>
      <c r="K1121" t="s">
        <v>1107</v>
      </c>
      <c r="L1121">
        <v>898</v>
      </c>
      <c r="M1121" t="s">
        <v>1098</v>
      </c>
      <c r="N1121" t="s">
        <v>1099</v>
      </c>
      <c r="O1121">
        <f>Table1[[#This Row],[Unit_Price]]*Table1[[#This Row],[Quantity]]</f>
        <v>300</v>
      </c>
    </row>
    <row r="1122" spans="1:15" x14ac:dyDescent="0.3">
      <c r="A1122" t="s">
        <v>2790</v>
      </c>
      <c r="B1122" t="s">
        <v>2413</v>
      </c>
      <c r="C1122" t="s">
        <v>955</v>
      </c>
      <c r="D1122" t="s">
        <v>1073</v>
      </c>
      <c r="E1122">
        <v>2</v>
      </c>
      <c r="F1122">
        <f>_xlfn.XLOOKUP(Table1[[#This Row],[ProductID]],Products!A:A,Products!D:D,,0)</f>
        <v>100</v>
      </c>
      <c r="I1122">
        <v>349</v>
      </c>
      <c r="J1122">
        <v>314</v>
      </c>
      <c r="K1122" t="s">
        <v>1107</v>
      </c>
      <c r="L1122">
        <v>628</v>
      </c>
      <c r="M1122" t="s">
        <v>1093</v>
      </c>
      <c r="N1122" t="s">
        <v>1099</v>
      </c>
      <c r="O1122">
        <f>Table1[[#This Row],[Unit_Price]]*Table1[[#This Row],[Quantity]]</f>
        <v>200</v>
      </c>
    </row>
    <row r="1123" spans="1:15" x14ac:dyDescent="0.3">
      <c r="A1123" t="s">
        <v>2791</v>
      </c>
      <c r="B1123" t="s">
        <v>2792</v>
      </c>
      <c r="C1123" t="s">
        <v>563</v>
      </c>
      <c r="D1123" t="s">
        <v>1055</v>
      </c>
      <c r="E1123">
        <v>4</v>
      </c>
      <c r="F1123">
        <f>_xlfn.XLOOKUP(Table1[[#This Row],[ProductID]],Products!A:A,Products!D:D,,0)</f>
        <v>75</v>
      </c>
      <c r="I1123">
        <v>299</v>
      </c>
      <c r="J1123">
        <v>269</v>
      </c>
      <c r="K1123" t="s">
        <v>1107</v>
      </c>
      <c r="L1123">
        <v>1076</v>
      </c>
      <c r="M1123" t="s">
        <v>1098</v>
      </c>
      <c r="N1123" t="s">
        <v>1099</v>
      </c>
      <c r="O1123">
        <f>Table1[[#This Row],[Unit_Price]]*Table1[[#This Row],[Quantity]]</f>
        <v>300</v>
      </c>
    </row>
    <row r="1124" spans="1:15" x14ac:dyDescent="0.3">
      <c r="A1124" t="s">
        <v>2793</v>
      </c>
      <c r="B1124" t="s">
        <v>1997</v>
      </c>
      <c r="C1124" t="s">
        <v>821</v>
      </c>
      <c r="D1124" t="s">
        <v>1053</v>
      </c>
      <c r="E1124">
        <v>3</v>
      </c>
      <c r="F1124">
        <f>_xlfn.XLOOKUP(Table1[[#This Row],[ProductID]],Products!A:A,Products!D:D,,0)</f>
        <v>200</v>
      </c>
      <c r="I1124">
        <v>899</v>
      </c>
      <c r="J1124">
        <v>809</v>
      </c>
      <c r="K1124" t="s">
        <v>1107</v>
      </c>
      <c r="L1124">
        <v>2427</v>
      </c>
      <c r="M1124" t="s">
        <v>1093</v>
      </c>
      <c r="N1124" t="s">
        <v>1094</v>
      </c>
      <c r="O1124">
        <f>Table1[[#This Row],[Unit_Price]]*Table1[[#This Row],[Quantity]]</f>
        <v>600</v>
      </c>
    </row>
    <row r="1125" spans="1:15" x14ac:dyDescent="0.3">
      <c r="A1125" t="s">
        <v>2794</v>
      </c>
      <c r="B1125" t="s">
        <v>1911</v>
      </c>
      <c r="C1125" t="s">
        <v>179</v>
      </c>
      <c r="D1125" t="s">
        <v>1064</v>
      </c>
      <c r="E1125">
        <v>1</v>
      </c>
      <c r="F1125">
        <f>_xlfn.XLOOKUP(Table1[[#This Row],[ProductID]],Products!A:A,Products!D:D,,0)</f>
        <v>160</v>
      </c>
      <c r="I1125">
        <v>699</v>
      </c>
      <c r="J1125">
        <v>629</v>
      </c>
      <c r="K1125" t="s">
        <v>1107</v>
      </c>
      <c r="L1125">
        <v>629</v>
      </c>
      <c r="M1125" t="s">
        <v>1098</v>
      </c>
      <c r="N1125" t="s">
        <v>1099</v>
      </c>
      <c r="O1125">
        <f>Table1[[#This Row],[Unit_Price]]*Table1[[#This Row],[Quantity]]</f>
        <v>160</v>
      </c>
    </row>
    <row r="1126" spans="1:15" x14ac:dyDescent="0.3">
      <c r="A1126" t="s">
        <v>2795</v>
      </c>
      <c r="B1126" t="s">
        <v>1294</v>
      </c>
      <c r="C1126" t="s">
        <v>483</v>
      </c>
      <c r="D1126" t="s">
        <v>1051</v>
      </c>
      <c r="E1126">
        <v>3</v>
      </c>
      <c r="F1126">
        <f>_xlfn.XLOOKUP(Table1[[#This Row],[ProductID]],Products!A:A,Products!D:D,,0)</f>
        <v>150</v>
      </c>
      <c r="I1126">
        <v>499</v>
      </c>
      <c r="J1126">
        <v>399</v>
      </c>
      <c r="K1126" t="s">
        <v>1097</v>
      </c>
      <c r="L1126">
        <v>1197</v>
      </c>
      <c r="M1126" t="s">
        <v>1093</v>
      </c>
      <c r="N1126" t="s">
        <v>1094</v>
      </c>
      <c r="O1126">
        <f>Table1[[#This Row],[Unit_Price]]*Table1[[#This Row],[Quantity]]</f>
        <v>450</v>
      </c>
    </row>
    <row r="1127" spans="1:15" x14ac:dyDescent="0.3">
      <c r="A1127" t="s">
        <v>2796</v>
      </c>
      <c r="B1127" t="s">
        <v>2243</v>
      </c>
      <c r="C1127" t="s">
        <v>91</v>
      </c>
      <c r="D1127" t="s">
        <v>1080</v>
      </c>
      <c r="E1127">
        <v>1</v>
      </c>
      <c r="F1127">
        <f>_xlfn.XLOOKUP(Table1[[#This Row],[ProductID]],Products!A:A,Products!D:D,,0)</f>
        <v>45</v>
      </c>
      <c r="I1127">
        <v>249</v>
      </c>
      <c r="J1127">
        <v>199</v>
      </c>
      <c r="K1127" t="s">
        <v>1097</v>
      </c>
      <c r="L1127">
        <v>199</v>
      </c>
      <c r="M1127" t="s">
        <v>1093</v>
      </c>
      <c r="N1127" t="s">
        <v>1099</v>
      </c>
      <c r="O1127">
        <f>Table1[[#This Row],[Unit_Price]]*Table1[[#This Row],[Quantity]]</f>
        <v>45</v>
      </c>
    </row>
    <row r="1128" spans="1:15" x14ac:dyDescent="0.3">
      <c r="A1128" t="s">
        <v>2797</v>
      </c>
      <c r="B1128" t="s">
        <v>2628</v>
      </c>
      <c r="C1128" t="s">
        <v>773</v>
      </c>
      <c r="D1128" t="s">
        <v>1073</v>
      </c>
      <c r="E1128">
        <v>1</v>
      </c>
      <c r="F1128">
        <f>_xlfn.XLOOKUP(Table1[[#This Row],[ProductID]],Products!A:A,Products!D:D,,0)</f>
        <v>100</v>
      </c>
      <c r="I1128">
        <v>349</v>
      </c>
      <c r="J1128">
        <v>279</v>
      </c>
      <c r="K1128" t="s">
        <v>1097</v>
      </c>
      <c r="L1128">
        <v>279</v>
      </c>
      <c r="M1128" t="s">
        <v>1093</v>
      </c>
      <c r="N1128" t="s">
        <v>1099</v>
      </c>
      <c r="O1128">
        <f>Table1[[#This Row],[Unit_Price]]*Table1[[#This Row],[Quantity]]</f>
        <v>100</v>
      </c>
    </row>
    <row r="1129" spans="1:15" x14ac:dyDescent="0.3">
      <c r="A1129" t="s">
        <v>2798</v>
      </c>
      <c r="B1129" t="s">
        <v>1993</v>
      </c>
      <c r="C1129" t="s">
        <v>775</v>
      </c>
      <c r="D1129" t="s">
        <v>1078</v>
      </c>
      <c r="E1129">
        <v>1</v>
      </c>
      <c r="F1129">
        <f>_xlfn.XLOOKUP(Table1[[#This Row],[ProductID]],Products!A:A,Products!D:D,,0)</f>
        <v>80</v>
      </c>
      <c r="I1129">
        <v>499</v>
      </c>
      <c r="J1129">
        <v>399</v>
      </c>
      <c r="K1129" t="s">
        <v>1097</v>
      </c>
      <c r="L1129">
        <v>399</v>
      </c>
      <c r="M1129" t="s">
        <v>1093</v>
      </c>
      <c r="N1129" t="s">
        <v>1099</v>
      </c>
      <c r="O1129">
        <f>Table1[[#This Row],[Unit_Price]]*Table1[[#This Row],[Quantity]]</f>
        <v>80</v>
      </c>
    </row>
    <row r="1130" spans="1:15" x14ac:dyDescent="0.3">
      <c r="A1130" t="s">
        <v>2799</v>
      </c>
      <c r="B1130" t="s">
        <v>2624</v>
      </c>
      <c r="C1130" t="s">
        <v>887</v>
      </c>
      <c r="D1130" t="s">
        <v>1062</v>
      </c>
      <c r="E1130">
        <v>1</v>
      </c>
      <c r="F1130">
        <f>_xlfn.XLOOKUP(Table1[[#This Row],[ProductID]],Products!A:A,Products!D:D,,0)</f>
        <v>95</v>
      </c>
      <c r="I1130">
        <v>349</v>
      </c>
      <c r="J1130">
        <v>349</v>
      </c>
      <c r="K1130" t="s">
        <v>1102</v>
      </c>
      <c r="L1130">
        <v>349</v>
      </c>
      <c r="M1130" t="s">
        <v>1098</v>
      </c>
      <c r="N1130" t="s">
        <v>1099</v>
      </c>
      <c r="O1130">
        <f>Table1[[#This Row],[Unit_Price]]*Table1[[#This Row],[Quantity]]</f>
        <v>95</v>
      </c>
    </row>
    <row r="1131" spans="1:15" x14ac:dyDescent="0.3">
      <c r="A1131" t="s">
        <v>2800</v>
      </c>
      <c r="B1131" t="s">
        <v>1715</v>
      </c>
      <c r="C1131" t="s">
        <v>138</v>
      </c>
      <c r="D1131" t="s">
        <v>1068</v>
      </c>
      <c r="E1131">
        <v>1</v>
      </c>
      <c r="F1131">
        <f>_xlfn.XLOOKUP(Table1[[#This Row],[ProductID]],Products!A:A,Products!D:D,,0)</f>
        <v>180</v>
      </c>
      <c r="I1131">
        <v>449</v>
      </c>
      <c r="J1131">
        <v>404</v>
      </c>
      <c r="K1131" t="s">
        <v>1107</v>
      </c>
      <c r="L1131">
        <v>404</v>
      </c>
      <c r="M1131" t="s">
        <v>1093</v>
      </c>
      <c r="N1131" t="s">
        <v>1094</v>
      </c>
      <c r="O1131">
        <f>Table1[[#This Row],[Unit_Price]]*Table1[[#This Row],[Quantity]]</f>
        <v>180</v>
      </c>
    </row>
    <row r="1132" spans="1:15" x14ac:dyDescent="0.3">
      <c r="A1132" t="s">
        <v>2801</v>
      </c>
      <c r="B1132" t="s">
        <v>1551</v>
      </c>
      <c r="C1132" t="s">
        <v>621</v>
      </c>
      <c r="D1132" t="s">
        <v>1075</v>
      </c>
      <c r="E1132">
        <v>1</v>
      </c>
      <c r="F1132">
        <f>_xlfn.XLOOKUP(Table1[[#This Row],[ProductID]],Products!A:A,Products!D:D,,0)</f>
        <v>80</v>
      </c>
      <c r="I1132">
        <v>499</v>
      </c>
      <c r="J1132">
        <v>424</v>
      </c>
      <c r="K1132" t="s">
        <v>1092</v>
      </c>
      <c r="L1132">
        <v>424</v>
      </c>
      <c r="M1132" t="s">
        <v>1093</v>
      </c>
      <c r="N1132" t="s">
        <v>1099</v>
      </c>
      <c r="O1132">
        <f>Table1[[#This Row],[Unit_Price]]*Table1[[#This Row],[Quantity]]</f>
        <v>80</v>
      </c>
    </row>
    <row r="1133" spans="1:15" x14ac:dyDescent="0.3">
      <c r="A1133" t="s">
        <v>2802</v>
      </c>
      <c r="B1133" t="s">
        <v>2682</v>
      </c>
      <c r="C1133" t="s">
        <v>661</v>
      </c>
      <c r="D1133" t="s">
        <v>1078</v>
      </c>
      <c r="E1133">
        <v>1</v>
      </c>
      <c r="F1133">
        <f>_xlfn.XLOOKUP(Table1[[#This Row],[ProductID]],Products!A:A,Products!D:D,,0)</f>
        <v>80</v>
      </c>
      <c r="I1133">
        <v>499</v>
      </c>
      <c r="J1133">
        <v>449</v>
      </c>
      <c r="K1133" t="s">
        <v>1107</v>
      </c>
      <c r="L1133">
        <v>449</v>
      </c>
      <c r="M1133" t="s">
        <v>1093</v>
      </c>
      <c r="N1133" t="s">
        <v>1094</v>
      </c>
      <c r="O1133">
        <f>Table1[[#This Row],[Unit_Price]]*Table1[[#This Row],[Quantity]]</f>
        <v>80</v>
      </c>
    </row>
    <row r="1134" spans="1:15" x14ac:dyDescent="0.3">
      <c r="A1134" t="s">
        <v>2803</v>
      </c>
      <c r="B1134" t="s">
        <v>2749</v>
      </c>
      <c r="C1134" t="s">
        <v>138</v>
      </c>
      <c r="D1134" t="s">
        <v>1057</v>
      </c>
      <c r="E1134">
        <v>2</v>
      </c>
      <c r="F1134">
        <f>_xlfn.XLOOKUP(Table1[[#This Row],[ProductID]],Products!A:A,Products!D:D,,0)</f>
        <v>130</v>
      </c>
      <c r="I1134">
        <v>549</v>
      </c>
      <c r="J1134">
        <v>439</v>
      </c>
      <c r="K1134" t="s">
        <v>1097</v>
      </c>
      <c r="L1134">
        <v>878</v>
      </c>
      <c r="M1134" t="s">
        <v>1098</v>
      </c>
      <c r="N1134" t="s">
        <v>1099</v>
      </c>
      <c r="O1134">
        <f>Table1[[#This Row],[Unit_Price]]*Table1[[#This Row],[Quantity]]</f>
        <v>260</v>
      </c>
    </row>
    <row r="1135" spans="1:15" x14ac:dyDescent="0.3">
      <c r="A1135" t="s">
        <v>2804</v>
      </c>
      <c r="B1135" t="s">
        <v>2805</v>
      </c>
      <c r="C1135" t="s">
        <v>331</v>
      </c>
      <c r="D1135" t="s">
        <v>1066</v>
      </c>
      <c r="E1135">
        <v>1</v>
      </c>
      <c r="F1135">
        <f>_xlfn.XLOOKUP(Table1[[#This Row],[ProductID]],Products!A:A,Products!D:D,,0)</f>
        <v>140</v>
      </c>
      <c r="I1135">
        <v>499</v>
      </c>
      <c r="J1135">
        <v>424</v>
      </c>
      <c r="K1135" t="s">
        <v>1092</v>
      </c>
      <c r="L1135">
        <v>424</v>
      </c>
      <c r="M1135" t="s">
        <v>1093</v>
      </c>
      <c r="N1135" t="s">
        <v>1099</v>
      </c>
      <c r="O1135">
        <f>Table1[[#This Row],[Unit_Price]]*Table1[[#This Row],[Quantity]]</f>
        <v>140</v>
      </c>
    </row>
    <row r="1136" spans="1:15" x14ac:dyDescent="0.3">
      <c r="A1136" t="s">
        <v>2806</v>
      </c>
      <c r="B1136" t="s">
        <v>1109</v>
      </c>
      <c r="C1136" t="s">
        <v>148</v>
      </c>
      <c r="D1136" t="s">
        <v>1048</v>
      </c>
      <c r="E1136">
        <v>1</v>
      </c>
      <c r="F1136">
        <f>_xlfn.XLOOKUP(Table1[[#This Row],[ProductID]],Products!A:A,Products!D:D,,0)</f>
        <v>120</v>
      </c>
      <c r="I1136">
        <v>599</v>
      </c>
      <c r="J1136">
        <v>599</v>
      </c>
      <c r="K1136" t="s">
        <v>1102</v>
      </c>
      <c r="L1136">
        <v>599</v>
      </c>
      <c r="M1136" t="s">
        <v>1126</v>
      </c>
      <c r="N1136" t="s">
        <v>1099</v>
      </c>
      <c r="O1136">
        <f>Table1[[#This Row],[Unit_Price]]*Table1[[#This Row],[Quantity]]</f>
        <v>120</v>
      </c>
    </row>
    <row r="1137" spans="1:15" x14ac:dyDescent="0.3">
      <c r="A1137" t="s">
        <v>2807</v>
      </c>
      <c r="B1137" t="s">
        <v>2148</v>
      </c>
      <c r="C1137" t="s">
        <v>71</v>
      </c>
      <c r="D1137" t="s">
        <v>1078</v>
      </c>
      <c r="E1137">
        <v>2</v>
      </c>
      <c r="F1137">
        <f>_xlfn.XLOOKUP(Table1[[#This Row],[ProductID]],Products!A:A,Products!D:D,,0)</f>
        <v>80</v>
      </c>
      <c r="I1137">
        <v>499</v>
      </c>
      <c r="J1137">
        <v>424</v>
      </c>
      <c r="K1137" t="s">
        <v>1092</v>
      </c>
      <c r="L1137">
        <v>848</v>
      </c>
      <c r="M1137" t="s">
        <v>1098</v>
      </c>
      <c r="N1137" t="s">
        <v>1099</v>
      </c>
      <c r="O1137">
        <f>Table1[[#This Row],[Unit_Price]]*Table1[[#This Row],[Quantity]]</f>
        <v>160</v>
      </c>
    </row>
    <row r="1138" spans="1:15" x14ac:dyDescent="0.3">
      <c r="A1138" t="s">
        <v>2808</v>
      </c>
      <c r="B1138" t="s">
        <v>1396</v>
      </c>
      <c r="C1138" t="s">
        <v>471</v>
      </c>
      <c r="D1138" t="s">
        <v>1059</v>
      </c>
      <c r="E1138">
        <v>2</v>
      </c>
      <c r="F1138">
        <f>_xlfn.XLOOKUP(Table1[[#This Row],[ProductID]],Products!A:A,Products!D:D,,0)</f>
        <v>110</v>
      </c>
      <c r="I1138">
        <v>399</v>
      </c>
      <c r="J1138">
        <v>359</v>
      </c>
      <c r="K1138" t="s">
        <v>1107</v>
      </c>
      <c r="L1138">
        <v>718</v>
      </c>
      <c r="M1138" t="s">
        <v>1093</v>
      </c>
      <c r="N1138" t="s">
        <v>1099</v>
      </c>
      <c r="O1138">
        <f>Table1[[#This Row],[Unit_Price]]*Table1[[#This Row],[Quantity]]</f>
        <v>220</v>
      </c>
    </row>
    <row r="1139" spans="1:15" x14ac:dyDescent="0.3">
      <c r="A1139" t="s">
        <v>2809</v>
      </c>
      <c r="B1139" t="s">
        <v>2810</v>
      </c>
      <c r="C1139" t="s">
        <v>501</v>
      </c>
      <c r="D1139" t="s">
        <v>1048</v>
      </c>
      <c r="E1139">
        <v>1</v>
      </c>
      <c r="F1139">
        <f>_xlfn.XLOOKUP(Table1[[#This Row],[ProductID]],Products!A:A,Products!D:D,,0)</f>
        <v>120</v>
      </c>
      <c r="I1139">
        <v>599</v>
      </c>
      <c r="J1139">
        <v>479</v>
      </c>
      <c r="K1139" t="s">
        <v>1097</v>
      </c>
      <c r="L1139">
        <v>479</v>
      </c>
      <c r="M1139" t="s">
        <v>1126</v>
      </c>
      <c r="N1139" t="s">
        <v>1099</v>
      </c>
      <c r="O1139">
        <f>Table1[[#This Row],[Unit_Price]]*Table1[[#This Row],[Quantity]]</f>
        <v>120</v>
      </c>
    </row>
    <row r="1140" spans="1:15" x14ac:dyDescent="0.3">
      <c r="A1140" t="s">
        <v>2811</v>
      </c>
      <c r="B1140" t="s">
        <v>2812</v>
      </c>
      <c r="C1140" t="s">
        <v>431</v>
      </c>
      <c r="D1140" t="s">
        <v>1066</v>
      </c>
      <c r="E1140">
        <v>1</v>
      </c>
      <c r="F1140">
        <f>_xlfn.XLOOKUP(Table1[[#This Row],[ProductID]],Products!A:A,Products!D:D,,0)</f>
        <v>140</v>
      </c>
      <c r="I1140">
        <v>499</v>
      </c>
      <c r="J1140">
        <v>449</v>
      </c>
      <c r="K1140" t="s">
        <v>1107</v>
      </c>
      <c r="L1140">
        <v>449</v>
      </c>
      <c r="M1140" t="s">
        <v>1098</v>
      </c>
      <c r="N1140" t="s">
        <v>1099</v>
      </c>
      <c r="O1140">
        <f>Table1[[#This Row],[Unit_Price]]*Table1[[#This Row],[Quantity]]</f>
        <v>140</v>
      </c>
    </row>
    <row r="1141" spans="1:15" x14ac:dyDescent="0.3">
      <c r="A1141" t="s">
        <v>2813</v>
      </c>
      <c r="B1141" t="s">
        <v>1790</v>
      </c>
      <c r="C1141" t="s">
        <v>563</v>
      </c>
      <c r="D1141" t="s">
        <v>1068</v>
      </c>
      <c r="E1141">
        <v>1</v>
      </c>
      <c r="F1141">
        <f>_xlfn.XLOOKUP(Table1[[#This Row],[ProductID]],Products!A:A,Products!D:D,,0)</f>
        <v>180</v>
      </c>
      <c r="I1141">
        <v>449</v>
      </c>
      <c r="J1141">
        <v>449</v>
      </c>
      <c r="K1141" t="s">
        <v>1102</v>
      </c>
      <c r="L1141">
        <v>449</v>
      </c>
      <c r="M1141" t="s">
        <v>1098</v>
      </c>
      <c r="N1141" t="s">
        <v>1099</v>
      </c>
      <c r="O1141">
        <f>Table1[[#This Row],[Unit_Price]]*Table1[[#This Row],[Quantity]]</f>
        <v>180</v>
      </c>
    </row>
    <row r="1142" spans="1:15" x14ac:dyDescent="0.3">
      <c r="A1142" t="s">
        <v>2814</v>
      </c>
      <c r="B1142" t="s">
        <v>2624</v>
      </c>
      <c r="C1142" t="s">
        <v>925</v>
      </c>
      <c r="D1142" t="s">
        <v>1066</v>
      </c>
      <c r="E1142">
        <v>2</v>
      </c>
      <c r="F1142">
        <f>_xlfn.XLOOKUP(Table1[[#This Row],[ProductID]],Products!A:A,Products!D:D,,0)</f>
        <v>140</v>
      </c>
      <c r="I1142">
        <v>499</v>
      </c>
      <c r="J1142">
        <v>449</v>
      </c>
      <c r="K1142" t="s">
        <v>1107</v>
      </c>
      <c r="L1142">
        <v>898</v>
      </c>
      <c r="M1142" t="s">
        <v>1093</v>
      </c>
      <c r="N1142" t="s">
        <v>1123</v>
      </c>
      <c r="O1142">
        <f>Table1[[#This Row],[Unit_Price]]*Table1[[#This Row],[Quantity]]</f>
        <v>280</v>
      </c>
    </row>
    <row r="1143" spans="1:15" x14ac:dyDescent="0.3">
      <c r="A1143" t="s">
        <v>2815</v>
      </c>
      <c r="B1143" t="s">
        <v>2816</v>
      </c>
      <c r="C1143" t="s">
        <v>69</v>
      </c>
      <c r="D1143" t="s">
        <v>1078</v>
      </c>
      <c r="E1143">
        <v>2</v>
      </c>
      <c r="F1143">
        <f>_xlfn.XLOOKUP(Table1[[#This Row],[ProductID]],Products!A:A,Products!D:D,,0)</f>
        <v>80</v>
      </c>
      <c r="I1143">
        <v>499</v>
      </c>
      <c r="J1143">
        <v>499</v>
      </c>
      <c r="K1143" t="s">
        <v>1102</v>
      </c>
      <c r="L1143">
        <v>998</v>
      </c>
      <c r="M1143" t="s">
        <v>1126</v>
      </c>
      <c r="N1143" t="s">
        <v>1099</v>
      </c>
      <c r="O1143">
        <f>Table1[[#This Row],[Unit_Price]]*Table1[[#This Row],[Quantity]]</f>
        <v>160</v>
      </c>
    </row>
    <row r="1144" spans="1:15" x14ac:dyDescent="0.3">
      <c r="A1144" t="s">
        <v>2817</v>
      </c>
      <c r="B1144" t="s">
        <v>1543</v>
      </c>
      <c r="C1144" t="s">
        <v>447</v>
      </c>
      <c r="D1144" t="s">
        <v>1066</v>
      </c>
      <c r="E1144">
        <v>2</v>
      </c>
      <c r="F1144">
        <f>_xlfn.XLOOKUP(Table1[[#This Row],[ProductID]],Products!A:A,Products!D:D,,0)</f>
        <v>140</v>
      </c>
      <c r="I1144">
        <v>499</v>
      </c>
      <c r="J1144">
        <v>424</v>
      </c>
      <c r="K1144" t="s">
        <v>1092</v>
      </c>
      <c r="L1144">
        <v>848</v>
      </c>
      <c r="M1144" t="s">
        <v>1098</v>
      </c>
      <c r="N1144" t="s">
        <v>1099</v>
      </c>
      <c r="O1144">
        <f>Table1[[#This Row],[Unit_Price]]*Table1[[#This Row],[Quantity]]</f>
        <v>280</v>
      </c>
    </row>
    <row r="1145" spans="1:15" x14ac:dyDescent="0.3">
      <c r="A1145" t="s">
        <v>2818</v>
      </c>
      <c r="B1145" t="s">
        <v>2819</v>
      </c>
      <c r="C1145" t="s">
        <v>967</v>
      </c>
      <c r="D1145" t="s">
        <v>1073</v>
      </c>
      <c r="E1145">
        <v>1</v>
      </c>
      <c r="F1145">
        <f>_xlfn.XLOOKUP(Table1[[#This Row],[ProductID]],Products!A:A,Products!D:D,,0)</f>
        <v>100</v>
      </c>
      <c r="I1145">
        <v>349</v>
      </c>
      <c r="J1145">
        <v>349</v>
      </c>
      <c r="K1145" t="s">
        <v>1102</v>
      </c>
      <c r="L1145">
        <v>349</v>
      </c>
      <c r="M1145" t="s">
        <v>1098</v>
      </c>
      <c r="N1145" t="s">
        <v>1099</v>
      </c>
      <c r="O1145">
        <f>Table1[[#This Row],[Unit_Price]]*Table1[[#This Row],[Quantity]]</f>
        <v>100</v>
      </c>
    </row>
    <row r="1146" spans="1:15" x14ac:dyDescent="0.3">
      <c r="A1146" t="s">
        <v>2820</v>
      </c>
      <c r="B1146" t="s">
        <v>2512</v>
      </c>
      <c r="C1146" t="s">
        <v>287</v>
      </c>
      <c r="D1146" t="s">
        <v>1075</v>
      </c>
      <c r="E1146">
        <v>1</v>
      </c>
      <c r="F1146">
        <f>_xlfn.XLOOKUP(Table1[[#This Row],[ProductID]],Products!A:A,Products!D:D,,0)</f>
        <v>80</v>
      </c>
      <c r="I1146">
        <v>499</v>
      </c>
      <c r="J1146">
        <v>449</v>
      </c>
      <c r="K1146" t="s">
        <v>1107</v>
      </c>
      <c r="L1146">
        <v>449</v>
      </c>
      <c r="M1146" t="s">
        <v>1098</v>
      </c>
      <c r="N1146" t="s">
        <v>1099</v>
      </c>
      <c r="O1146">
        <f>Table1[[#This Row],[Unit_Price]]*Table1[[#This Row],[Quantity]]</f>
        <v>80</v>
      </c>
    </row>
    <row r="1147" spans="1:15" x14ac:dyDescent="0.3">
      <c r="A1147" t="s">
        <v>2821</v>
      </c>
      <c r="B1147" t="s">
        <v>2822</v>
      </c>
      <c r="C1147" t="s">
        <v>715</v>
      </c>
      <c r="D1147" t="s">
        <v>1071</v>
      </c>
      <c r="E1147">
        <v>1</v>
      </c>
      <c r="F1147">
        <f>_xlfn.XLOOKUP(Table1[[#This Row],[ProductID]],Products!A:A,Products!D:D,,0)</f>
        <v>125</v>
      </c>
      <c r="I1147">
        <v>399</v>
      </c>
      <c r="J1147">
        <v>359</v>
      </c>
      <c r="K1147" t="s">
        <v>1107</v>
      </c>
      <c r="L1147">
        <v>359</v>
      </c>
      <c r="M1147" t="s">
        <v>1098</v>
      </c>
      <c r="N1147" t="s">
        <v>1099</v>
      </c>
      <c r="O1147">
        <f>Table1[[#This Row],[Unit_Price]]*Table1[[#This Row],[Quantity]]</f>
        <v>125</v>
      </c>
    </row>
    <row r="1148" spans="1:15" x14ac:dyDescent="0.3">
      <c r="A1148" t="s">
        <v>2823</v>
      </c>
      <c r="B1148" t="s">
        <v>1493</v>
      </c>
      <c r="C1148" t="s">
        <v>925</v>
      </c>
      <c r="D1148" t="s">
        <v>1048</v>
      </c>
      <c r="E1148">
        <v>2</v>
      </c>
      <c r="F1148">
        <f>_xlfn.XLOOKUP(Table1[[#This Row],[ProductID]],Products!A:A,Products!D:D,,0)</f>
        <v>120</v>
      </c>
      <c r="I1148">
        <v>599</v>
      </c>
      <c r="J1148">
        <v>599</v>
      </c>
      <c r="K1148" t="s">
        <v>1102</v>
      </c>
      <c r="L1148">
        <v>1198</v>
      </c>
      <c r="M1148" t="s">
        <v>1098</v>
      </c>
      <c r="N1148" t="s">
        <v>1099</v>
      </c>
      <c r="O1148">
        <f>Table1[[#This Row],[Unit_Price]]*Table1[[#This Row],[Quantity]]</f>
        <v>240</v>
      </c>
    </row>
    <row r="1149" spans="1:15" x14ac:dyDescent="0.3">
      <c r="A1149" t="s">
        <v>2824</v>
      </c>
      <c r="B1149" t="s">
        <v>2624</v>
      </c>
      <c r="C1149" t="s">
        <v>697</v>
      </c>
      <c r="D1149" t="s">
        <v>1066</v>
      </c>
      <c r="E1149">
        <v>1</v>
      </c>
      <c r="F1149">
        <f>_xlfn.XLOOKUP(Table1[[#This Row],[ProductID]],Products!A:A,Products!D:D,,0)</f>
        <v>140</v>
      </c>
      <c r="I1149">
        <v>499</v>
      </c>
      <c r="J1149">
        <v>399</v>
      </c>
      <c r="K1149" t="s">
        <v>1097</v>
      </c>
      <c r="L1149">
        <v>399</v>
      </c>
      <c r="M1149" t="s">
        <v>1093</v>
      </c>
      <c r="N1149" t="s">
        <v>1094</v>
      </c>
      <c r="O1149">
        <f>Table1[[#This Row],[Unit_Price]]*Table1[[#This Row],[Quantity]]</f>
        <v>140</v>
      </c>
    </row>
    <row r="1150" spans="1:15" x14ac:dyDescent="0.3">
      <c r="A1150" t="s">
        <v>2825</v>
      </c>
      <c r="B1150" t="s">
        <v>1325</v>
      </c>
      <c r="C1150" t="s">
        <v>767</v>
      </c>
      <c r="D1150" t="s">
        <v>1055</v>
      </c>
      <c r="E1150">
        <v>1</v>
      </c>
      <c r="F1150">
        <f>_xlfn.XLOOKUP(Table1[[#This Row],[ProductID]],Products!A:A,Products!D:D,,0)</f>
        <v>75</v>
      </c>
      <c r="I1150">
        <v>299</v>
      </c>
      <c r="J1150">
        <v>269</v>
      </c>
      <c r="K1150" t="s">
        <v>1107</v>
      </c>
      <c r="L1150">
        <v>269</v>
      </c>
      <c r="M1150" t="s">
        <v>1093</v>
      </c>
      <c r="N1150" t="s">
        <v>1099</v>
      </c>
      <c r="O1150">
        <f>Table1[[#This Row],[Unit_Price]]*Table1[[#This Row],[Quantity]]</f>
        <v>75</v>
      </c>
    </row>
    <row r="1151" spans="1:15" x14ac:dyDescent="0.3">
      <c r="A1151" t="s">
        <v>2826</v>
      </c>
      <c r="B1151" t="s">
        <v>2557</v>
      </c>
      <c r="C1151" t="s">
        <v>187</v>
      </c>
      <c r="D1151" t="s">
        <v>1068</v>
      </c>
      <c r="E1151">
        <v>1</v>
      </c>
      <c r="F1151">
        <f>_xlfn.XLOOKUP(Table1[[#This Row],[ProductID]],Products!A:A,Products!D:D,,0)</f>
        <v>180</v>
      </c>
      <c r="I1151">
        <v>449</v>
      </c>
      <c r="J1151">
        <v>382</v>
      </c>
      <c r="K1151" t="s">
        <v>1092</v>
      </c>
      <c r="L1151">
        <v>382</v>
      </c>
      <c r="M1151" t="s">
        <v>1093</v>
      </c>
      <c r="N1151" t="s">
        <v>1099</v>
      </c>
      <c r="O1151">
        <f>Table1[[#This Row],[Unit_Price]]*Table1[[#This Row],[Quantity]]</f>
        <v>180</v>
      </c>
    </row>
    <row r="1152" spans="1:15" x14ac:dyDescent="0.3">
      <c r="A1152" t="s">
        <v>2827</v>
      </c>
      <c r="B1152" t="s">
        <v>2695</v>
      </c>
      <c r="C1152" t="s">
        <v>1025</v>
      </c>
      <c r="D1152" t="s">
        <v>1071</v>
      </c>
      <c r="E1152">
        <v>1</v>
      </c>
      <c r="F1152">
        <f>_xlfn.XLOOKUP(Table1[[#This Row],[ProductID]],Products!A:A,Products!D:D,,0)</f>
        <v>125</v>
      </c>
      <c r="I1152">
        <v>399</v>
      </c>
      <c r="J1152">
        <v>339</v>
      </c>
      <c r="K1152" t="s">
        <v>1092</v>
      </c>
      <c r="L1152">
        <v>339</v>
      </c>
      <c r="M1152" t="s">
        <v>1098</v>
      </c>
      <c r="N1152" t="s">
        <v>1099</v>
      </c>
      <c r="O1152">
        <f>Table1[[#This Row],[Unit_Price]]*Table1[[#This Row],[Quantity]]</f>
        <v>125</v>
      </c>
    </row>
    <row r="1153" spans="1:15" x14ac:dyDescent="0.3">
      <c r="A1153" t="s">
        <v>2828</v>
      </c>
      <c r="B1153" t="s">
        <v>1679</v>
      </c>
      <c r="C1153" t="s">
        <v>511</v>
      </c>
      <c r="D1153" t="s">
        <v>1048</v>
      </c>
      <c r="E1153">
        <v>1</v>
      </c>
      <c r="F1153">
        <f>_xlfn.XLOOKUP(Table1[[#This Row],[ProductID]],Products!A:A,Products!D:D,,0)</f>
        <v>120</v>
      </c>
      <c r="I1153">
        <v>599</v>
      </c>
      <c r="J1153">
        <v>599</v>
      </c>
      <c r="K1153" t="s">
        <v>1102</v>
      </c>
      <c r="L1153">
        <v>599</v>
      </c>
      <c r="M1153" t="s">
        <v>1098</v>
      </c>
      <c r="N1153" t="s">
        <v>1099</v>
      </c>
      <c r="O1153">
        <f>Table1[[#This Row],[Unit_Price]]*Table1[[#This Row],[Quantity]]</f>
        <v>120</v>
      </c>
    </row>
    <row r="1154" spans="1:15" x14ac:dyDescent="0.3">
      <c r="A1154" t="s">
        <v>2829</v>
      </c>
      <c r="B1154" t="s">
        <v>1956</v>
      </c>
      <c r="C1154" t="s">
        <v>20</v>
      </c>
      <c r="D1154" t="s">
        <v>1059</v>
      </c>
      <c r="E1154">
        <v>3</v>
      </c>
      <c r="F1154">
        <f>_xlfn.XLOOKUP(Table1[[#This Row],[ProductID]],Products!A:A,Products!D:D,,0)</f>
        <v>110</v>
      </c>
      <c r="I1154">
        <v>399</v>
      </c>
      <c r="J1154">
        <v>399</v>
      </c>
      <c r="K1154" t="s">
        <v>1102</v>
      </c>
      <c r="L1154">
        <v>1197</v>
      </c>
      <c r="M1154" t="s">
        <v>1098</v>
      </c>
      <c r="N1154" t="s">
        <v>1099</v>
      </c>
      <c r="O1154">
        <f>Table1[[#This Row],[Unit_Price]]*Table1[[#This Row],[Quantity]]</f>
        <v>330</v>
      </c>
    </row>
    <row r="1155" spans="1:15" x14ac:dyDescent="0.3">
      <c r="A1155" t="s">
        <v>2830</v>
      </c>
      <c r="B1155" t="s">
        <v>2243</v>
      </c>
      <c r="C1155" t="s">
        <v>331</v>
      </c>
      <c r="D1155" t="s">
        <v>1051</v>
      </c>
      <c r="E1155">
        <v>2</v>
      </c>
      <c r="F1155">
        <f>_xlfn.XLOOKUP(Table1[[#This Row],[ProductID]],Products!A:A,Products!D:D,,0)</f>
        <v>150</v>
      </c>
      <c r="I1155">
        <v>499</v>
      </c>
      <c r="J1155">
        <v>424</v>
      </c>
      <c r="K1155" t="s">
        <v>1092</v>
      </c>
      <c r="L1155">
        <v>848</v>
      </c>
      <c r="M1155" t="s">
        <v>1098</v>
      </c>
      <c r="N1155" t="s">
        <v>1099</v>
      </c>
      <c r="O1155">
        <f>Table1[[#This Row],[Unit_Price]]*Table1[[#This Row],[Quantity]]</f>
        <v>300</v>
      </c>
    </row>
    <row r="1156" spans="1:15" x14ac:dyDescent="0.3">
      <c r="A1156" t="s">
        <v>2831</v>
      </c>
      <c r="B1156" t="s">
        <v>2832</v>
      </c>
      <c r="C1156" t="s">
        <v>895</v>
      </c>
      <c r="D1156" t="s">
        <v>1055</v>
      </c>
      <c r="E1156">
        <v>1</v>
      </c>
      <c r="F1156">
        <f>_xlfn.XLOOKUP(Table1[[#This Row],[ProductID]],Products!A:A,Products!D:D,,0)</f>
        <v>75</v>
      </c>
      <c r="I1156">
        <v>299</v>
      </c>
      <c r="J1156">
        <v>269</v>
      </c>
      <c r="K1156" t="s">
        <v>1107</v>
      </c>
      <c r="L1156">
        <v>269</v>
      </c>
      <c r="M1156" t="s">
        <v>1093</v>
      </c>
      <c r="N1156" t="s">
        <v>1099</v>
      </c>
      <c r="O1156">
        <f>Table1[[#This Row],[Unit_Price]]*Table1[[#This Row],[Quantity]]</f>
        <v>75</v>
      </c>
    </row>
    <row r="1157" spans="1:15" x14ac:dyDescent="0.3">
      <c r="A1157" t="s">
        <v>2833</v>
      </c>
      <c r="B1157" t="s">
        <v>2526</v>
      </c>
      <c r="C1157" t="s">
        <v>889</v>
      </c>
      <c r="D1157" t="s">
        <v>1053</v>
      </c>
      <c r="E1157">
        <v>2</v>
      </c>
      <c r="F1157">
        <f>_xlfn.XLOOKUP(Table1[[#This Row],[ProductID]],Products!A:A,Products!D:D,,0)</f>
        <v>200</v>
      </c>
      <c r="I1157">
        <v>899</v>
      </c>
      <c r="J1157">
        <v>809</v>
      </c>
      <c r="K1157" t="s">
        <v>1107</v>
      </c>
      <c r="L1157">
        <v>1618</v>
      </c>
      <c r="M1157" t="s">
        <v>1098</v>
      </c>
      <c r="N1157" t="s">
        <v>1099</v>
      </c>
      <c r="O1157">
        <f>Table1[[#This Row],[Unit_Price]]*Table1[[#This Row],[Quantity]]</f>
        <v>400</v>
      </c>
    </row>
    <row r="1158" spans="1:15" x14ac:dyDescent="0.3">
      <c r="A1158" t="s">
        <v>2834</v>
      </c>
      <c r="B1158" t="s">
        <v>2835</v>
      </c>
      <c r="C1158" t="s">
        <v>29</v>
      </c>
      <c r="D1158" t="s">
        <v>1048</v>
      </c>
      <c r="E1158">
        <v>2</v>
      </c>
      <c r="F1158">
        <f>_xlfn.XLOOKUP(Table1[[#This Row],[ProductID]],Products!A:A,Products!D:D,,0)</f>
        <v>120</v>
      </c>
      <c r="I1158">
        <v>599</v>
      </c>
      <c r="J1158">
        <v>539</v>
      </c>
      <c r="K1158" t="s">
        <v>1107</v>
      </c>
      <c r="L1158">
        <v>1078</v>
      </c>
      <c r="M1158" t="s">
        <v>1118</v>
      </c>
      <c r="N1158" t="s">
        <v>1099</v>
      </c>
      <c r="O1158">
        <f>Table1[[#This Row],[Unit_Price]]*Table1[[#This Row],[Quantity]]</f>
        <v>240</v>
      </c>
    </row>
    <row r="1159" spans="1:15" x14ac:dyDescent="0.3">
      <c r="A1159" t="s">
        <v>2836</v>
      </c>
      <c r="B1159" t="s">
        <v>1681</v>
      </c>
      <c r="C1159" t="s">
        <v>249</v>
      </c>
      <c r="D1159" t="s">
        <v>1066</v>
      </c>
      <c r="E1159">
        <v>2</v>
      </c>
      <c r="F1159">
        <f>_xlfn.XLOOKUP(Table1[[#This Row],[ProductID]],Products!A:A,Products!D:D,,0)</f>
        <v>140</v>
      </c>
      <c r="I1159">
        <v>499</v>
      </c>
      <c r="J1159">
        <v>499</v>
      </c>
      <c r="K1159" t="s">
        <v>1102</v>
      </c>
      <c r="L1159">
        <v>998</v>
      </c>
      <c r="M1159" t="s">
        <v>1118</v>
      </c>
      <c r="N1159" t="s">
        <v>1099</v>
      </c>
      <c r="O1159">
        <f>Table1[[#This Row],[Unit_Price]]*Table1[[#This Row],[Quantity]]</f>
        <v>280</v>
      </c>
    </row>
    <row r="1160" spans="1:15" x14ac:dyDescent="0.3">
      <c r="A1160" t="s">
        <v>2837</v>
      </c>
      <c r="B1160" t="s">
        <v>2835</v>
      </c>
      <c r="C1160" t="s">
        <v>633</v>
      </c>
      <c r="D1160" t="s">
        <v>1078</v>
      </c>
      <c r="E1160">
        <v>1</v>
      </c>
      <c r="F1160">
        <f>_xlfn.XLOOKUP(Table1[[#This Row],[ProductID]],Products!A:A,Products!D:D,,0)</f>
        <v>80</v>
      </c>
      <c r="I1160">
        <v>499</v>
      </c>
      <c r="J1160">
        <v>424</v>
      </c>
      <c r="K1160" t="s">
        <v>1092</v>
      </c>
      <c r="L1160">
        <v>424</v>
      </c>
      <c r="M1160" t="s">
        <v>1093</v>
      </c>
      <c r="N1160" t="s">
        <v>1123</v>
      </c>
      <c r="O1160">
        <f>Table1[[#This Row],[Unit_Price]]*Table1[[#This Row],[Quantity]]</f>
        <v>80</v>
      </c>
    </row>
    <row r="1161" spans="1:15" x14ac:dyDescent="0.3">
      <c r="A1161" t="s">
        <v>2838</v>
      </c>
      <c r="B1161" t="s">
        <v>1597</v>
      </c>
      <c r="C1161" t="s">
        <v>309</v>
      </c>
      <c r="D1161" t="s">
        <v>1053</v>
      </c>
      <c r="E1161">
        <v>1</v>
      </c>
      <c r="F1161">
        <f>_xlfn.XLOOKUP(Table1[[#This Row],[ProductID]],Products!A:A,Products!D:D,,0)</f>
        <v>200</v>
      </c>
      <c r="I1161">
        <v>899</v>
      </c>
      <c r="J1161">
        <v>719</v>
      </c>
      <c r="K1161" t="s">
        <v>1097</v>
      </c>
      <c r="L1161">
        <v>719</v>
      </c>
      <c r="M1161" t="s">
        <v>1098</v>
      </c>
      <c r="N1161" t="s">
        <v>1099</v>
      </c>
      <c r="O1161">
        <f>Table1[[#This Row],[Unit_Price]]*Table1[[#This Row],[Quantity]]</f>
        <v>200</v>
      </c>
    </row>
    <row r="1162" spans="1:15" x14ac:dyDescent="0.3">
      <c r="A1162" t="s">
        <v>2839</v>
      </c>
      <c r="B1162" t="s">
        <v>1529</v>
      </c>
      <c r="C1162" t="s">
        <v>257</v>
      </c>
      <c r="D1162" t="s">
        <v>1066</v>
      </c>
      <c r="E1162">
        <v>3</v>
      </c>
      <c r="F1162">
        <f>_xlfn.XLOOKUP(Table1[[#This Row],[ProductID]],Products!A:A,Products!D:D,,0)</f>
        <v>140</v>
      </c>
      <c r="I1162">
        <v>499</v>
      </c>
      <c r="J1162">
        <v>449</v>
      </c>
      <c r="K1162" t="s">
        <v>1107</v>
      </c>
      <c r="L1162">
        <v>1347</v>
      </c>
      <c r="M1162" t="s">
        <v>1098</v>
      </c>
      <c r="N1162" t="s">
        <v>1099</v>
      </c>
      <c r="O1162">
        <f>Table1[[#This Row],[Unit_Price]]*Table1[[#This Row],[Quantity]]</f>
        <v>420</v>
      </c>
    </row>
    <row r="1163" spans="1:15" x14ac:dyDescent="0.3">
      <c r="A1163" t="s">
        <v>2840</v>
      </c>
      <c r="B1163" t="s">
        <v>1859</v>
      </c>
      <c r="C1163" t="s">
        <v>549</v>
      </c>
      <c r="D1163" t="s">
        <v>1068</v>
      </c>
      <c r="E1163">
        <v>4</v>
      </c>
      <c r="F1163">
        <f>_xlfn.XLOOKUP(Table1[[#This Row],[ProductID]],Products!A:A,Products!D:D,,0)</f>
        <v>180</v>
      </c>
      <c r="I1163">
        <v>449</v>
      </c>
      <c r="J1163">
        <v>404</v>
      </c>
      <c r="K1163" t="s">
        <v>1107</v>
      </c>
      <c r="L1163">
        <v>1616</v>
      </c>
      <c r="M1163" t="s">
        <v>1093</v>
      </c>
      <c r="N1163" t="s">
        <v>1094</v>
      </c>
      <c r="O1163">
        <f>Table1[[#This Row],[Unit_Price]]*Table1[[#This Row],[Quantity]]</f>
        <v>720</v>
      </c>
    </row>
    <row r="1164" spans="1:15" x14ac:dyDescent="0.3">
      <c r="A1164" t="s">
        <v>2841</v>
      </c>
      <c r="B1164" t="s">
        <v>2322</v>
      </c>
      <c r="C1164" t="s">
        <v>447</v>
      </c>
      <c r="D1164" t="s">
        <v>1053</v>
      </c>
      <c r="E1164">
        <v>1</v>
      </c>
      <c r="F1164">
        <f>_xlfn.XLOOKUP(Table1[[#This Row],[ProductID]],Products!A:A,Products!D:D,,0)</f>
        <v>200</v>
      </c>
      <c r="I1164">
        <v>899</v>
      </c>
      <c r="J1164">
        <v>764</v>
      </c>
      <c r="K1164" t="s">
        <v>1092</v>
      </c>
      <c r="L1164">
        <v>764</v>
      </c>
      <c r="M1164" t="s">
        <v>1118</v>
      </c>
      <c r="N1164" t="s">
        <v>1099</v>
      </c>
      <c r="O1164">
        <f>Table1[[#This Row],[Unit_Price]]*Table1[[#This Row],[Quantity]]</f>
        <v>200</v>
      </c>
    </row>
    <row r="1165" spans="1:15" x14ac:dyDescent="0.3">
      <c r="A1165" t="s">
        <v>2842</v>
      </c>
      <c r="B1165" t="s">
        <v>1178</v>
      </c>
      <c r="C1165" t="s">
        <v>631</v>
      </c>
      <c r="D1165" t="s">
        <v>1075</v>
      </c>
      <c r="E1165">
        <v>2</v>
      </c>
      <c r="F1165">
        <f>_xlfn.XLOOKUP(Table1[[#This Row],[ProductID]],Products!A:A,Products!D:D,,0)</f>
        <v>80</v>
      </c>
      <c r="I1165">
        <v>499</v>
      </c>
      <c r="J1165">
        <v>499</v>
      </c>
      <c r="K1165" t="s">
        <v>1102</v>
      </c>
      <c r="L1165">
        <v>998</v>
      </c>
      <c r="M1165" t="s">
        <v>1093</v>
      </c>
      <c r="N1165" t="s">
        <v>1099</v>
      </c>
      <c r="O1165">
        <f>Table1[[#This Row],[Unit_Price]]*Table1[[#This Row],[Quantity]]</f>
        <v>160</v>
      </c>
    </row>
    <row r="1166" spans="1:15" x14ac:dyDescent="0.3">
      <c r="A1166" t="s">
        <v>2843</v>
      </c>
      <c r="B1166" t="s">
        <v>2518</v>
      </c>
      <c r="C1166" t="s">
        <v>987</v>
      </c>
      <c r="D1166" t="s">
        <v>1059</v>
      </c>
      <c r="E1166">
        <v>1</v>
      </c>
      <c r="F1166">
        <f>_xlfn.XLOOKUP(Table1[[#This Row],[ProductID]],Products!A:A,Products!D:D,,0)</f>
        <v>110</v>
      </c>
      <c r="I1166">
        <v>399</v>
      </c>
      <c r="J1166">
        <v>399</v>
      </c>
      <c r="K1166" t="s">
        <v>1102</v>
      </c>
      <c r="L1166">
        <v>399</v>
      </c>
      <c r="M1166" t="s">
        <v>1093</v>
      </c>
      <c r="N1166" t="s">
        <v>1094</v>
      </c>
      <c r="O1166">
        <f>Table1[[#This Row],[Unit_Price]]*Table1[[#This Row],[Quantity]]</f>
        <v>110</v>
      </c>
    </row>
    <row r="1167" spans="1:15" x14ac:dyDescent="0.3">
      <c r="A1167" t="s">
        <v>2844</v>
      </c>
      <c r="B1167" t="s">
        <v>2222</v>
      </c>
      <c r="C1167" t="s">
        <v>471</v>
      </c>
      <c r="D1167" t="s">
        <v>1064</v>
      </c>
      <c r="E1167">
        <v>2</v>
      </c>
      <c r="F1167">
        <f>_xlfn.XLOOKUP(Table1[[#This Row],[ProductID]],Products!A:A,Products!D:D,,0)</f>
        <v>160</v>
      </c>
      <c r="I1167">
        <v>699</v>
      </c>
      <c r="J1167">
        <v>559</v>
      </c>
      <c r="K1167" t="s">
        <v>1097</v>
      </c>
      <c r="L1167">
        <v>1118</v>
      </c>
      <c r="M1167" t="s">
        <v>1093</v>
      </c>
      <c r="N1167" t="s">
        <v>1099</v>
      </c>
      <c r="O1167">
        <f>Table1[[#This Row],[Unit_Price]]*Table1[[#This Row],[Quantity]]</f>
        <v>320</v>
      </c>
    </row>
    <row r="1168" spans="1:15" x14ac:dyDescent="0.3">
      <c r="A1168" t="s">
        <v>2845</v>
      </c>
      <c r="B1168" t="s">
        <v>2032</v>
      </c>
      <c r="C1168" t="s">
        <v>323</v>
      </c>
      <c r="D1168" t="s">
        <v>1066</v>
      </c>
      <c r="E1168">
        <v>1</v>
      </c>
      <c r="F1168">
        <f>_xlfn.XLOOKUP(Table1[[#This Row],[ProductID]],Products!A:A,Products!D:D,,0)</f>
        <v>140</v>
      </c>
      <c r="I1168">
        <v>499</v>
      </c>
      <c r="J1168">
        <v>424</v>
      </c>
      <c r="K1168" t="s">
        <v>1092</v>
      </c>
      <c r="L1168">
        <v>424</v>
      </c>
      <c r="M1168" t="s">
        <v>1098</v>
      </c>
      <c r="N1168" t="s">
        <v>1099</v>
      </c>
      <c r="O1168">
        <f>Table1[[#This Row],[Unit_Price]]*Table1[[#This Row],[Quantity]]</f>
        <v>140</v>
      </c>
    </row>
    <row r="1169" spans="1:15" x14ac:dyDescent="0.3">
      <c r="A1169" t="s">
        <v>2846</v>
      </c>
      <c r="B1169" t="s">
        <v>2847</v>
      </c>
      <c r="C1169" t="s">
        <v>331</v>
      </c>
      <c r="D1169" t="s">
        <v>1075</v>
      </c>
      <c r="E1169">
        <v>2</v>
      </c>
      <c r="F1169">
        <f>_xlfn.XLOOKUP(Table1[[#This Row],[ProductID]],Products!A:A,Products!D:D,,0)</f>
        <v>80</v>
      </c>
      <c r="I1169">
        <v>499</v>
      </c>
      <c r="J1169">
        <v>399</v>
      </c>
      <c r="K1169" t="s">
        <v>1097</v>
      </c>
      <c r="L1169">
        <v>798</v>
      </c>
      <c r="M1169" t="s">
        <v>1093</v>
      </c>
      <c r="N1169" t="s">
        <v>1094</v>
      </c>
      <c r="O1169">
        <f>Table1[[#This Row],[Unit_Price]]*Table1[[#This Row],[Quantity]]</f>
        <v>160</v>
      </c>
    </row>
    <row r="1170" spans="1:15" x14ac:dyDescent="0.3">
      <c r="A1170" t="s">
        <v>2848</v>
      </c>
      <c r="B1170" t="s">
        <v>1551</v>
      </c>
      <c r="C1170" t="s">
        <v>619</v>
      </c>
      <c r="D1170" t="s">
        <v>1055</v>
      </c>
      <c r="E1170">
        <v>3</v>
      </c>
      <c r="F1170">
        <f>_xlfn.XLOOKUP(Table1[[#This Row],[ProductID]],Products!A:A,Products!D:D,,0)</f>
        <v>75</v>
      </c>
      <c r="I1170">
        <v>299</v>
      </c>
      <c r="J1170">
        <v>269</v>
      </c>
      <c r="K1170" t="s">
        <v>1107</v>
      </c>
      <c r="L1170">
        <v>807</v>
      </c>
      <c r="M1170" t="s">
        <v>1098</v>
      </c>
      <c r="N1170" t="s">
        <v>1099</v>
      </c>
      <c r="O1170">
        <f>Table1[[#This Row],[Unit_Price]]*Table1[[#This Row],[Quantity]]</f>
        <v>225</v>
      </c>
    </row>
    <row r="1171" spans="1:15" x14ac:dyDescent="0.3">
      <c r="A1171" t="s">
        <v>2849</v>
      </c>
      <c r="B1171" t="s">
        <v>1674</v>
      </c>
      <c r="C1171" t="s">
        <v>863</v>
      </c>
      <c r="D1171" t="s">
        <v>1073</v>
      </c>
      <c r="E1171">
        <v>1</v>
      </c>
      <c r="F1171">
        <f>_xlfn.XLOOKUP(Table1[[#This Row],[ProductID]],Products!A:A,Products!D:D,,0)</f>
        <v>100</v>
      </c>
      <c r="I1171">
        <v>349</v>
      </c>
      <c r="J1171">
        <v>297</v>
      </c>
      <c r="K1171" t="s">
        <v>1092</v>
      </c>
      <c r="L1171">
        <v>297</v>
      </c>
      <c r="M1171" t="s">
        <v>1093</v>
      </c>
      <c r="N1171" t="s">
        <v>1099</v>
      </c>
      <c r="O1171">
        <f>Table1[[#This Row],[Unit_Price]]*Table1[[#This Row],[Quantity]]</f>
        <v>100</v>
      </c>
    </row>
    <row r="1172" spans="1:15" x14ac:dyDescent="0.3">
      <c r="A1172" t="s">
        <v>2850</v>
      </c>
      <c r="B1172" t="s">
        <v>2085</v>
      </c>
      <c r="C1172" t="s">
        <v>523</v>
      </c>
      <c r="D1172" t="s">
        <v>1048</v>
      </c>
      <c r="E1172">
        <v>1</v>
      </c>
      <c r="F1172">
        <f>_xlfn.XLOOKUP(Table1[[#This Row],[ProductID]],Products!A:A,Products!D:D,,0)</f>
        <v>120</v>
      </c>
      <c r="I1172">
        <v>599</v>
      </c>
      <c r="J1172">
        <v>539</v>
      </c>
      <c r="K1172" t="s">
        <v>1107</v>
      </c>
      <c r="L1172">
        <v>539</v>
      </c>
      <c r="M1172" t="s">
        <v>1093</v>
      </c>
      <c r="N1172" t="s">
        <v>1099</v>
      </c>
      <c r="O1172">
        <f>Table1[[#This Row],[Unit_Price]]*Table1[[#This Row],[Quantity]]</f>
        <v>120</v>
      </c>
    </row>
    <row r="1173" spans="1:15" x14ac:dyDescent="0.3">
      <c r="A1173" t="s">
        <v>2851</v>
      </c>
      <c r="B1173" t="s">
        <v>2557</v>
      </c>
      <c r="C1173" t="s">
        <v>857</v>
      </c>
      <c r="D1173" t="s">
        <v>1053</v>
      </c>
      <c r="E1173">
        <v>2</v>
      </c>
      <c r="F1173">
        <f>_xlfn.XLOOKUP(Table1[[#This Row],[ProductID]],Products!A:A,Products!D:D,,0)</f>
        <v>200</v>
      </c>
      <c r="I1173">
        <v>899</v>
      </c>
      <c r="J1173">
        <v>809</v>
      </c>
      <c r="K1173" t="s">
        <v>1107</v>
      </c>
      <c r="L1173">
        <v>1618</v>
      </c>
      <c r="M1173" t="s">
        <v>1093</v>
      </c>
      <c r="N1173" t="s">
        <v>1099</v>
      </c>
      <c r="O1173">
        <f>Table1[[#This Row],[Unit_Price]]*Table1[[#This Row],[Quantity]]</f>
        <v>400</v>
      </c>
    </row>
    <row r="1174" spans="1:15" x14ac:dyDescent="0.3">
      <c r="A1174" t="s">
        <v>2852</v>
      </c>
      <c r="B1174" t="s">
        <v>2853</v>
      </c>
      <c r="C1174" t="s">
        <v>397</v>
      </c>
      <c r="D1174" t="s">
        <v>1068</v>
      </c>
      <c r="E1174">
        <v>1</v>
      </c>
      <c r="F1174">
        <f>_xlfn.XLOOKUP(Table1[[#This Row],[ProductID]],Products!A:A,Products!D:D,,0)</f>
        <v>180</v>
      </c>
      <c r="I1174">
        <v>449</v>
      </c>
      <c r="J1174">
        <v>382</v>
      </c>
      <c r="K1174" t="s">
        <v>1092</v>
      </c>
      <c r="L1174">
        <v>382</v>
      </c>
      <c r="M1174" t="s">
        <v>1098</v>
      </c>
      <c r="N1174" t="s">
        <v>1099</v>
      </c>
      <c r="O1174">
        <f>Table1[[#This Row],[Unit_Price]]*Table1[[#This Row],[Quantity]]</f>
        <v>180</v>
      </c>
    </row>
    <row r="1175" spans="1:15" x14ac:dyDescent="0.3">
      <c r="A1175" t="s">
        <v>2854</v>
      </c>
      <c r="B1175" t="s">
        <v>1351</v>
      </c>
      <c r="C1175" t="s">
        <v>1033</v>
      </c>
      <c r="D1175" t="s">
        <v>1062</v>
      </c>
      <c r="E1175">
        <v>1</v>
      </c>
      <c r="F1175">
        <f>_xlfn.XLOOKUP(Table1[[#This Row],[ProductID]],Products!A:A,Products!D:D,,0)</f>
        <v>95</v>
      </c>
      <c r="I1175">
        <v>349</v>
      </c>
      <c r="J1175">
        <v>314</v>
      </c>
      <c r="K1175" t="s">
        <v>1107</v>
      </c>
      <c r="L1175">
        <v>314</v>
      </c>
      <c r="M1175" t="s">
        <v>1098</v>
      </c>
      <c r="N1175" t="s">
        <v>1099</v>
      </c>
      <c r="O1175">
        <f>Table1[[#This Row],[Unit_Price]]*Table1[[#This Row],[Quantity]]</f>
        <v>95</v>
      </c>
    </row>
    <row r="1176" spans="1:15" x14ac:dyDescent="0.3">
      <c r="A1176" t="s">
        <v>2855</v>
      </c>
      <c r="B1176" t="s">
        <v>2856</v>
      </c>
      <c r="C1176" t="s">
        <v>543</v>
      </c>
      <c r="D1176" t="s">
        <v>1051</v>
      </c>
      <c r="E1176">
        <v>1</v>
      </c>
      <c r="F1176">
        <f>_xlfn.XLOOKUP(Table1[[#This Row],[ProductID]],Products!A:A,Products!D:D,,0)</f>
        <v>150</v>
      </c>
      <c r="I1176">
        <v>499</v>
      </c>
      <c r="J1176">
        <v>499</v>
      </c>
      <c r="K1176" t="s">
        <v>1102</v>
      </c>
      <c r="L1176">
        <v>499</v>
      </c>
      <c r="M1176" t="s">
        <v>1093</v>
      </c>
      <c r="N1176" t="s">
        <v>1123</v>
      </c>
      <c r="O1176">
        <f>Table1[[#This Row],[Unit_Price]]*Table1[[#This Row],[Quantity]]</f>
        <v>150</v>
      </c>
    </row>
    <row r="1177" spans="1:15" x14ac:dyDescent="0.3">
      <c r="A1177" t="s">
        <v>2857</v>
      </c>
      <c r="B1177" t="s">
        <v>2441</v>
      </c>
      <c r="C1177" t="s">
        <v>277</v>
      </c>
      <c r="D1177" t="s">
        <v>1048</v>
      </c>
      <c r="E1177">
        <v>2</v>
      </c>
      <c r="F1177">
        <f>_xlfn.XLOOKUP(Table1[[#This Row],[ProductID]],Products!A:A,Products!D:D,,0)</f>
        <v>120</v>
      </c>
      <c r="I1177">
        <v>599</v>
      </c>
      <c r="J1177">
        <v>539</v>
      </c>
      <c r="K1177" t="s">
        <v>1107</v>
      </c>
      <c r="L1177">
        <v>1078</v>
      </c>
      <c r="M1177" t="s">
        <v>1093</v>
      </c>
      <c r="N1177" t="s">
        <v>1123</v>
      </c>
      <c r="O1177">
        <f>Table1[[#This Row],[Unit_Price]]*Table1[[#This Row],[Quantity]]</f>
        <v>240</v>
      </c>
    </row>
    <row r="1178" spans="1:15" x14ac:dyDescent="0.3">
      <c r="A1178" t="s">
        <v>2858</v>
      </c>
      <c r="B1178" t="s">
        <v>2859</v>
      </c>
      <c r="C1178" t="s">
        <v>687</v>
      </c>
      <c r="D1178" t="s">
        <v>1080</v>
      </c>
      <c r="E1178">
        <v>1</v>
      </c>
      <c r="F1178">
        <f>_xlfn.XLOOKUP(Table1[[#This Row],[ProductID]],Products!A:A,Products!D:D,,0)</f>
        <v>45</v>
      </c>
      <c r="I1178">
        <v>249</v>
      </c>
      <c r="J1178">
        <v>249</v>
      </c>
      <c r="K1178" t="s">
        <v>1102</v>
      </c>
      <c r="L1178">
        <v>249</v>
      </c>
      <c r="M1178" t="s">
        <v>1098</v>
      </c>
      <c r="N1178" t="s">
        <v>1099</v>
      </c>
      <c r="O1178">
        <f>Table1[[#This Row],[Unit_Price]]*Table1[[#This Row],[Quantity]]</f>
        <v>45</v>
      </c>
    </row>
    <row r="1179" spans="1:15" x14ac:dyDescent="0.3">
      <c r="A1179" t="s">
        <v>2860</v>
      </c>
      <c r="B1179" t="s">
        <v>1140</v>
      </c>
      <c r="C1179" t="s">
        <v>47</v>
      </c>
      <c r="D1179" t="s">
        <v>1051</v>
      </c>
      <c r="E1179">
        <v>1</v>
      </c>
      <c r="F1179">
        <f>_xlfn.XLOOKUP(Table1[[#This Row],[ProductID]],Products!A:A,Products!D:D,,0)</f>
        <v>150</v>
      </c>
      <c r="I1179">
        <v>499</v>
      </c>
      <c r="J1179">
        <v>499</v>
      </c>
      <c r="K1179" t="s">
        <v>1102</v>
      </c>
      <c r="L1179">
        <v>499</v>
      </c>
      <c r="M1179" t="s">
        <v>1098</v>
      </c>
      <c r="N1179" t="s">
        <v>1099</v>
      </c>
      <c r="O1179">
        <f>Table1[[#This Row],[Unit_Price]]*Table1[[#This Row],[Quantity]]</f>
        <v>150</v>
      </c>
    </row>
    <row r="1180" spans="1:15" x14ac:dyDescent="0.3">
      <c r="A1180" t="s">
        <v>2861</v>
      </c>
      <c r="B1180" t="s">
        <v>2862</v>
      </c>
      <c r="C1180" t="s">
        <v>181</v>
      </c>
      <c r="D1180" t="s">
        <v>1068</v>
      </c>
      <c r="E1180">
        <v>3</v>
      </c>
      <c r="F1180">
        <f>_xlfn.XLOOKUP(Table1[[#This Row],[ProductID]],Products!A:A,Products!D:D,,0)</f>
        <v>180</v>
      </c>
      <c r="I1180">
        <v>449</v>
      </c>
      <c r="J1180">
        <v>449</v>
      </c>
      <c r="K1180" t="s">
        <v>1102</v>
      </c>
      <c r="L1180">
        <v>1347</v>
      </c>
      <c r="M1180" t="s">
        <v>1126</v>
      </c>
      <c r="N1180" t="s">
        <v>1099</v>
      </c>
      <c r="O1180">
        <f>Table1[[#This Row],[Unit_Price]]*Table1[[#This Row],[Quantity]]</f>
        <v>540</v>
      </c>
    </row>
    <row r="1181" spans="1:15" x14ac:dyDescent="0.3">
      <c r="A1181" t="s">
        <v>2863</v>
      </c>
      <c r="B1181" t="s">
        <v>1186</v>
      </c>
      <c r="C1181" t="s">
        <v>148</v>
      </c>
      <c r="D1181" t="s">
        <v>1064</v>
      </c>
      <c r="E1181">
        <v>2</v>
      </c>
      <c r="F1181">
        <f>_xlfn.XLOOKUP(Table1[[#This Row],[ProductID]],Products!A:A,Products!D:D,,0)</f>
        <v>160</v>
      </c>
      <c r="I1181">
        <v>699</v>
      </c>
      <c r="J1181">
        <v>699</v>
      </c>
      <c r="K1181" t="s">
        <v>1102</v>
      </c>
      <c r="L1181">
        <v>1398</v>
      </c>
      <c r="M1181" t="s">
        <v>1098</v>
      </c>
      <c r="N1181" t="s">
        <v>1099</v>
      </c>
      <c r="O1181">
        <f>Table1[[#This Row],[Unit_Price]]*Table1[[#This Row],[Quantity]]</f>
        <v>320</v>
      </c>
    </row>
    <row r="1182" spans="1:15" x14ac:dyDescent="0.3">
      <c r="A1182" t="s">
        <v>2864</v>
      </c>
      <c r="B1182" t="s">
        <v>2865</v>
      </c>
      <c r="C1182" t="s">
        <v>136</v>
      </c>
      <c r="D1182" t="s">
        <v>1071</v>
      </c>
      <c r="E1182">
        <v>2</v>
      </c>
      <c r="F1182">
        <f>_xlfn.XLOOKUP(Table1[[#This Row],[ProductID]],Products!A:A,Products!D:D,,0)</f>
        <v>125</v>
      </c>
      <c r="I1182">
        <v>399</v>
      </c>
      <c r="J1182">
        <v>399</v>
      </c>
      <c r="K1182" t="s">
        <v>1102</v>
      </c>
      <c r="L1182">
        <v>798</v>
      </c>
      <c r="M1182" t="s">
        <v>1098</v>
      </c>
      <c r="N1182" t="s">
        <v>1099</v>
      </c>
      <c r="O1182">
        <f>Table1[[#This Row],[Unit_Price]]*Table1[[#This Row],[Quantity]]</f>
        <v>250</v>
      </c>
    </row>
    <row r="1183" spans="1:15" x14ac:dyDescent="0.3">
      <c r="A1183" t="s">
        <v>2866</v>
      </c>
      <c r="B1183" t="s">
        <v>2867</v>
      </c>
      <c r="C1183" t="s">
        <v>591</v>
      </c>
      <c r="D1183" t="s">
        <v>1075</v>
      </c>
      <c r="E1183">
        <v>2</v>
      </c>
      <c r="F1183">
        <f>_xlfn.XLOOKUP(Table1[[#This Row],[ProductID]],Products!A:A,Products!D:D,,0)</f>
        <v>80</v>
      </c>
      <c r="I1183">
        <v>499</v>
      </c>
      <c r="J1183">
        <v>449</v>
      </c>
      <c r="K1183" t="s">
        <v>1107</v>
      </c>
      <c r="L1183">
        <v>898</v>
      </c>
      <c r="M1183" t="s">
        <v>1098</v>
      </c>
      <c r="N1183" t="s">
        <v>1099</v>
      </c>
      <c r="O1183">
        <f>Table1[[#This Row],[Unit_Price]]*Table1[[#This Row],[Quantity]]</f>
        <v>160</v>
      </c>
    </row>
    <row r="1184" spans="1:15" x14ac:dyDescent="0.3">
      <c r="A1184" t="s">
        <v>2868</v>
      </c>
      <c r="B1184" t="s">
        <v>1839</v>
      </c>
      <c r="C1184" t="s">
        <v>245</v>
      </c>
      <c r="D1184" t="s">
        <v>1064</v>
      </c>
      <c r="E1184">
        <v>1</v>
      </c>
      <c r="F1184">
        <f>_xlfn.XLOOKUP(Table1[[#This Row],[ProductID]],Products!A:A,Products!D:D,,0)</f>
        <v>160</v>
      </c>
      <c r="I1184">
        <v>699</v>
      </c>
      <c r="J1184">
        <v>559</v>
      </c>
      <c r="K1184" t="s">
        <v>1097</v>
      </c>
      <c r="L1184">
        <v>559</v>
      </c>
      <c r="M1184" t="s">
        <v>1098</v>
      </c>
      <c r="N1184" t="s">
        <v>1099</v>
      </c>
      <c r="O1184">
        <f>Table1[[#This Row],[Unit_Price]]*Table1[[#This Row],[Quantity]]</f>
        <v>160</v>
      </c>
    </row>
    <row r="1185" spans="1:15" x14ac:dyDescent="0.3">
      <c r="A1185" t="s">
        <v>2869</v>
      </c>
      <c r="B1185" t="s">
        <v>2178</v>
      </c>
      <c r="C1185" t="s">
        <v>905</v>
      </c>
      <c r="D1185" t="s">
        <v>1068</v>
      </c>
      <c r="E1185">
        <v>1</v>
      </c>
      <c r="F1185">
        <f>_xlfn.XLOOKUP(Table1[[#This Row],[ProductID]],Products!A:A,Products!D:D,,0)</f>
        <v>180</v>
      </c>
      <c r="I1185">
        <v>449</v>
      </c>
      <c r="J1185">
        <v>449</v>
      </c>
      <c r="K1185" t="s">
        <v>1102</v>
      </c>
      <c r="L1185">
        <v>449</v>
      </c>
      <c r="M1185" t="s">
        <v>1098</v>
      </c>
      <c r="N1185" t="s">
        <v>1099</v>
      </c>
      <c r="O1185">
        <f>Table1[[#This Row],[Unit_Price]]*Table1[[#This Row],[Quantity]]</f>
        <v>180</v>
      </c>
    </row>
    <row r="1186" spans="1:15" x14ac:dyDescent="0.3">
      <c r="A1186" t="s">
        <v>2870</v>
      </c>
      <c r="B1186" t="s">
        <v>1502</v>
      </c>
      <c r="C1186" t="s">
        <v>903</v>
      </c>
      <c r="D1186" t="s">
        <v>1055</v>
      </c>
      <c r="E1186">
        <v>2</v>
      </c>
      <c r="F1186">
        <f>_xlfn.XLOOKUP(Table1[[#This Row],[ProductID]],Products!A:A,Products!D:D,,0)</f>
        <v>75</v>
      </c>
      <c r="I1186">
        <v>299</v>
      </c>
      <c r="J1186">
        <v>269</v>
      </c>
      <c r="K1186" t="s">
        <v>1107</v>
      </c>
      <c r="L1186">
        <v>538</v>
      </c>
      <c r="M1186" t="s">
        <v>1098</v>
      </c>
      <c r="N1186" t="s">
        <v>1099</v>
      </c>
      <c r="O1186">
        <f>Table1[[#This Row],[Unit_Price]]*Table1[[#This Row],[Quantity]]</f>
        <v>150</v>
      </c>
    </row>
    <row r="1187" spans="1:15" x14ac:dyDescent="0.3">
      <c r="A1187" t="s">
        <v>2871</v>
      </c>
      <c r="B1187" t="s">
        <v>1262</v>
      </c>
      <c r="C1187" t="s">
        <v>677</v>
      </c>
      <c r="D1187" t="s">
        <v>1053</v>
      </c>
      <c r="E1187">
        <v>1</v>
      </c>
      <c r="F1187">
        <f>_xlfn.XLOOKUP(Table1[[#This Row],[ProductID]],Products!A:A,Products!D:D,,0)</f>
        <v>200</v>
      </c>
      <c r="I1187">
        <v>899</v>
      </c>
      <c r="J1187">
        <v>719</v>
      </c>
      <c r="K1187" t="s">
        <v>1097</v>
      </c>
      <c r="L1187">
        <v>719</v>
      </c>
      <c r="M1187" t="s">
        <v>1093</v>
      </c>
      <c r="N1187" t="s">
        <v>1099</v>
      </c>
      <c r="O1187">
        <f>Table1[[#This Row],[Unit_Price]]*Table1[[#This Row],[Quantity]]</f>
        <v>200</v>
      </c>
    </row>
    <row r="1188" spans="1:15" x14ac:dyDescent="0.3">
      <c r="A1188" t="s">
        <v>2872</v>
      </c>
      <c r="B1188" t="s">
        <v>1909</v>
      </c>
      <c r="C1188" t="s">
        <v>25</v>
      </c>
      <c r="D1188" t="s">
        <v>1062</v>
      </c>
      <c r="E1188">
        <v>2</v>
      </c>
      <c r="F1188">
        <f>_xlfn.XLOOKUP(Table1[[#This Row],[ProductID]],Products!A:A,Products!D:D,,0)</f>
        <v>95</v>
      </c>
      <c r="I1188">
        <v>349</v>
      </c>
      <c r="J1188">
        <v>297</v>
      </c>
      <c r="K1188" t="s">
        <v>1092</v>
      </c>
      <c r="L1188">
        <v>594</v>
      </c>
      <c r="M1188" t="s">
        <v>1093</v>
      </c>
      <c r="N1188" t="s">
        <v>1099</v>
      </c>
      <c r="O1188">
        <f>Table1[[#This Row],[Unit_Price]]*Table1[[#This Row],[Quantity]]</f>
        <v>190</v>
      </c>
    </row>
    <row r="1189" spans="1:15" x14ac:dyDescent="0.3">
      <c r="A1189" t="s">
        <v>2873</v>
      </c>
      <c r="B1189" t="s">
        <v>1117</v>
      </c>
      <c r="C1189" t="s">
        <v>561</v>
      </c>
      <c r="D1189" t="s">
        <v>1068</v>
      </c>
      <c r="E1189">
        <v>4</v>
      </c>
      <c r="F1189">
        <f>_xlfn.XLOOKUP(Table1[[#This Row],[ProductID]],Products!A:A,Products!D:D,,0)</f>
        <v>180</v>
      </c>
      <c r="I1189">
        <v>449</v>
      </c>
      <c r="J1189">
        <v>382</v>
      </c>
      <c r="K1189" t="s">
        <v>1092</v>
      </c>
      <c r="L1189">
        <v>1528</v>
      </c>
      <c r="M1189" t="s">
        <v>1093</v>
      </c>
      <c r="N1189" t="s">
        <v>1099</v>
      </c>
      <c r="O1189">
        <f>Table1[[#This Row],[Unit_Price]]*Table1[[#This Row],[Quantity]]</f>
        <v>720</v>
      </c>
    </row>
    <row r="1190" spans="1:15" x14ac:dyDescent="0.3">
      <c r="A1190" t="s">
        <v>2874</v>
      </c>
      <c r="B1190" t="s">
        <v>1870</v>
      </c>
      <c r="C1190" t="s">
        <v>891</v>
      </c>
      <c r="D1190" t="s">
        <v>1059</v>
      </c>
      <c r="E1190">
        <v>2</v>
      </c>
      <c r="F1190">
        <f>_xlfn.XLOOKUP(Table1[[#This Row],[ProductID]],Products!A:A,Products!D:D,,0)</f>
        <v>110</v>
      </c>
      <c r="I1190">
        <v>399</v>
      </c>
      <c r="J1190">
        <v>399</v>
      </c>
      <c r="K1190" t="s">
        <v>1102</v>
      </c>
      <c r="L1190">
        <v>798</v>
      </c>
      <c r="M1190" t="s">
        <v>1093</v>
      </c>
      <c r="N1190" t="s">
        <v>1099</v>
      </c>
      <c r="O1190">
        <f>Table1[[#This Row],[Unit_Price]]*Table1[[#This Row],[Quantity]]</f>
        <v>220</v>
      </c>
    </row>
    <row r="1191" spans="1:15" x14ac:dyDescent="0.3">
      <c r="A1191" t="s">
        <v>2875</v>
      </c>
      <c r="B1191" t="s">
        <v>1537</v>
      </c>
      <c r="C1191" t="s">
        <v>459</v>
      </c>
      <c r="D1191" t="s">
        <v>1080</v>
      </c>
      <c r="E1191">
        <v>1</v>
      </c>
      <c r="F1191">
        <f>_xlfn.XLOOKUP(Table1[[#This Row],[ProductID]],Products!A:A,Products!D:D,,0)</f>
        <v>45</v>
      </c>
      <c r="I1191">
        <v>249</v>
      </c>
      <c r="J1191">
        <v>224</v>
      </c>
      <c r="K1191" t="s">
        <v>1107</v>
      </c>
      <c r="L1191">
        <v>224</v>
      </c>
      <c r="M1191" t="s">
        <v>1098</v>
      </c>
      <c r="N1191" t="s">
        <v>1099</v>
      </c>
      <c r="O1191">
        <f>Table1[[#This Row],[Unit_Price]]*Table1[[#This Row],[Quantity]]</f>
        <v>45</v>
      </c>
    </row>
    <row r="1192" spans="1:15" x14ac:dyDescent="0.3">
      <c r="A1192" t="s">
        <v>2876</v>
      </c>
      <c r="B1192" t="s">
        <v>1511</v>
      </c>
      <c r="C1192" t="s">
        <v>831</v>
      </c>
      <c r="D1192" t="s">
        <v>1075</v>
      </c>
      <c r="E1192">
        <v>1</v>
      </c>
      <c r="F1192">
        <f>_xlfn.XLOOKUP(Table1[[#This Row],[ProductID]],Products!A:A,Products!D:D,,0)</f>
        <v>80</v>
      </c>
      <c r="I1192">
        <v>499</v>
      </c>
      <c r="J1192">
        <v>399</v>
      </c>
      <c r="K1192" t="s">
        <v>1097</v>
      </c>
      <c r="L1192">
        <v>399</v>
      </c>
      <c r="M1192" t="s">
        <v>1118</v>
      </c>
      <c r="N1192" t="s">
        <v>1123</v>
      </c>
      <c r="O1192">
        <f>Table1[[#This Row],[Unit_Price]]*Table1[[#This Row],[Quantity]]</f>
        <v>80</v>
      </c>
    </row>
    <row r="1193" spans="1:15" x14ac:dyDescent="0.3">
      <c r="A1193" t="s">
        <v>2877</v>
      </c>
      <c r="B1193" t="s">
        <v>1763</v>
      </c>
      <c r="C1193" t="s">
        <v>581</v>
      </c>
      <c r="D1193" t="s">
        <v>1055</v>
      </c>
      <c r="E1193">
        <v>3</v>
      </c>
      <c r="F1193">
        <f>_xlfn.XLOOKUP(Table1[[#This Row],[ProductID]],Products!A:A,Products!D:D,,0)</f>
        <v>75</v>
      </c>
      <c r="I1193">
        <v>299</v>
      </c>
      <c r="J1193">
        <v>269</v>
      </c>
      <c r="K1193" t="s">
        <v>1107</v>
      </c>
      <c r="L1193">
        <v>807</v>
      </c>
      <c r="M1193" t="s">
        <v>1093</v>
      </c>
      <c r="N1193" t="s">
        <v>1099</v>
      </c>
      <c r="O1193">
        <f>Table1[[#This Row],[Unit_Price]]*Table1[[#This Row],[Quantity]]</f>
        <v>225</v>
      </c>
    </row>
    <row r="1194" spans="1:15" x14ac:dyDescent="0.3">
      <c r="A1194" t="s">
        <v>2878</v>
      </c>
      <c r="B1194" t="s">
        <v>2195</v>
      </c>
      <c r="C1194" t="s">
        <v>985</v>
      </c>
      <c r="D1194" t="s">
        <v>1048</v>
      </c>
      <c r="E1194">
        <v>1</v>
      </c>
      <c r="F1194">
        <f>_xlfn.XLOOKUP(Table1[[#This Row],[ProductID]],Products!A:A,Products!D:D,,0)</f>
        <v>120</v>
      </c>
      <c r="I1194">
        <v>599</v>
      </c>
      <c r="J1194">
        <v>599</v>
      </c>
      <c r="K1194" t="s">
        <v>1102</v>
      </c>
      <c r="L1194">
        <v>599</v>
      </c>
      <c r="M1194" t="s">
        <v>1098</v>
      </c>
      <c r="N1194" t="s">
        <v>1099</v>
      </c>
      <c r="O1194">
        <f>Table1[[#This Row],[Unit_Price]]*Table1[[#This Row],[Quantity]]</f>
        <v>120</v>
      </c>
    </row>
    <row r="1195" spans="1:15" x14ac:dyDescent="0.3">
      <c r="A1195" t="s">
        <v>2879</v>
      </c>
      <c r="B1195" t="s">
        <v>1351</v>
      </c>
      <c r="C1195" t="s">
        <v>371</v>
      </c>
      <c r="D1195" t="s">
        <v>1066</v>
      </c>
      <c r="E1195">
        <v>1</v>
      </c>
      <c r="F1195">
        <f>_xlfn.XLOOKUP(Table1[[#This Row],[ProductID]],Products!A:A,Products!D:D,,0)</f>
        <v>140</v>
      </c>
      <c r="I1195">
        <v>499</v>
      </c>
      <c r="J1195">
        <v>424</v>
      </c>
      <c r="K1195" t="s">
        <v>1092</v>
      </c>
      <c r="L1195">
        <v>424</v>
      </c>
      <c r="M1195" t="s">
        <v>1098</v>
      </c>
      <c r="N1195" t="s">
        <v>1099</v>
      </c>
      <c r="O1195">
        <f>Table1[[#This Row],[Unit_Price]]*Table1[[#This Row],[Quantity]]</f>
        <v>140</v>
      </c>
    </row>
    <row r="1196" spans="1:15" x14ac:dyDescent="0.3">
      <c r="A1196" t="s">
        <v>2880</v>
      </c>
      <c r="B1196" t="s">
        <v>1826</v>
      </c>
      <c r="C1196" t="s">
        <v>249</v>
      </c>
      <c r="D1196" t="s">
        <v>1078</v>
      </c>
      <c r="E1196">
        <v>2</v>
      </c>
      <c r="F1196">
        <f>_xlfn.XLOOKUP(Table1[[#This Row],[ProductID]],Products!A:A,Products!D:D,,0)</f>
        <v>80</v>
      </c>
      <c r="I1196">
        <v>499</v>
      </c>
      <c r="J1196">
        <v>424</v>
      </c>
      <c r="K1196" t="s">
        <v>1092</v>
      </c>
      <c r="L1196">
        <v>848</v>
      </c>
      <c r="M1196" t="s">
        <v>1126</v>
      </c>
      <c r="N1196" t="s">
        <v>1099</v>
      </c>
      <c r="O1196">
        <f>Table1[[#This Row],[Unit_Price]]*Table1[[#This Row],[Quantity]]</f>
        <v>160</v>
      </c>
    </row>
    <row r="1197" spans="1:15" x14ac:dyDescent="0.3">
      <c r="A1197" t="s">
        <v>2881</v>
      </c>
      <c r="B1197" t="s">
        <v>2882</v>
      </c>
      <c r="C1197" t="s">
        <v>987</v>
      </c>
      <c r="D1197" t="s">
        <v>1057</v>
      </c>
      <c r="E1197">
        <v>1</v>
      </c>
      <c r="F1197">
        <f>_xlfn.XLOOKUP(Table1[[#This Row],[ProductID]],Products!A:A,Products!D:D,,0)</f>
        <v>130</v>
      </c>
      <c r="I1197">
        <v>549</v>
      </c>
      <c r="J1197">
        <v>494</v>
      </c>
      <c r="K1197" t="s">
        <v>1107</v>
      </c>
      <c r="L1197">
        <v>494</v>
      </c>
      <c r="M1197" t="s">
        <v>1093</v>
      </c>
      <c r="N1197" t="s">
        <v>1094</v>
      </c>
      <c r="O1197">
        <f>Table1[[#This Row],[Unit_Price]]*Table1[[#This Row],[Quantity]]</f>
        <v>130</v>
      </c>
    </row>
    <row r="1198" spans="1:15" x14ac:dyDescent="0.3">
      <c r="A1198" t="s">
        <v>2883</v>
      </c>
      <c r="B1198" t="s">
        <v>2158</v>
      </c>
      <c r="C1198" t="s">
        <v>635</v>
      </c>
      <c r="D1198" t="s">
        <v>1053</v>
      </c>
      <c r="E1198">
        <v>1</v>
      </c>
      <c r="F1198">
        <f>_xlfn.XLOOKUP(Table1[[#This Row],[ProductID]],Products!A:A,Products!D:D,,0)</f>
        <v>200</v>
      </c>
      <c r="I1198">
        <v>899</v>
      </c>
      <c r="J1198">
        <v>719</v>
      </c>
      <c r="K1198" t="s">
        <v>1097</v>
      </c>
      <c r="L1198">
        <v>719</v>
      </c>
      <c r="M1198" t="s">
        <v>1126</v>
      </c>
      <c r="N1198" t="s">
        <v>1099</v>
      </c>
      <c r="O1198">
        <f>Table1[[#This Row],[Unit_Price]]*Table1[[#This Row],[Quantity]]</f>
        <v>200</v>
      </c>
    </row>
    <row r="1199" spans="1:15" x14ac:dyDescent="0.3">
      <c r="A1199" t="s">
        <v>2884</v>
      </c>
      <c r="B1199" t="s">
        <v>2065</v>
      </c>
      <c r="C1199" t="s">
        <v>887</v>
      </c>
      <c r="D1199" t="s">
        <v>1080</v>
      </c>
      <c r="E1199">
        <v>1</v>
      </c>
      <c r="F1199">
        <f>_xlfn.XLOOKUP(Table1[[#This Row],[ProductID]],Products!A:A,Products!D:D,,0)</f>
        <v>45</v>
      </c>
      <c r="I1199">
        <v>249</v>
      </c>
      <c r="J1199">
        <v>224</v>
      </c>
      <c r="K1199" t="s">
        <v>1107</v>
      </c>
      <c r="L1199">
        <v>224</v>
      </c>
      <c r="M1199" t="s">
        <v>1093</v>
      </c>
      <c r="N1199" t="s">
        <v>1099</v>
      </c>
      <c r="O1199">
        <f>Table1[[#This Row],[Unit_Price]]*Table1[[#This Row],[Quantity]]</f>
        <v>45</v>
      </c>
    </row>
    <row r="1200" spans="1:15" x14ac:dyDescent="0.3">
      <c r="A1200" t="s">
        <v>2885</v>
      </c>
      <c r="B1200" t="s">
        <v>1924</v>
      </c>
      <c r="C1200" t="s">
        <v>371</v>
      </c>
      <c r="D1200" t="s">
        <v>1048</v>
      </c>
      <c r="E1200">
        <v>1</v>
      </c>
      <c r="F1200">
        <f>_xlfn.XLOOKUP(Table1[[#This Row],[ProductID]],Products!A:A,Products!D:D,,0)</f>
        <v>120</v>
      </c>
      <c r="I1200">
        <v>599</v>
      </c>
      <c r="J1200">
        <v>599</v>
      </c>
      <c r="K1200" t="s">
        <v>1102</v>
      </c>
      <c r="L1200">
        <v>599</v>
      </c>
      <c r="M1200" t="s">
        <v>1093</v>
      </c>
      <c r="N1200" t="s">
        <v>1099</v>
      </c>
      <c r="O1200">
        <f>Table1[[#This Row],[Unit_Price]]*Table1[[#This Row],[Quantity]]</f>
        <v>120</v>
      </c>
    </row>
    <row r="1201" spans="1:15" x14ac:dyDescent="0.3">
      <c r="A1201" t="s">
        <v>2886</v>
      </c>
      <c r="B1201" t="s">
        <v>1132</v>
      </c>
      <c r="C1201" t="s">
        <v>281</v>
      </c>
      <c r="D1201" t="s">
        <v>1055</v>
      </c>
      <c r="E1201">
        <v>4</v>
      </c>
      <c r="F1201">
        <f>_xlfn.XLOOKUP(Table1[[#This Row],[ProductID]],Products!A:A,Products!D:D,,0)</f>
        <v>75</v>
      </c>
      <c r="I1201">
        <v>299</v>
      </c>
      <c r="J1201">
        <v>254</v>
      </c>
      <c r="K1201" t="s">
        <v>1092</v>
      </c>
      <c r="L1201">
        <v>1016</v>
      </c>
      <c r="M1201" t="s">
        <v>1098</v>
      </c>
      <c r="N1201" t="s">
        <v>1099</v>
      </c>
      <c r="O1201">
        <f>Table1[[#This Row],[Unit_Price]]*Table1[[#This Row],[Quantity]]</f>
        <v>300</v>
      </c>
    </row>
    <row r="1202" spans="1:15" x14ac:dyDescent="0.3">
      <c r="A1202" t="s">
        <v>2887</v>
      </c>
      <c r="B1202" t="s">
        <v>1379</v>
      </c>
      <c r="C1202" t="s">
        <v>731</v>
      </c>
      <c r="D1202" t="s">
        <v>1064</v>
      </c>
      <c r="E1202">
        <v>2</v>
      </c>
      <c r="F1202">
        <f>_xlfn.XLOOKUP(Table1[[#This Row],[ProductID]],Products!A:A,Products!D:D,,0)</f>
        <v>160</v>
      </c>
      <c r="I1202">
        <v>699</v>
      </c>
      <c r="J1202">
        <v>559</v>
      </c>
      <c r="K1202" t="s">
        <v>1097</v>
      </c>
      <c r="L1202">
        <v>1118</v>
      </c>
      <c r="M1202" t="s">
        <v>1093</v>
      </c>
      <c r="N1202" t="s">
        <v>1099</v>
      </c>
      <c r="O1202">
        <f>Table1[[#This Row],[Unit_Price]]*Table1[[#This Row],[Quantity]]</f>
        <v>320</v>
      </c>
    </row>
    <row r="1203" spans="1:15" x14ac:dyDescent="0.3">
      <c r="A1203" t="s">
        <v>2888</v>
      </c>
      <c r="B1203" t="s">
        <v>1929</v>
      </c>
      <c r="C1203" t="s">
        <v>983</v>
      </c>
      <c r="D1203" t="s">
        <v>1066</v>
      </c>
      <c r="E1203">
        <v>2</v>
      </c>
      <c r="F1203">
        <f>_xlfn.XLOOKUP(Table1[[#This Row],[ProductID]],Products!A:A,Products!D:D,,0)</f>
        <v>140</v>
      </c>
      <c r="I1203">
        <v>499</v>
      </c>
      <c r="J1203">
        <v>499</v>
      </c>
      <c r="K1203" t="s">
        <v>1102</v>
      </c>
      <c r="L1203">
        <v>998</v>
      </c>
      <c r="M1203" t="s">
        <v>1093</v>
      </c>
      <c r="N1203" t="s">
        <v>1094</v>
      </c>
      <c r="O1203">
        <f>Table1[[#This Row],[Unit_Price]]*Table1[[#This Row],[Quantity]]</f>
        <v>280</v>
      </c>
    </row>
    <row r="1204" spans="1:15" x14ac:dyDescent="0.3">
      <c r="A1204" t="s">
        <v>2889</v>
      </c>
      <c r="B1204" t="s">
        <v>2890</v>
      </c>
      <c r="C1204" t="s">
        <v>597</v>
      </c>
      <c r="D1204" t="s">
        <v>1048</v>
      </c>
      <c r="E1204">
        <v>1</v>
      </c>
      <c r="F1204">
        <f>_xlfn.XLOOKUP(Table1[[#This Row],[ProductID]],Products!A:A,Products!D:D,,0)</f>
        <v>120</v>
      </c>
      <c r="I1204">
        <v>599</v>
      </c>
      <c r="J1204">
        <v>539</v>
      </c>
      <c r="K1204" t="s">
        <v>1107</v>
      </c>
      <c r="L1204">
        <v>539</v>
      </c>
      <c r="M1204" t="s">
        <v>1098</v>
      </c>
      <c r="N1204" t="s">
        <v>1123</v>
      </c>
      <c r="O1204">
        <f>Table1[[#This Row],[Unit_Price]]*Table1[[#This Row],[Quantity]]</f>
        <v>120</v>
      </c>
    </row>
    <row r="1205" spans="1:15" x14ac:dyDescent="0.3">
      <c r="A1205" t="s">
        <v>2891</v>
      </c>
      <c r="B1205" t="s">
        <v>2050</v>
      </c>
      <c r="C1205" t="s">
        <v>819</v>
      </c>
      <c r="D1205" t="s">
        <v>1075</v>
      </c>
      <c r="E1205">
        <v>3</v>
      </c>
      <c r="F1205">
        <f>_xlfn.XLOOKUP(Table1[[#This Row],[ProductID]],Products!A:A,Products!D:D,,0)</f>
        <v>80</v>
      </c>
      <c r="I1205">
        <v>499</v>
      </c>
      <c r="J1205">
        <v>399</v>
      </c>
      <c r="K1205" t="s">
        <v>1097</v>
      </c>
      <c r="L1205">
        <v>1197</v>
      </c>
      <c r="M1205" t="s">
        <v>1093</v>
      </c>
      <c r="N1205" t="s">
        <v>1099</v>
      </c>
      <c r="O1205">
        <f>Table1[[#This Row],[Unit_Price]]*Table1[[#This Row],[Quantity]]</f>
        <v>240</v>
      </c>
    </row>
    <row r="1206" spans="1:15" x14ac:dyDescent="0.3">
      <c r="A1206" t="s">
        <v>2892</v>
      </c>
      <c r="B1206" t="s">
        <v>2287</v>
      </c>
      <c r="C1206" t="s">
        <v>1003</v>
      </c>
      <c r="D1206" t="s">
        <v>1053</v>
      </c>
      <c r="E1206">
        <v>1</v>
      </c>
      <c r="F1206">
        <f>_xlfn.XLOOKUP(Table1[[#This Row],[ProductID]],Products!A:A,Products!D:D,,0)</f>
        <v>200</v>
      </c>
      <c r="I1206">
        <v>899</v>
      </c>
      <c r="J1206">
        <v>899</v>
      </c>
      <c r="K1206" t="s">
        <v>1102</v>
      </c>
      <c r="L1206">
        <v>899</v>
      </c>
      <c r="M1206" t="s">
        <v>1098</v>
      </c>
      <c r="N1206" t="s">
        <v>1099</v>
      </c>
      <c r="O1206">
        <f>Table1[[#This Row],[Unit_Price]]*Table1[[#This Row],[Quantity]]</f>
        <v>200</v>
      </c>
    </row>
    <row r="1207" spans="1:15" x14ac:dyDescent="0.3">
      <c r="A1207" t="s">
        <v>2893</v>
      </c>
      <c r="B1207" t="s">
        <v>1226</v>
      </c>
      <c r="C1207" t="s">
        <v>711</v>
      </c>
      <c r="D1207" t="s">
        <v>1071</v>
      </c>
      <c r="E1207">
        <v>1</v>
      </c>
      <c r="F1207">
        <f>_xlfn.XLOOKUP(Table1[[#This Row],[ProductID]],Products!A:A,Products!D:D,,0)</f>
        <v>125</v>
      </c>
      <c r="I1207">
        <v>399</v>
      </c>
      <c r="J1207">
        <v>319</v>
      </c>
      <c r="K1207" t="s">
        <v>1097</v>
      </c>
      <c r="L1207">
        <v>319</v>
      </c>
      <c r="M1207" t="s">
        <v>1093</v>
      </c>
      <c r="N1207" t="s">
        <v>1094</v>
      </c>
      <c r="O1207">
        <f>Table1[[#This Row],[Unit_Price]]*Table1[[#This Row],[Quantity]]</f>
        <v>125</v>
      </c>
    </row>
    <row r="1208" spans="1:15" x14ac:dyDescent="0.3">
      <c r="A1208" t="s">
        <v>2894</v>
      </c>
      <c r="B1208" t="s">
        <v>1146</v>
      </c>
      <c r="C1208" t="s">
        <v>687</v>
      </c>
      <c r="D1208" t="s">
        <v>1071</v>
      </c>
      <c r="E1208">
        <v>2</v>
      </c>
      <c r="F1208">
        <f>_xlfn.XLOOKUP(Table1[[#This Row],[ProductID]],Products!A:A,Products!D:D,,0)</f>
        <v>125</v>
      </c>
      <c r="I1208">
        <v>399</v>
      </c>
      <c r="J1208">
        <v>399</v>
      </c>
      <c r="K1208" t="s">
        <v>1102</v>
      </c>
      <c r="L1208">
        <v>798</v>
      </c>
      <c r="M1208" t="s">
        <v>1126</v>
      </c>
      <c r="N1208" t="s">
        <v>1099</v>
      </c>
      <c r="O1208">
        <f>Table1[[#This Row],[Unit_Price]]*Table1[[#This Row],[Quantity]]</f>
        <v>250</v>
      </c>
    </row>
    <row r="1209" spans="1:15" x14ac:dyDescent="0.3">
      <c r="A1209" t="s">
        <v>2895</v>
      </c>
      <c r="B1209" t="s">
        <v>2896</v>
      </c>
      <c r="C1209" t="s">
        <v>615</v>
      </c>
      <c r="D1209" t="s">
        <v>1075</v>
      </c>
      <c r="E1209">
        <v>1</v>
      </c>
      <c r="F1209">
        <f>_xlfn.XLOOKUP(Table1[[#This Row],[ProductID]],Products!A:A,Products!D:D,,0)</f>
        <v>80</v>
      </c>
      <c r="I1209">
        <v>499</v>
      </c>
      <c r="J1209">
        <v>449</v>
      </c>
      <c r="K1209" t="s">
        <v>1107</v>
      </c>
      <c r="L1209">
        <v>449</v>
      </c>
      <c r="M1209" t="s">
        <v>1098</v>
      </c>
      <c r="N1209" t="s">
        <v>1099</v>
      </c>
      <c r="O1209">
        <f>Table1[[#This Row],[Unit_Price]]*Table1[[#This Row],[Quantity]]</f>
        <v>80</v>
      </c>
    </row>
    <row r="1210" spans="1:15" x14ac:dyDescent="0.3">
      <c r="A1210" t="s">
        <v>2897</v>
      </c>
      <c r="B1210" t="s">
        <v>2898</v>
      </c>
      <c r="C1210" t="s">
        <v>271</v>
      </c>
      <c r="D1210" t="s">
        <v>1053</v>
      </c>
      <c r="E1210">
        <v>2</v>
      </c>
      <c r="F1210">
        <f>_xlfn.XLOOKUP(Table1[[#This Row],[ProductID]],Products!A:A,Products!D:D,,0)</f>
        <v>200</v>
      </c>
      <c r="I1210">
        <v>899</v>
      </c>
      <c r="J1210">
        <v>809</v>
      </c>
      <c r="K1210" t="s">
        <v>1107</v>
      </c>
      <c r="L1210">
        <v>1618</v>
      </c>
      <c r="M1210" t="s">
        <v>1098</v>
      </c>
      <c r="N1210" t="s">
        <v>1099</v>
      </c>
      <c r="O1210">
        <f>Table1[[#This Row],[Unit_Price]]*Table1[[#This Row],[Quantity]]</f>
        <v>400</v>
      </c>
    </row>
    <row r="1211" spans="1:15" x14ac:dyDescent="0.3">
      <c r="A1211" t="s">
        <v>2899</v>
      </c>
      <c r="B1211" t="s">
        <v>2008</v>
      </c>
      <c r="C1211" t="s">
        <v>42</v>
      </c>
      <c r="D1211" t="s">
        <v>1059</v>
      </c>
      <c r="E1211">
        <v>1</v>
      </c>
      <c r="F1211">
        <f>_xlfn.XLOOKUP(Table1[[#This Row],[ProductID]],Products!A:A,Products!D:D,,0)</f>
        <v>110</v>
      </c>
      <c r="I1211">
        <v>399</v>
      </c>
      <c r="J1211">
        <v>359</v>
      </c>
      <c r="K1211" t="s">
        <v>1107</v>
      </c>
      <c r="L1211">
        <v>359</v>
      </c>
      <c r="M1211" t="s">
        <v>1098</v>
      </c>
      <c r="N1211" t="s">
        <v>1094</v>
      </c>
      <c r="O1211">
        <f>Table1[[#This Row],[Unit_Price]]*Table1[[#This Row],[Quantity]]</f>
        <v>110</v>
      </c>
    </row>
    <row r="1212" spans="1:15" x14ac:dyDescent="0.3">
      <c r="A1212" t="s">
        <v>2900</v>
      </c>
      <c r="B1212" t="s">
        <v>1655</v>
      </c>
      <c r="C1212" t="s">
        <v>221</v>
      </c>
      <c r="D1212" t="s">
        <v>1062</v>
      </c>
      <c r="E1212">
        <v>1</v>
      </c>
      <c r="F1212">
        <f>_xlfn.XLOOKUP(Table1[[#This Row],[ProductID]],Products!A:A,Products!D:D,,0)</f>
        <v>95</v>
      </c>
      <c r="I1212">
        <v>349</v>
      </c>
      <c r="J1212">
        <v>279</v>
      </c>
      <c r="K1212" t="s">
        <v>1097</v>
      </c>
      <c r="L1212">
        <v>279</v>
      </c>
      <c r="M1212" t="s">
        <v>1126</v>
      </c>
      <c r="N1212" t="s">
        <v>1099</v>
      </c>
      <c r="O1212">
        <f>Table1[[#This Row],[Unit_Price]]*Table1[[#This Row],[Quantity]]</f>
        <v>95</v>
      </c>
    </row>
    <row r="1213" spans="1:15" x14ac:dyDescent="0.3">
      <c r="A1213" t="s">
        <v>2901</v>
      </c>
      <c r="B1213" t="s">
        <v>2119</v>
      </c>
      <c r="C1213" t="s">
        <v>635</v>
      </c>
      <c r="D1213" t="s">
        <v>1071</v>
      </c>
      <c r="E1213">
        <v>1</v>
      </c>
      <c r="F1213">
        <f>_xlfn.XLOOKUP(Table1[[#This Row],[ProductID]],Products!A:A,Products!D:D,,0)</f>
        <v>125</v>
      </c>
      <c r="I1213">
        <v>399</v>
      </c>
      <c r="J1213">
        <v>339</v>
      </c>
      <c r="K1213" t="s">
        <v>1092</v>
      </c>
      <c r="L1213">
        <v>339</v>
      </c>
      <c r="M1213" t="s">
        <v>1126</v>
      </c>
      <c r="N1213" t="s">
        <v>1099</v>
      </c>
      <c r="O1213">
        <f>Table1[[#This Row],[Unit_Price]]*Table1[[#This Row],[Quantity]]</f>
        <v>125</v>
      </c>
    </row>
    <row r="1214" spans="1:15" x14ac:dyDescent="0.3">
      <c r="A1214" t="s">
        <v>2902</v>
      </c>
      <c r="B1214" t="s">
        <v>2190</v>
      </c>
      <c r="C1214" t="s">
        <v>453</v>
      </c>
      <c r="D1214" t="s">
        <v>1080</v>
      </c>
      <c r="E1214">
        <v>1</v>
      </c>
      <c r="F1214">
        <f>_xlfn.XLOOKUP(Table1[[#This Row],[ProductID]],Products!A:A,Products!D:D,,0)</f>
        <v>45</v>
      </c>
      <c r="I1214">
        <v>249</v>
      </c>
      <c r="J1214">
        <v>249</v>
      </c>
      <c r="K1214" t="s">
        <v>1102</v>
      </c>
      <c r="L1214">
        <v>249</v>
      </c>
      <c r="M1214" t="s">
        <v>1093</v>
      </c>
      <c r="N1214" t="s">
        <v>1099</v>
      </c>
      <c r="O1214">
        <f>Table1[[#This Row],[Unit_Price]]*Table1[[#This Row],[Quantity]]</f>
        <v>45</v>
      </c>
    </row>
    <row r="1215" spans="1:15" x14ac:dyDescent="0.3">
      <c r="A1215" t="s">
        <v>2903</v>
      </c>
      <c r="B1215" t="s">
        <v>1636</v>
      </c>
      <c r="C1215" t="s">
        <v>747</v>
      </c>
      <c r="D1215" t="s">
        <v>1059</v>
      </c>
      <c r="E1215">
        <v>4</v>
      </c>
      <c r="F1215">
        <f>_xlfn.XLOOKUP(Table1[[#This Row],[ProductID]],Products!A:A,Products!D:D,,0)</f>
        <v>110</v>
      </c>
      <c r="I1215">
        <v>399</v>
      </c>
      <c r="J1215">
        <v>359</v>
      </c>
      <c r="K1215" t="s">
        <v>1107</v>
      </c>
      <c r="L1215">
        <v>1436</v>
      </c>
      <c r="M1215" t="s">
        <v>1118</v>
      </c>
      <c r="N1215" t="s">
        <v>1099</v>
      </c>
      <c r="O1215">
        <f>Table1[[#This Row],[Unit_Price]]*Table1[[#This Row],[Quantity]]</f>
        <v>440</v>
      </c>
    </row>
    <row r="1216" spans="1:15" x14ac:dyDescent="0.3">
      <c r="A1216" t="s">
        <v>2904</v>
      </c>
      <c r="B1216" t="s">
        <v>2682</v>
      </c>
      <c r="C1216" t="s">
        <v>37</v>
      </c>
      <c r="D1216" t="s">
        <v>1073</v>
      </c>
      <c r="E1216">
        <v>3</v>
      </c>
      <c r="F1216">
        <f>_xlfn.XLOOKUP(Table1[[#This Row],[ProductID]],Products!A:A,Products!D:D,,0)</f>
        <v>100</v>
      </c>
      <c r="I1216">
        <v>349</v>
      </c>
      <c r="J1216">
        <v>279</v>
      </c>
      <c r="K1216" t="s">
        <v>1097</v>
      </c>
      <c r="L1216">
        <v>837</v>
      </c>
      <c r="M1216" t="s">
        <v>1098</v>
      </c>
      <c r="N1216" t="s">
        <v>1099</v>
      </c>
      <c r="O1216">
        <f>Table1[[#This Row],[Unit_Price]]*Table1[[#This Row],[Quantity]]</f>
        <v>300</v>
      </c>
    </row>
    <row r="1217" spans="1:15" x14ac:dyDescent="0.3">
      <c r="A1217" t="s">
        <v>2905</v>
      </c>
      <c r="B1217" t="s">
        <v>1785</v>
      </c>
      <c r="C1217" t="s">
        <v>471</v>
      </c>
      <c r="D1217" t="s">
        <v>1078</v>
      </c>
      <c r="E1217">
        <v>1</v>
      </c>
      <c r="F1217">
        <f>_xlfn.XLOOKUP(Table1[[#This Row],[ProductID]],Products!A:A,Products!D:D,,0)</f>
        <v>80</v>
      </c>
      <c r="I1217">
        <v>499</v>
      </c>
      <c r="J1217">
        <v>449</v>
      </c>
      <c r="K1217" t="s">
        <v>1107</v>
      </c>
      <c r="L1217">
        <v>449</v>
      </c>
      <c r="M1217" t="s">
        <v>1098</v>
      </c>
      <c r="N1217" t="s">
        <v>1099</v>
      </c>
      <c r="O1217">
        <f>Table1[[#This Row],[Unit_Price]]*Table1[[#This Row],[Quantity]]</f>
        <v>80</v>
      </c>
    </row>
    <row r="1218" spans="1:15" x14ac:dyDescent="0.3">
      <c r="A1218" t="s">
        <v>2906</v>
      </c>
      <c r="B1218" t="s">
        <v>2019</v>
      </c>
      <c r="C1218" t="s">
        <v>867</v>
      </c>
      <c r="D1218" t="s">
        <v>1080</v>
      </c>
      <c r="E1218">
        <v>1</v>
      </c>
      <c r="F1218">
        <f>_xlfn.XLOOKUP(Table1[[#This Row],[ProductID]],Products!A:A,Products!D:D,,0)</f>
        <v>45</v>
      </c>
      <c r="I1218">
        <v>249</v>
      </c>
      <c r="J1218">
        <v>212</v>
      </c>
      <c r="K1218" t="s">
        <v>1092</v>
      </c>
      <c r="L1218">
        <v>212</v>
      </c>
      <c r="M1218" t="s">
        <v>1093</v>
      </c>
      <c r="N1218" t="s">
        <v>1099</v>
      </c>
      <c r="O1218">
        <f>Table1[[#This Row],[Unit_Price]]*Table1[[#This Row],[Quantity]]</f>
        <v>45</v>
      </c>
    </row>
    <row r="1219" spans="1:15" x14ac:dyDescent="0.3">
      <c r="A1219" t="s">
        <v>2907</v>
      </c>
      <c r="B1219" t="s">
        <v>2021</v>
      </c>
      <c r="C1219" t="s">
        <v>160</v>
      </c>
      <c r="D1219" t="s">
        <v>1062</v>
      </c>
      <c r="E1219">
        <v>2</v>
      </c>
      <c r="F1219">
        <f>_xlfn.XLOOKUP(Table1[[#This Row],[ProductID]],Products!A:A,Products!D:D,,0)</f>
        <v>95</v>
      </c>
      <c r="I1219">
        <v>349</v>
      </c>
      <c r="J1219">
        <v>314</v>
      </c>
      <c r="K1219" t="s">
        <v>1107</v>
      </c>
      <c r="L1219">
        <v>628</v>
      </c>
      <c r="M1219" t="s">
        <v>1098</v>
      </c>
      <c r="N1219" t="s">
        <v>1099</v>
      </c>
      <c r="O1219">
        <f>Table1[[#This Row],[Unit_Price]]*Table1[[#This Row],[Quantity]]</f>
        <v>190</v>
      </c>
    </row>
    <row r="1220" spans="1:15" x14ac:dyDescent="0.3">
      <c r="A1220" t="s">
        <v>2908</v>
      </c>
      <c r="B1220" t="s">
        <v>1315</v>
      </c>
      <c r="C1220" t="s">
        <v>559</v>
      </c>
      <c r="D1220" t="s">
        <v>1059</v>
      </c>
      <c r="E1220">
        <v>1</v>
      </c>
      <c r="F1220">
        <f>_xlfn.XLOOKUP(Table1[[#This Row],[ProductID]],Products!A:A,Products!D:D,,0)</f>
        <v>110</v>
      </c>
      <c r="I1220">
        <v>399</v>
      </c>
      <c r="J1220">
        <v>399</v>
      </c>
      <c r="K1220" t="s">
        <v>1102</v>
      </c>
      <c r="L1220">
        <v>399</v>
      </c>
      <c r="M1220" t="s">
        <v>1098</v>
      </c>
      <c r="N1220" t="s">
        <v>1099</v>
      </c>
      <c r="O1220">
        <f>Table1[[#This Row],[Unit_Price]]*Table1[[#This Row],[Quantity]]</f>
        <v>110</v>
      </c>
    </row>
    <row r="1221" spans="1:15" x14ac:dyDescent="0.3">
      <c r="A1221" t="s">
        <v>2909</v>
      </c>
      <c r="B1221" t="s">
        <v>1839</v>
      </c>
      <c r="C1221" t="s">
        <v>393</v>
      </c>
      <c r="D1221" t="s">
        <v>1055</v>
      </c>
      <c r="E1221">
        <v>1</v>
      </c>
      <c r="F1221">
        <f>_xlfn.XLOOKUP(Table1[[#This Row],[ProductID]],Products!A:A,Products!D:D,,0)</f>
        <v>75</v>
      </c>
      <c r="I1221">
        <v>299</v>
      </c>
      <c r="J1221">
        <v>239</v>
      </c>
      <c r="K1221" t="s">
        <v>1097</v>
      </c>
      <c r="L1221">
        <v>239</v>
      </c>
      <c r="M1221" t="s">
        <v>1098</v>
      </c>
      <c r="N1221" t="s">
        <v>1099</v>
      </c>
      <c r="O1221">
        <f>Table1[[#This Row],[Unit_Price]]*Table1[[#This Row],[Quantity]]</f>
        <v>75</v>
      </c>
    </row>
    <row r="1222" spans="1:15" x14ac:dyDescent="0.3">
      <c r="A1222" t="s">
        <v>2910</v>
      </c>
      <c r="B1222" t="s">
        <v>1228</v>
      </c>
      <c r="C1222" t="s">
        <v>569</v>
      </c>
      <c r="D1222" t="s">
        <v>1071</v>
      </c>
      <c r="E1222">
        <v>1</v>
      </c>
      <c r="F1222">
        <f>_xlfn.XLOOKUP(Table1[[#This Row],[ProductID]],Products!A:A,Products!D:D,,0)</f>
        <v>125</v>
      </c>
      <c r="I1222">
        <v>399</v>
      </c>
      <c r="J1222">
        <v>359</v>
      </c>
      <c r="K1222" t="s">
        <v>1107</v>
      </c>
      <c r="L1222">
        <v>359</v>
      </c>
      <c r="M1222" t="s">
        <v>1098</v>
      </c>
      <c r="N1222" t="s">
        <v>1099</v>
      </c>
      <c r="O1222">
        <f>Table1[[#This Row],[Unit_Price]]*Table1[[#This Row],[Quantity]]</f>
        <v>125</v>
      </c>
    </row>
    <row r="1223" spans="1:15" x14ac:dyDescent="0.3">
      <c r="A1223" t="s">
        <v>2911</v>
      </c>
      <c r="B1223" t="s">
        <v>1484</v>
      </c>
      <c r="C1223" t="s">
        <v>637</v>
      </c>
      <c r="D1223" t="s">
        <v>1062</v>
      </c>
      <c r="E1223">
        <v>1</v>
      </c>
      <c r="F1223">
        <f>_xlfn.XLOOKUP(Table1[[#This Row],[ProductID]],Products!A:A,Products!D:D,,0)</f>
        <v>95</v>
      </c>
      <c r="I1223">
        <v>349</v>
      </c>
      <c r="J1223">
        <v>349</v>
      </c>
      <c r="K1223" t="s">
        <v>1102</v>
      </c>
      <c r="L1223">
        <v>349</v>
      </c>
      <c r="M1223" t="s">
        <v>1093</v>
      </c>
      <c r="N1223" t="s">
        <v>1099</v>
      </c>
      <c r="O1223">
        <f>Table1[[#This Row],[Unit_Price]]*Table1[[#This Row],[Quantity]]</f>
        <v>95</v>
      </c>
    </row>
    <row r="1224" spans="1:15" x14ac:dyDescent="0.3">
      <c r="A1224" t="s">
        <v>2912</v>
      </c>
      <c r="B1224" t="s">
        <v>2882</v>
      </c>
      <c r="C1224" t="s">
        <v>857</v>
      </c>
      <c r="D1224" t="s">
        <v>1066</v>
      </c>
      <c r="E1224">
        <v>3</v>
      </c>
      <c r="F1224">
        <f>_xlfn.XLOOKUP(Table1[[#This Row],[ProductID]],Products!A:A,Products!D:D,,0)</f>
        <v>140</v>
      </c>
      <c r="I1224">
        <v>499</v>
      </c>
      <c r="J1224">
        <v>449</v>
      </c>
      <c r="K1224" t="s">
        <v>1107</v>
      </c>
      <c r="L1224">
        <v>1347</v>
      </c>
      <c r="M1224" t="s">
        <v>1098</v>
      </c>
      <c r="N1224" t="s">
        <v>1123</v>
      </c>
      <c r="O1224">
        <f>Table1[[#This Row],[Unit_Price]]*Table1[[#This Row],[Quantity]]</f>
        <v>420</v>
      </c>
    </row>
    <row r="1225" spans="1:15" x14ac:dyDescent="0.3">
      <c r="A1225" t="s">
        <v>2913</v>
      </c>
      <c r="B1225" t="s">
        <v>1402</v>
      </c>
      <c r="C1225" t="s">
        <v>833</v>
      </c>
      <c r="D1225" t="s">
        <v>1080</v>
      </c>
      <c r="E1225">
        <v>2</v>
      </c>
      <c r="F1225">
        <f>_xlfn.XLOOKUP(Table1[[#This Row],[ProductID]],Products!A:A,Products!D:D,,0)</f>
        <v>45</v>
      </c>
      <c r="I1225">
        <v>249</v>
      </c>
      <c r="J1225">
        <v>224</v>
      </c>
      <c r="K1225" t="s">
        <v>1107</v>
      </c>
      <c r="L1225">
        <v>448</v>
      </c>
      <c r="M1225" t="s">
        <v>1093</v>
      </c>
      <c r="N1225" t="s">
        <v>1094</v>
      </c>
      <c r="O1225">
        <f>Table1[[#This Row],[Unit_Price]]*Table1[[#This Row],[Quantity]]</f>
        <v>90</v>
      </c>
    </row>
    <row r="1226" spans="1:15" x14ac:dyDescent="0.3">
      <c r="A1226" t="s">
        <v>2914</v>
      </c>
      <c r="B1226" t="s">
        <v>1785</v>
      </c>
      <c r="C1226" t="s">
        <v>249</v>
      </c>
      <c r="D1226" t="s">
        <v>1057</v>
      </c>
      <c r="E1226">
        <v>1</v>
      </c>
      <c r="F1226">
        <f>_xlfn.XLOOKUP(Table1[[#This Row],[ProductID]],Products!A:A,Products!D:D,,0)</f>
        <v>130</v>
      </c>
      <c r="I1226">
        <v>549</v>
      </c>
      <c r="J1226">
        <v>494</v>
      </c>
      <c r="K1226" t="s">
        <v>1107</v>
      </c>
      <c r="L1226">
        <v>494</v>
      </c>
      <c r="M1226" t="s">
        <v>1093</v>
      </c>
      <c r="N1226" t="s">
        <v>1094</v>
      </c>
      <c r="O1226">
        <f>Table1[[#This Row],[Unit_Price]]*Table1[[#This Row],[Quantity]]</f>
        <v>130</v>
      </c>
    </row>
    <row r="1227" spans="1:15" x14ac:dyDescent="0.3">
      <c r="A1227" t="s">
        <v>2915</v>
      </c>
      <c r="B1227" t="s">
        <v>2344</v>
      </c>
      <c r="C1227" t="s">
        <v>387</v>
      </c>
      <c r="D1227" t="s">
        <v>1059</v>
      </c>
      <c r="E1227">
        <v>4</v>
      </c>
      <c r="F1227">
        <f>_xlfn.XLOOKUP(Table1[[#This Row],[ProductID]],Products!A:A,Products!D:D,,0)</f>
        <v>110</v>
      </c>
      <c r="I1227">
        <v>399</v>
      </c>
      <c r="J1227">
        <v>399</v>
      </c>
      <c r="K1227" t="s">
        <v>1102</v>
      </c>
      <c r="L1227">
        <v>1596</v>
      </c>
      <c r="M1227" t="s">
        <v>1093</v>
      </c>
      <c r="N1227" t="s">
        <v>1099</v>
      </c>
      <c r="O1227">
        <f>Table1[[#This Row],[Unit_Price]]*Table1[[#This Row],[Quantity]]</f>
        <v>440</v>
      </c>
    </row>
    <row r="1228" spans="1:15" x14ac:dyDescent="0.3">
      <c r="A1228" t="s">
        <v>2916</v>
      </c>
      <c r="B1228" t="s">
        <v>2012</v>
      </c>
      <c r="C1228" t="s">
        <v>441</v>
      </c>
      <c r="D1228" t="s">
        <v>1064</v>
      </c>
      <c r="E1228">
        <v>1</v>
      </c>
      <c r="F1228">
        <f>_xlfn.XLOOKUP(Table1[[#This Row],[ProductID]],Products!A:A,Products!D:D,,0)</f>
        <v>160</v>
      </c>
      <c r="I1228">
        <v>699</v>
      </c>
      <c r="J1228">
        <v>699</v>
      </c>
      <c r="K1228" t="s">
        <v>1102</v>
      </c>
      <c r="L1228">
        <v>699</v>
      </c>
      <c r="M1228" t="s">
        <v>1098</v>
      </c>
      <c r="N1228" t="s">
        <v>1099</v>
      </c>
      <c r="O1228">
        <f>Table1[[#This Row],[Unit_Price]]*Table1[[#This Row],[Quantity]]</f>
        <v>160</v>
      </c>
    </row>
    <row r="1229" spans="1:15" x14ac:dyDescent="0.3">
      <c r="A1229" t="s">
        <v>2917</v>
      </c>
      <c r="B1229" t="s">
        <v>1924</v>
      </c>
      <c r="C1229" t="s">
        <v>187</v>
      </c>
      <c r="D1229" t="s">
        <v>1066</v>
      </c>
      <c r="E1229">
        <v>1</v>
      </c>
      <c r="F1229">
        <f>_xlfn.XLOOKUP(Table1[[#This Row],[ProductID]],Products!A:A,Products!D:D,,0)</f>
        <v>140</v>
      </c>
      <c r="I1229">
        <v>499</v>
      </c>
      <c r="J1229">
        <v>449</v>
      </c>
      <c r="K1229" t="s">
        <v>1107</v>
      </c>
      <c r="L1229">
        <v>449</v>
      </c>
      <c r="M1229" t="s">
        <v>1098</v>
      </c>
      <c r="N1229" t="s">
        <v>1099</v>
      </c>
      <c r="O1229">
        <f>Table1[[#This Row],[Unit_Price]]*Table1[[#This Row],[Quantity]]</f>
        <v>140</v>
      </c>
    </row>
    <row r="1230" spans="1:15" x14ac:dyDescent="0.3">
      <c r="A1230" t="s">
        <v>2918</v>
      </c>
      <c r="B1230" t="s">
        <v>2297</v>
      </c>
      <c r="C1230" t="s">
        <v>301</v>
      </c>
      <c r="D1230" t="s">
        <v>1068</v>
      </c>
      <c r="E1230">
        <v>1</v>
      </c>
      <c r="F1230">
        <f>_xlfn.XLOOKUP(Table1[[#This Row],[ProductID]],Products!A:A,Products!D:D,,0)</f>
        <v>180</v>
      </c>
      <c r="I1230">
        <v>449</v>
      </c>
      <c r="J1230">
        <v>359</v>
      </c>
      <c r="K1230" t="s">
        <v>1097</v>
      </c>
      <c r="L1230">
        <v>359</v>
      </c>
      <c r="M1230" t="s">
        <v>1093</v>
      </c>
      <c r="N1230" t="s">
        <v>1099</v>
      </c>
      <c r="O1230">
        <f>Table1[[#This Row],[Unit_Price]]*Table1[[#This Row],[Quantity]]</f>
        <v>180</v>
      </c>
    </row>
    <row r="1231" spans="1:15" x14ac:dyDescent="0.3">
      <c r="A1231" t="s">
        <v>2919</v>
      </c>
      <c r="B1231" t="s">
        <v>2717</v>
      </c>
      <c r="C1231" t="s">
        <v>237</v>
      </c>
      <c r="D1231" t="s">
        <v>1080</v>
      </c>
      <c r="E1231">
        <v>1</v>
      </c>
      <c r="F1231">
        <f>_xlfn.XLOOKUP(Table1[[#This Row],[ProductID]],Products!A:A,Products!D:D,,0)</f>
        <v>45</v>
      </c>
      <c r="I1231">
        <v>249</v>
      </c>
      <c r="J1231">
        <v>249</v>
      </c>
      <c r="K1231" t="s">
        <v>1102</v>
      </c>
      <c r="L1231">
        <v>249</v>
      </c>
      <c r="M1231" t="s">
        <v>1098</v>
      </c>
      <c r="N1231" t="s">
        <v>1099</v>
      </c>
      <c r="O1231">
        <f>Table1[[#This Row],[Unit_Price]]*Table1[[#This Row],[Quantity]]</f>
        <v>45</v>
      </c>
    </row>
    <row r="1232" spans="1:15" x14ac:dyDescent="0.3">
      <c r="A1232" t="s">
        <v>2920</v>
      </c>
      <c r="B1232" t="s">
        <v>2541</v>
      </c>
      <c r="C1232" t="s">
        <v>513</v>
      </c>
      <c r="D1232" t="s">
        <v>1068</v>
      </c>
      <c r="E1232">
        <v>1</v>
      </c>
      <c r="F1232">
        <f>_xlfn.XLOOKUP(Table1[[#This Row],[ProductID]],Products!A:A,Products!D:D,,0)</f>
        <v>180</v>
      </c>
      <c r="I1232">
        <v>449</v>
      </c>
      <c r="J1232">
        <v>404</v>
      </c>
      <c r="K1232" t="s">
        <v>1107</v>
      </c>
      <c r="L1232">
        <v>404</v>
      </c>
      <c r="M1232" t="s">
        <v>1118</v>
      </c>
      <c r="N1232" t="s">
        <v>1099</v>
      </c>
      <c r="O1232">
        <f>Table1[[#This Row],[Unit_Price]]*Table1[[#This Row],[Quantity]]</f>
        <v>180</v>
      </c>
    </row>
    <row r="1233" spans="1:15" x14ac:dyDescent="0.3">
      <c r="A1233" t="s">
        <v>2921</v>
      </c>
      <c r="B1233" t="s">
        <v>1498</v>
      </c>
      <c r="C1233" t="s">
        <v>877</v>
      </c>
      <c r="D1233" t="s">
        <v>1080</v>
      </c>
      <c r="E1233">
        <v>1</v>
      </c>
      <c r="F1233">
        <f>_xlfn.XLOOKUP(Table1[[#This Row],[ProductID]],Products!A:A,Products!D:D,,0)</f>
        <v>45</v>
      </c>
      <c r="I1233">
        <v>249</v>
      </c>
      <c r="J1233">
        <v>199</v>
      </c>
      <c r="K1233" t="s">
        <v>1097</v>
      </c>
      <c r="L1233">
        <v>199</v>
      </c>
      <c r="M1233" t="s">
        <v>1098</v>
      </c>
      <c r="N1233" t="s">
        <v>1099</v>
      </c>
      <c r="O1233">
        <f>Table1[[#This Row],[Unit_Price]]*Table1[[#This Row],[Quantity]]</f>
        <v>45</v>
      </c>
    </row>
    <row r="1234" spans="1:15" x14ac:dyDescent="0.3">
      <c r="A1234" t="s">
        <v>2922</v>
      </c>
      <c r="B1234" t="s">
        <v>1770</v>
      </c>
      <c r="C1234" t="s">
        <v>643</v>
      </c>
      <c r="D1234" t="s">
        <v>1066</v>
      </c>
      <c r="E1234">
        <v>1</v>
      </c>
      <c r="F1234">
        <f>_xlfn.XLOOKUP(Table1[[#This Row],[ProductID]],Products!A:A,Products!D:D,,0)</f>
        <v>140</v>
      </c>
      <c r="I1234">
        <v>499</v>
      </c>
      <c r="J1234">
        <v>499</v>
      </c>
      <c r="K1234" t="s">
        <v>1102</v>
      </c>
      <c r="L1234">
        <v>499</v>
      </c>
      <c r="M1234" t="s">
        <v>1093</v>
      </c>
      <c r="N1234" t="s">
        <v>1099</v>
      </c>
      <c r="O1234">
        <f>Table1[[#This Row],[Unit_Price]]*Table1[[#This Row],[Quantity]]</f>
        <v>140</v>
      </c>
    </row>
    <row r="1235" spans="1:15" x14ac:dyDescent="0.3">
      <c r="A1235" t="s">
        <v>2923</v>
      </c>
      <c r="B1235" t="s">
        <v>2924</v>
      </c>
      <c r="C1235" t="s">
        <v>875</v>
      </c>
      <c r="D1235" t="s">
        <v>1075</v>
      </c>
      <c r="E1235">
        <v>1</v>
      </c>
      <c r="F1235">
        <f>_xlfn.XLOOKUP(Table1[[#This Row],[ProductID]],Products!A:A,Products!D:D,,0)</f>
        <v>80</v>
      </c>
      <c r="I1235">
        <v>499</v>
      </c>
      <c r="J1235">
        <v>499</v>
      </c>
      <c r="K1235" t="s">
        <v>1102</v>
      </c>
      <c r="L1235">
        <v>499</v>
      </c>
      <c r="M1235" t="s">
        <v>1098</v>
      </c>
      <c r="N1235" t="s">
        <v>1099</v>
      </c>
      <c r="O1235">
        <f>Table1[[#This Row],[Unit_Price]]*Table1[[#This Row],[Quantity]]</f>
        <v>80</v>
      </c>
    </row>
    <row r="1236" spans="1:15" x14ac:dyDescent="0.3">
      <c r="A1236" t="s">
        <v>2925</v>
      </c>
      <c r="B1236" t="s">
        <v>1211</v>
      </c>
      <c r="C1236" t="s">
        <v>923</v>
      </c>
      <c r="D1236" t="s">
        <v>1078</v>
      </c>
      <c r="E1236">
        <v>2</v>
      </c>
      <c r="F1236">
        <f>_xlfn.XLOOKUP(Table1[[#This Row],[ProductID]],Products!A:A,Products!D:D,,0)</f>
        <v>80</v>
      </c>
      <c r="I1236">
        <v>499</v>
      </c>
      <c r="J1236">
        <v>499</v>
      </c>
      <c r="K1236" t="s">
        <v>1102</v>
      </c>
      <c r="L1236">
        <v>998</v>
      </c>
      <c r="M1236" t="s">
        <v>1098</v>
      </c>
      <c r="N1236" t="s">
        <v>1099</v>
      </c>
      <c r="O1236">
        <f>Table1[[#This Row],[Unit_Price]]*Table1[[#This Row],[Quantity]]</f>
        <v>160</v>
      </c>
    </row>
    <row r="1237" spans="1:15" x14ac:dyDescent="0.3">
      <c r="A1237" t="s">
        <v>2926</v>
      </c>
      <c r="B1237" t="s">
        <v>2927</v>
      </c>
      <c r="C1237" t="s">
        <v>93</v>
      </c>
      <c r="D1237" t="s">
        <v>1066</v>
      </c>
      <c r="E1237">
        <v>1</v>
      </c>
      <c r="F1237">
        <f>_xlfn.XLOOKUP(Table1[[#This Row],[ProductID]],Products!A:A,Products!D:D,,0)</f>
        <v>140</v>
      </c>
      <c r="I1237">
        <v>499</v>
      </c>
      <c r="J1237">
        <v>424</v>
      </c>
      <c r="K1237" t="s">
        <v>1092</v>
      </c>
      <c r="L1237">
        <v>424</v>
      </c>
      <c r="M1237" t="s">
        <v>1118</v>
      </c>
      <c r="N1237" t="s">
        <v>1099</v>
      </c>
      <c r="O1237">
        <f>Table1[[#This Row],[Unit_Price]]*Table1[[#This Row],[Quantity]]</f>
        <v>140</v>
      </c>
    </row>
    <row r="1238" spans="1:15" x14ac:dyDescent="0.3">
      <c r="A1238" t="s">
        <v>2928</v>
      </c>
      <c r="B1238" t="s">
        <v>2757</v>
      </c>
      <c r="C1238" t="s">
        <v>711</v>
      </c>
      <c r="D1238" t="s">
        <v>1071</v>
      </c>
      <c r="E1238">
        <v>1</v>
      </c>
      <c r="F1238">
        <f>_xlfn.XLOOKUP(Table1[[#This Row],[ProductID]],Products!A:A,Products!D:D,,0)</f>
        <v>125</v>
      </c>
      <c r="I1238">
        <v>399</v>
      </c>
      <c r="J1238">
        <v>359</v>
      </c>
      <c r="K1238" t="s">
        <v>1107</v>
      </c>
      <c r="L1238">
        <v>359</v>
      </c>
      <c r="M1238" t="s">
        <v>1093</v>
      </c>
      <c r="N1238" t="s">
        <v>1094</v>
      </c>
      <c r="O1238">
        <f>Table1[[#This Row],[Unit_Price]]*Table1[[#This Row],[Quantity]]</f>
        <v>125</v>
      </c>
    </row>
    <row r="1239" spans="1:15" x14ac:dyDescent="0.3">
      <c r="A1239" t="s">
        <v>2929</v>
      </c>
      <c r="B1239" t="s">
        <v>1519</v>
      </c>
      <c r="C1239" t="s">
        <v>649</v>
      </c>
      <c r="D1239" t="s">
        <v>1078</v>
      </c>
      <c r="E1239">
        <v>2</v>
      </c>
      <c r="F1239">
        <f>_xlfn.XLOOKUP(Table1[[#This Row],[ProductID]],Products!A:A,Products!D:D,,0)</f>
        <v>80</v>
      </c>
      <c r="I1239">
        <v>499</v>
      </c>
      <c r="J1239">
        <v>399</v>
      </c>
      <c r="K1239" t="s">
        <v>1097</v>
      </c>
      <c r="L1239">
        <v>798</v>
      </c>
      <c r="M1239" t="s">
        <v>1098</v>
      </c>
      <c r="N1239" t="s">
        <v>1099</v>
      </c>
      <c r="O1239">
        <f>Table1[[#This Row],[Unit_Price]]*Table1[[#This Row],[Quantity]]</f>
        <v>160</v>
      </c>
    </row>
    <row r="1240" spans="1:15" x14ac:dyDescent="0.3">
      <c r="A1240" t="s">
        <v>2930</v>
      </c>
      <c r="B1240" t="s">
        <v>2615</v>
      </c>
      <c r="C1240" t="s">
        <v>363</v>
      </c>
      <c r="D1240" t="s">
        <v>1055</v>
      </c>
      <c r="E1240">
        <v>1</v>
      </c>
      <c r="F1240">
        <f>_xlfn.XLOOKUP(Table1[[#This Row],[ProductID]],Products!A:A,Products!D:D,,0)</f>
        <v>75</v>
      </c>
      <c r="I1240">
        <v>299</v>
      </c>
      <c r="J1240">
        <v>299</v>
      </c>
      <c r="K1240" t="s">
        <v>1102</v>
      </c>
      <c r="L1240">
        <v>299</v>
      </c>
      <c r="M1240" t="s">
        <v>1093</v>
      </c>
      <c r="N1240" t="s">
        <v>1099</v>
      </c>
      <c r="O1240">
        <f>Table1[[#This Row],[Unit_Price]]*Table1[[#This Row],[Quantity]]</f>
        <v>75</v>
      </c>
    </row>
    <row r="1241" spans="1:15" x14ac:dyDescent="0.3">
      <c r="A1241" t="s">
        <v>2931</v>
      </c>
      <c r="B1241" t="s">
        <v>1101</v>
      </c>
      <c r="C1241" t="s">
        <v>687</v>
      </c>
      <c r="D1241" t="s">
        <v>1059</v>
      </c>
      <c r="E1241">
        <v>1</v>
      </c>
      <c r="F1241">
        <f>_xlfn.XLOOKUP(Table1[[#This Row],[ProductID]],Products!A:A,Products!D:D,,0)</f>
        <v>110</v>
      </c>
      <c r="I1241">
        <v>399</v>
      </c>
      <c r="J1241">
        <v>319</v>
      </c>
      <c r="K1241" t="s">
        <v>1097</v>
      </c>
      <c r="L1241">
        <v>319</v>
      </c>
      <c r="M1241" t="s">
        <v>1098</v>
      </c>
      <c r="N1241" t="s">
        <v>1123</v>
      </c>
      <c r="O1241">
        <f>Table1[[#This Row],[Unit_Price]]*Table1[[#This Row],[Quantity]]</f>
        <v>110</v>
      </c>
    </row>
    <row r="1242" spans="1:15" x14ac:dyDescent="0.3">
      <c r="A1242" t="s">
        <v>2932</v>
      </c>
      <c r="B1242" t="s">
        <v>1684</v>
      </c>
      <c r="C1242" t="s">
        <v>977</v>
      </c>
      <c r="D1242" t="s">
        <v>1051</v>
      </c>
      <c r="E1242">
        <v>1</v>
      </c>
      <c r="F1242">
        <f>_xlfn.XLOOKUP(Table1[[#This Row],[ProductID]],Products!A:A,Products!D:D,,0)</f>
        <v>150</v>
      </c>
      <c r="I1242">
        <v>499</v>
      </c>
      <c r="J1242">
        <v>399</v>
      </c>
      <c r="K1242" t="s">
        <v>1097</v>
      </c>
      <c r="L1242">
        <v>399</v>
      </c>
      <c r="M1242" t="s">
        <v>1098</v>
      </c>
      <c r="N1242" t="s">
        <v>1099</v>
      </c>
      <c r="O1242">
        <f>Table1[[#This Row],[Unit_Price]]*Table1[[#This Row],[Quantity]]</f>
        <v>150</v>
      </c>
    </row>
    <row r="1243" spans="1:15" x14ac:dyDescent="0.3">
      <c r="A1243" t="s">
        <v>2933</v>
      </c>
      <c r="B1243" t="s">
        <v>2934</v>
      </c>
      <c r="C1243" t="s">
        <v>831</v>
      </c>
      <c r="D1243" t="s">
        <v>1059</v>
      </c>
      <c r="E1243">
        <v>1</v>
      </c>
      <c r="F1243">
        <f>_xlfn.XLOOKUP(Table1[[#This Row],[ProductID]],Products!A:A,Products!D:D,,0)</f>
        <v>110</v>
      </c>
      <c r="I1243">
        <v>399</v>
      </c>
      <c r="J1243">
        <v>399</v>
      </c>
      <c r="K1243" t="s">
        <v>1102</v>
      </c>
      <c r="L1243">
        <v>399</v>
      </c>
      <c r="M1243" t="s">
        <v>1126</v>
      </c>
      <c r="N1243" t="s">
        <v>1099</v>
      </c>
      <c r="O1243">
        <f>Table1[[#This Row],[Unit_Price]]*Table1[[#This Row],[Quantity]]</f>
        <v>110</v>
      </c>
    </row>
    <row r="1244" spans="1:15" x14ac:dyDescent="0.3">
      <c r="A1244" t="s">
        <v>2935</v>
      </c>
      <c r="B1244" t="s">
        <v>1138</v>
      </c>
      <c r="C1244" t="s">
        <v>18</v>
      </c>
      <c r="D1244" t="s">
        <v>1059</v>
      </c>
      <c r="E1244">
        <v>1</v>
      </c>
      <c r="F1244">
        <f>_xlfn.XLOOKUP(Table1[[#This Row],[ProductID]],Products!A:A,Products!D:D,,0)</f>
        <v>110</v>
      </c>
      <c r="I1244">
        <v>399</v>
      </c>
      <c r="J1244">
        <v>359</v>
      </c>
      <c r="K1244" t="s">
        <v>1107</v>
      </c>
      <c r="L1244">
        <v>359</v>
      </c>
      <c r="M1244" t="s">
        <v>1093</v>
      </c>
      <c r="N1244" t="s">
        <v>1099</v>
      </c>
      <c r="O1244">
        <f>Table1[[#This Row],[Unit_Price]]*Table1[[#This Row],[Quantity]]</f>
        <v>110</v>
      </c>
    </row>
    <row r="1245" spans="1:15" x14ac:dyDescent="0.3">
      <c r="A1245" t="s">
        <v>2936</v>
      </c>
      <c r="B1245" t="s">
        <v>1353</v>
      </c>
      <c r="C1245" t="s">
        <v>415</v>
      </c>
      <c r="D1245" t="s">
        <v>1080</v>
      </c>
      <c r="E1245">
        <v>1</v>
      </c>
      <c r="F1245">
        <f>_xlfn.XLOOKUP(Table1[[#This Row],[ProductID]],Products!A:A,Products!D:D,,0)</f>
        <v>45</v>
      </c>
      <c r="I1245">
        <v>249</v>
      </c>
      <c r="J1245">
        <v>212</v>
      </c>
      <c r="K1245" t="s">
        <v>1092</v>
      </c>
      <c r="L1245">
        <v>212</v>
      </c>
      <c r="M1245" t="s">
        <v>1098</v>
      </c>
      <c r="N1245" t="s">
        <v>1094</v>
      </c>
      <c r="O1245">
        <f>Table1[[#This Row],[Unit_Price]]*Table1[[#This Row],[Quantity]]</f>
        <v>45</v>
      </c>
    </row>
    <row r="1246" spans="1:15" x14ac:dyDescent="0.3">
      <c r="A1246" t="s">
        <v>2937</v>
      </c>
      <c r="B1246" t="s">
        <v>1333</v>
      </c>
      <c r="C1246" t="s">
        <v>219</v>
      </c>
      <c r="D1246" t="s">
        <v>1080</v>
      </c>
      <c r="E1246">
        <v>2</v>
      </c>
      <c r="F1246">
        <f>_xlfn.XLOOKUP(Table1[[#This Row],[ProductID]],Products!A:A,Products!D:D,,0)</f>
        <v>45</v>
      </c>
      <c r="I1246">
        <v>249</v>
      </c>
      <c r="J1246">
        <v>224</v>
      </c>
      <c r="K1246" t="s">
        <v>1107</v>
      </c>
      <c r="L1246">
        <v>448</v>
      </c>
      <c r="M1246" t="s">
        <v>1098</v>
      </c>
      <c r="N1246" t="s">
        <v>1099</v>
      </c>
      <c r="O1246">
        <f>Table1[[#This Row],[Unit_Price]]*Table1[[#This Row],[Quantity]]</f>
        <v>90</v>
      </c>
    </row>
    <row r="1247" spans="1:15" x14ac:dyDescent="0.3">
      <c r="A1247" t="s">
        <v>2938</v>
      </c>
      <c r="B1247" t="s">
        <v>1244</v>
      </c>
      <c r="C1247" t="s">
        <v>443</v>
      </c>
      <c r="D1247" t="s">
        <v>1080</v>
      </c>
      <c r="E1247">
        <v>3</v>
      </c>
      <c r="F1247">
        <f>_xlfn.XLOOKUP(Table1[[#This Row],[ProductID]],Products!A:A,Products!D:D,,0)</f>
        <v>45</v>
      </c>
      <c r="I1247">
        <v>249</v>
      </c>
      <c r="J1247">
        <v>212</v>
      </c>
      <c r="K1247" t="s">
        <v>1092</v>
      </c>
      <c r="L1247">
        <v>636</v>
      </c>
      <c r="M1247" t="s">
        <v>1093</v>
      </c>
      <c r="N1247" t="s">
        <v>1094</v>
      </c>
      <c r="O1247">
        <f>Table1[[#This Row],[Unit_Price]]*Table1[[#This Row],[Quantity]]</f>
        <v>135</v>
      </c>
    </row>
    <row r="1248" spans="1:15" x14ac:dyDescent="0.3">
      <c r="A1248" t="s">
        <v>2939</v>
      </c>
      <c r="B1248" t="s">
        <v>2940</v>
      </c>
      <c r="C1248" t="s">
        <v>245</v>
      </c>
      <c r="D1248" t="s">
        <v>1075</v>
      </c>
      <c r="E1248">
        <v>4</v>
      </c>
      <c r="F1248">
        <f>_xlfn.XLOOKUP(Table1[[#This Row],[ProductID]],Products!A:A,Products!D:D,,0)</f>
        <v>80</v>
      </c>
      <c r="I1248">
        <v>499</v>
      </c>
      <c r="J1248">
        <v>449</v>
      </c>
      <c r="K1248" t="s">
        <v>1107</v>
      </c>
      <c r="L1248">
        <v>1796</v>
      </c>
      <c r="M1248" t="s">
        <v>1126</v>
      </c>
      <c r="N1248" t="s">
        <v>1099</v>
      </c>
      <c r="O1248">
        <f>Table1[[#This Row],[Unit_Price]]*Table1[[#This Row],[Quantity]]</f>
        <v>320</v>
      </c>
    </row>
    <row r="1249" spans="1:15" x14ac:dyDescent="0.3">
      <c r="A1249" t="s">
        <v>2941</v>
      </c>
      <c r="B1249" t="s">
        <v>1420</v>
      </c>
      <c r="C1249" t="s">
        <v>699</v>
      </c>
      <c r="D1249" t="s">
        <v>1071</v>
      </c>
      <c r="E1249">
        <v>1</v>
      </c>
      <c r="F1249">
        <f>_xlfn.XLOOKUP(Table1[[#This Row],[ProductID]],Products!A:A,Products!D:D,,0)</f>
        <v>125</v>
      </c>
      <c r="I1249">
        <v>399</v>
      </c>
      <c r="J1249">
        <v>359</v>
      </c>
      <c r="K1249" t="s">
        <v>1107</v>
      </c>
      <c r="L1249">
        <v>359</v>
      </c>
      <c r="M1249" t="s">
        <v>1118</v>
      </c>
      <c r="N1249" t="s">
        <v>1123</v>
      </c>
      <c r="O1249">
        <f>Table1[[#This Row],[Unit_Price]]*Table1[[#This Row],[Quantity]]</f>
        <v>125</v>
      </c>
    </row>
    <row r="1250" spans="1:15" x14ac:dyDescent="0.3">
      <c r="A1250" t="s">
        <v>2942</v>
      </c>
      <c r="B1250" t="s">
        <v>1294</v>
      </c>
      <c r="C1250" t="s">
        <v>429</v>
      </c>
      <c r="D1250" t="s">
        <v>1059</v>
      </c>
      <c r="E1250">
        <v>1</v>
      </c>
      <c r="F1250">
        <f>_xlfn.XLOOKUP(Table1[[#This Row],[ProductID]],Products!A:A,Products!D:D,,0)</f>
        <v>110</v>
      </c>
      <c r="I1250">
        <v>399</v>
      </c>
      <c r="J1250">
        <v>359</v>
      </c>
      <c r="K1250" t="s">
        <v>1107</v>
      </c>
      <c r="L1250">
        <v>359</v>
      </c>
      <c r="M1250" t="s">
        <v>1118</v>
      </c>
      <c r="N1250" t="s">
        <v>1099</v>
      </c>
      <c r="O1250">
        <f>Table1[[#This Row],[Unit_Price]]*Table1[[#This Row],[Quantity]]</f>
        <v>110</v>
      </c>
    </row>
    <row r="1251" spans="1:15" x14ac:dyDescent="0.3">
      <c r="A1251" t="s">
        <v>2943</v>
      </c>
      <c r="B1251" t="s">
        <v>2206</v>
      </c>
      <c r="C1251" t="s">
        <v>132</v>
      </c>
      <c r="D1251" t="s">
        <v>1064</v>
      </c>
      <c r="E1251">
        <v>1</v>
      </c>
      <c r="F1251">
        <f>_xlfn.XLOOKUP(Table1[[#This Row],[ProductID]],Products!A:A,Products!D:D,,0)</f>
        <v>160</v>
      </c>
      <c r="I1251">
        <v>699</v>
      </c>
      <c r="J1251">
        <v>559</v>
      </c>
      <c r="K1251" t="s">
        <v>1097</v>
      </c>
      <c r="L1251">
        <v>559</v>
      </c>
      <c r="M1251" t="s">
        <v>1098</v>
      </c>
      <c r="N1251" t="s">
        <v>1099</v>
      </c>
      <c r="O1251">
        <f>Table1[[#This Row],[Unit_Price]]*Table1[[#This Row],[Quantity]]</f>
        <v>160</v>
      </c>
    </row>
    <row r="1252" spans="1:15" x14ac:dyDescent="0.3">
      <c r="A1252" t="s">
        <v>2944</v>
      </c>
      <c r="B1252" t="s">
        <v>2945</v>
      </c>
      <c r="C1252" t="s">
        <v>453</v>
      </c>
      <c r="D1252" t="s">
        <v>1055</v>
      </c>
      <c r="E1252">
        <v>1</v>
      </c>
      <c r="F1252">
        <f>_xlfn.XLOOKUP(Table1[[#This Row],[ProductID]],Products!A:A,Products!D:D,,0)</f>
        <v>75</v>
      </c>
      <c r="I1252">
        <v>299</v>
      </c>
      <c r="J1252">
        <v>269</v>
      </c>
      <c r="K1252" t="s">
        <v>1107</v>
      </c>
      <c r="L1252">
        <v>269</v>
      </c>
      <c r="M1252" t="s">
        <v>1098</v>
      </c>
      <c r="N1252" t="s">
        <v>1099</v>
      </c>
      <c r="O1252">
        <f>Table1[[#This Row],[Unit_Price]]*Table1[[#This Row],[Quantity]]</f>
        <v>75</v>
      </c>
    </row>
    <row r="1253" spans="1:15" x14ac:dyDescent="0.3">
      <c r="A1253" t="s">
        <v>2946</v>
      </c>
      <c r="B1253" t="s">
        <v>2947</v>
      </c>
      <c r="C1253" t="s">
        <v>145</v>
      </c>
      <c r="D1253" t="s">
        <v>1068</v>
      </c>
      <c r="E1253">
        <v>2</v>
      </c>
      <c r="F1253">
        <f>_xlfn.XLOOKUP(Table1[[#This Row],[ProductID]],Products!A:A,Products!D:D,,0)</f>
        <v>180</v>
      </c>
      <c r="I1253">
        <v>449</v>
      </c>
      <c r="J1253">
        <v>359</v>
      </c>
      <c r="K1253" t="s">
        <v>1097</v>
      </c>
      <c r="L1253">
        <v>718</v>
      </c>
      <c r="M1253" t="s">
        <v>1098</v>
      </c>
      <c r="N1253" t="s">
        <v>1099</v>
      </c>
      <c r="O1253">
        <f>Table1[[#This Row],[Unit_Price]]*Table1[[#This Row],[Quantity]]</f>
        <v>360</v>
      </c>
    </row>
    <row r="1254" spans="1:15" x14ac:dyDescent="0.3">
      <c r="A1254" t="s">
        <v>2948</v>
      </c>
      <c r="B1254" t="s">
        <v>2949</v>
      </c>
      <c r="C1254" t="s">
        <v>199</v>
      </c>
      <c r="D1254" t="s">
        <v>1075</v>
      </c>
      <c r="E1254">
        <v>1</v>
      </c>
      <c r="F1254">
        <f>_xlfn.XLOOKUP(Table1[[#This Row],[ProductID]],Products!A:A,Products!D:D,,0)</f>
        <v>80</v>
      </c>
      <c r="I1254">
        <v>499</v>
      </c>
      <c r="J1254">
        <v>399</v>
      </c>
      <c r="K1254" t="s">
        <v>1097</v>
      </c>
      <c r="L1254">
        <v>399</v>
      </c>
      <c r="M1254" t="s">
        <v>1093</v>
      </c>
      <c r="N1254" t="s">
        <v>1094</v>
      </c>
      <c r="O1254">
        <f>Table1[[#This Row],[Unit_Price]]*Table1[[#This Row],[Quantity]]</f>
        <v>80</v>
      </c>
    </row>
    <row r="1255" spans="1:15" x14ac:dyDescent="0.3">
      <c r="A1255" t="s">
        <v>2950</v>
      </c>
      <c r="B1255" t="s">
        <v>1449</v>
      </c>
      <c r="C1255" t="s">
        <v>191</v>
      </c>
      <c r="D1255" t="s">
        <v>1066</v>
      </c>
      <c r="E1255">
        <v>1</v>
      </c>
      <c r="F1255">
        <f>_xlfn.XLOOKUP(Table1[[#This Row],[ProductID]],Products!A:A,Products!D:D,,0)</f>
        <v>140</v>
      </c>
      <c r="I1255">
        <v>499</v>
      </c>
      <c r="J1255">
        <v>399</v>
      </c>
      <c r="K1255" t="s">
        <v>1097</v>
      </c>
      <c r="L1255">
        <v>399</v>
      </c>
      <c r="M1255" t="s">
        <v>1098</v>
      </c>
      <c r="N1255" t="s">
        <v>1099</v>
      </c>
      <c r="O1255">
        <f>Table1[[#This Row],[Unit_Price]]*Table1[[#This Row],[Quantity]]</f>
        <v>140</v>
      </c>
    </row>
    <row r="1256" spans="1:15" x14ac:dyDescent="0.3">
      <c r="A1256" t="s">
        <v>2951</v>
      </c>
      <c r="B1256" t="s">
        <v>1281</v>
      </c>
      <c r="C1256" t="s">
        <v>843</v>
      </c>
      <c r="D1256" t="s">
        <v>1057</v>
      </c>
      <c r="E1256">
        <v>2</v>
      </c>
      <c r="F1256">
        <f>_xlfn.XLOOKUP(Table1[[#This Row],[ProductID]],Products!A:A,Products!D:D,,0)</f>
        <v>130</v>
      </c>
      <c r="I1256">
        <v>549</v>
      </c>
      <c r="J1256">
        <v>494</v>
      </c>
      <c r="K1256" t="s">
        <v>1107</v>
      </c>
      <c r="L1256">
        <v>988</v>
      </c>
      <c r="M1256" t="s">
        <v>1098</v>
      </c>
      <c r="N1256" t="s">
        <v>1099</v>
      </c>
      <c r="O1256">
        <f>Table1[[#This Row],[Unit_Price]]*Table1[[#This Row],[Quantity]]</f>
        <v>260</v>
      </c>
    </row>
    <row r="1257" spans="1:15" x14ac:dyDescent="0.3">
      <c r="A1257" t="s">
        <v>2952</v>
      </c>
      <c r="B1257" t="s">
        <v>1648</v>
      </c>
      <c r="C1257" t="s">
        <v>787</v>
      </c>
      <c r="D1257" t="s">
        <v>1048</v>
      </c>
      <c r="E1257">
        <v>2</v>
      </c>
      <c r="F1257">
        <f>_xlfn.XLOOKUP(Table1[[#This Row],[ProductID]],Products!A:A,Products!D:D,,0)</f>
        <v>120</v>
      </c>
      <c r="I1257">
        <v>599</v>
      </c>
      <c r="J1257">
        <v>539</v>
      </c>
      <c r="K1257" t="s">
        <v>1107</v>
      </c>
      <c r="L1257">
        <v>1078</v>
      </c>
      <c r="M1257" t="s">
        <v>1098</v>
      </c>
      <c r="N1257" t="s">
        <v>1099</v>
      </c>
      <c r="O1257">
        <f>Table1[[#This Row],[Unit_Price]]*Table1[[#This Row],[Quantity]]</f>
        <v>240</v>
      </c>
    </row>
    <row r="1258" spans="1:15" x14ac:dyDescent="0.3">
      <c r="A1258" t="s">
        <v>2953</v>
      </c>
      <c r="B1258" t="s">
        <v>1818</v>
      </c>
      <c r="C1258" t="s">
        <v>126</v>
      </c>
      <c r="D1258" t="s">
        <v>1057</v>
      </c>
      <c r="E1258">
        <v>3</v>
      </c>
      <c r="F1258">
        <f>_xlfn.XLOOKUP(Table1[[#This Row],[ProductID]],Products!A:A,Products!D:D,,0)</f>
        <v>130</v>
      </c>
      <c r="I1258">
        <v>549</v>
      </c>
      <c r="J1258">
        <v>439</v>
      </c>
      <c r="K1258" t="s">
        <v>1097</v>
      </c>
      <c r="L1258">
        <v>1317</v>
      </c>
      <c r="M1258" t="s">
        <v>1093</v>
      </c>
      <c r="N1258" t="s">
        <v>1099</v>
      </c>
      <c r="O1258">
        <f>Table1[[#This Row],[Unit_Price]]*Table1[[#This Row],[Quantity]]</f>
        <v>390</v>
      </c>
    </row>
    <row r="1259" spans="1:15" x14ac:dyDescent="0.3">
      <c r="A1259" t="s">
        <v>2954</v>
      </c>
      <c r="B1259" t="s">
        <v>1541</v>
      </c>
      <c r="C1259" t="s">
        <v>515</v>
      </c>
      <c r="D1259" t="s">
        <v>1059</v>
      </c>
      <c r="E1259">
        <v>3</v>
      </c>
      <c r="F1259">
        <f>_xlfn.XLOOKUP(Table1[[#This Row],[ProductID]],Products!A:A,Products!D:D,,0)</f>
        <v>110</v>
      </c>
      <c r="I1259">
        <v>399</v>
      </c>
      <c r="J1259">
        <v>339</v>
      </c>
      <c r="K1259" t="s">
        <v>1092</v>
      </c>
      <c r="L1259">
        <v>1017</v>
      </c>
      <c r="M1259" t="s">
        <v>1098</v>
      </c>
      <c r="N1259" t="s">
        <v>1099</v>
      </c>
      <c r="O1259">
        <f>Table1[[#This Row],[Unit_Price]]*Table1[[#This Row],[Quantity]]</f>
        <v>330</v>
      </c>
    </row>
    <row r="1260" spans="1:15" x14ac:dyDescent="0.3">
      <c r="A1260" t="s">
        <v>2955</v>
      </c>
      <c r="B1260" t="s">
        <v>1396</v>
      </c>
      <c r="C1260" t="s">
        <v>191</v>
      </c>
      <c r="D1260" t="s">
        <v>1055</v>
      </c>
      <c r="E1260">
        <v>3</v>
      </c>
      <c r="F1260">
        <f>_xlfn.XLOOKUP(Table1[[#This Row],[ProductID]],Products!A:A,Products!D:D,,0)</f>
        <v>75</v>
      </c>
      <c r="I1260">
        <v>299</v>
      </c>
      <c r="J1260">
        <v>254</v>
      </c>
      <c r="K1260" t="s">
        <v>1092</v>
      </c>
      <c r="L1260">
        <v>762</v>
      </c>
      <c r="M1260" t="s">
        <v>1093</v>
      </c>
      <c r="N1260" t="s">
        <v>1099</v>
      </c>
      <c r="O1260">
        <f>Table1[[#This Row],[Unit_Price]]*Table1[[#This Row],[Quantity]]</f>
        <v>225</v>
      </c>
    </row>
    <row r="1261" spans="1:15" x14ac:dyDescent="0.3">
      <c r="A1261" t="s">
        <v>2956</v>
      </c>
      <c r="B1261" t="s">
        <v>1402</v>
      </c>
      <c r="C1261" t="s">
        <v>331</v>
      </c>
      <c r="D1261" t="s">
        <v>1055</v>
      </c>
      <c r="E1261">
        <v>1</v>
      </c>
      <c r="F1261">
        <f>_xlfn.XLOOKUP(Table1[[#This Row],[ProductID]],Products!A:A,Products!D:D,,0)</f>
        <v>75</v>
      </c>
      <c r="I1261">
        <v>299</v>
      </c>
      <c r="J1261">
        <v>269</v>
      </c>
      <c r="K1261" t="s">
        <v>1107</v>
      </c>
      <c r="L1261">
        <v>269</v>
      </c>
      <c r="M1261" t="s">
        <v>1126</v>
      </c>
      <c r="N1261" t="s">
        <v>1099</v>
      </c>
      <c r="O1261">
        <f>Table1[[#This Row],[Unit_Price]]*Table1[[#This Row],[Quantity]]</f>
        <v>75</v>
      </c>
    </row>
    <row r="1262" spans="1:15" x14ac:dyDescent="0.3">
      <c r="A1262" t="s">
        <v>2957</v>
      </c>
      <c r="B1262" t="s">
        <v>1875</v>
      </c>
      <c r="C1262" t="s">
        <v>761</v>
      </c>
      <c r="D1262" t="s">
        <v>1062</v>
      </c>
      <c r="E1262">
        <v>1</v>
      </c>
      <c r="F1262">
        <f>_xlfn.XLOOKUP(Table1[[#This Row],[ProductID]],Products!A:A,Products!D:D,,0)</f>
        <v>95</v>
      </c>
      <c r="I1262">
        <v>349</v>
      </c>
      <c r="J1262">
        <v>349</v>
      </c>
      <c r="K1262" t="s">
        <v>1102</v>
      </c>
      <c r="L1262">
        <v>349</v>
      </c>
      <c r="M1262" t="s">
        <v>1126</v>
      </c>
      <c r="N1262" t="s">
        <v>1099</v>
      </c>
      <c r="O1262">
        <f>Table1[[#This Row],[Unit_Price]]*Table1[[#This Row],[Quantity]]</f>
        <v>95</v>
      </c>
    </row>
    <row r="1263" spans="1:15" x14ac:dyDescent="0.3">
      <c r="A1263" t="s">
        <v>2958</v>
      </c>
      <c r="B1263" t="s">
        <v>2421</v>
      </c>
      <c r="C1263" t="s">
        <v>615</v>
      </c>
      <c r="D1263" t="s">
        <v>1080</v>
      </c>
      <c r="E1263">
        <v>1</v>
      </c>
      <c r="F1263">
        <f>_xlfn.XLOOKUP(Table1[[#This Row],[ProductID]],Products!A:A,Products!D:D,,0)</f>
        <v>45</v>
      </c>
      <c r="I1263">
        <v>249</v>
      </c>
      <c r="J1263">
        <v>199</v>
      </c>
      <c r="K1263" t="s">
        <v>1097</v>
      </c>
      <c r="L1263">
        <v>199</v>
      </c>
      <c r="M1263" t="s">
        <v>1093</v>
      </c>
      <c r="N1263" t="s">
        <v>1099</v>
      </c>
      <c r="O1263">
        <f>Table1[[#This Row],[Unit_Price]]*Table1[[#This Row],[Quantity]]</f>
        <v>45</v>
      </c>
    </row>
    <row r="1264" spans="1:15" x14ac:dyDescent="0.3">
      <c r="A1264" t="s">
        <v>2959</v>
      </c>
      <c r="B1264" t="s">
        <v>2160</v>
      </c>
      <c r="C1264" t="s">
        <v>181</v>
      </c>
      <c r="D1264" t="s">
        <v>1066</v>
      </c>
      <c r="E1264">
        <v>1</v>
      </c>
      <c r="F1264">
        <f>_xlfn.XLOOKUP(Table1[[#This Row],[ProductID]],Products!A:A,Products!D:D,,0)</f>
        <v>140</v>
      </c>
      <c r="I1264">
        <v>499</v>
      </c>
      <c r="J1264">
        <v>424</v>
      </c>
      <c r="K1264" t="s">
        <v>1092</v>
      </c>
      <c r="L1264">
        <v>424</v>
      </c>
      <c r="M1264" t="s">
        <v>1126</v>
      </c>
      <c r="N1264" t="s">
        <v>1099</v>
      </c>
      <c r="O1264">
        <f>Table1[[#This Row],[Unit_Price]]*Table1[[#This Row],[Quantity]]</f>
        <v>140</v>
      </c>
    </row>
    <row r="1265" spans="1:15" x14ac:dyDescent="0.3">
      <c r="A1265" t="s">
        <v>2960</v>
      </c>
      <c r="B1265" t="s">
        <v>1608</v>
      </c>
      <c r="C1265" t="s">
        <v>785</v>
      </c>
      <c r="D1265" t="s">
        <v>1078</v>
      </c>
      <c r="E1265">
        <v>1</v>
      </c>
      <c r="F1265">
        <f>_xlfn.XLOOKUP(Table1[[#This Row],[ProductID]],Products!A:A,Products!D:D,,0)</f>
        <v>80</v>
      </c>
      <c r="I1265">
        <v>499</v>
      </c>
      <c r="J1265">
        <v>424</v>
      </c>
      <c r="K1265" t="s">
        <v>1092</v>
      </c>
      <c r="L1265">
        <v>424</v>
      </c>
      <c r="M1265" t="s">
        <v>1093</v>
      </c>
      <c r="N1265" t="s">
        <v>1094</v>
      </c>
      <c r="O1265">
        <f>Table1[[#This Row],[Unit_Price]]*Table1[[#This Row],[Quantity]]</f>
        <v>80</v>
      </c>
    </row>
    <row r="1266" spans="1:15" x14ac:dyDescent="0.3">
      <c r="A1266" t="s">
        <v>2961</v>
      </c>
      <c r="B1266" t="s">
        <v>1402</v>
      </c>
      <c r="C1266" t="s">
        <v>371</v>
      </c>
      <c r="D1266" t="s">
        <v>1053</v>
      </c>
      <c r="E1266">
        <v>1</v>
      </c>
      <c r="F1266">
        <f>_xlfn.XLOOKUP(Table1[[#This Row],[ProductID]],Products!A:A,Products!D:D,,0)</f>
        <v>200</v>
      </c>
      <c r="I1266">
        <v>899</v>
      </c>
      <c r="J1266">
        <v>899</v>
      </c>
      <c r="K1266" t="s">
        <v>1102</v>
      </c>
      <c r="L1266">
        <v>899</v>
      </c>
      <c r="M1266" t="s">
        <v>1118</v>
      </c>
      <c r="N1266" t="s">
        <v>1099</v>
      </c>
      <c r="O1266">
        <f>Table1[[#This Row],[Unit_Price]]*Table1[[#This Row],[Quantity]]</f>
        <v>200</v>
      </c>
    </row>
    <row r="1267" spans="1:15" x14ac:dyDescent="0.3">
      <c r="A1267" t="s">
        <v>2962</v>
      </c>
      <c r="B1267" t="s">
        <v>2963</v>
      </c>
      <c r="C1267" t="s">
        <v>697</v>
      </c>
      <c r="D1267" t="s">
        <v>1075</v>
      </c>
      <c r="E1267">
        <v>1</v>
      </c>
      <c r="F1267">
        <f>_xlfn.XLOOKUP(Table1[[#This Row],[ProductID]],Products!A:A,Products!D:D,,0)</f>
        <v>80</v>
      </c>
      <c r="I1267">
        <v>499</v>
      </c>
      <c r="J1267">
        <v>499</v>
      </c>
      <c r="K1267" t="s">
        <v>1102</v>
      </c>
      <c r="L1267">
        <v>499</v>
      </c>
      <c r="M1267" t="s">
        <v>1126</v>
      </c>
      <c r="N1267" t="s">
        <v>1099</v>
      </c>
      <c r="O1267">
        <f>Table1[[#This Row],[Unit_Price]]*Table1[[#This Row],[Quantity]]</f>
        <v>80</v>
      </c>
    </row>
    <row r="1268" spans="1:15" x14ac:dyDescent="0.3">
      <c r="A1268" t="s">
        <v>2964</v>
      </c>
      <c r="B1268" t="s">
        <v>1909</v>
      </c>
      <c r="C1268" t="s">
        <v>909</v>
      </c>
      <c r="D1268" t="s">
        <v>1055</v>
      </c>
      <c r="E1268">
        <v>2</v>
      </c>
      <c r="F1268">
        <f>_xlfn.XLOOKUP(Table1[[#This Row],[ProductID]],Products!A:A,Products!D:D,,0)</f>
        <v>75</v>
      </c>
      <c r="I1268">
        <v>299</v>
      </c>
      <c r="J1268">
        <v>254</v>
      </c>
      <c r="K1268" t="s">
        <v>1092</v>
      </c>
      <c r="L1268">
        <v>508</v>
      </c>
      <c r="M1268" t="s">
        <v>1126</v>
      </c>
      <c r="N1268" t="s">
        <v>1099</v>
      </c>
      <c r="O1268">
        <f>Table1[[#This Row],[Unit_Price]]*Table1[[#This Row],[Quantity]]</f>
        <v>150</v>
      </c>
    </row>
    <row r="1269" spans="1:15" x14ac:dyDescent="0.3">
      <c r="A1269" t="s">
        <v>2965</v>
      </c>
      <c r="B1269" t="s">
        <v>1924</v>
      </c>
      <c r="C1269" t="s">
        <v>557</v>
      </c>
      <c r="D1269" t="s">
        <v>1071</v>
      </c>
      <c r="E1269">
        <v>1</v>
      </c>
      <c r="F1269">
        <f>_xlfn.XLOOKUP(Table1[[#This Row],[ProductID]],Products!A:A,Products!D:D,,0)</f>
        <v>125</v>
      </c>
      <c r="I1269">
        <v>399</v>
      </c>
      <c r="J1269">
        <v>339</v>
      </c>
      <c r="K1269" t="s">
        <v>1092</v>
      </c>
      <c r="L1269">
        <v>339</v>
      </c>
      <c r="M1269" t="s">
        <v>1098</v>
      </c>
      <c r="N1269" t="s">
        <v>1099</v>
      </c>
      <c r="O1269">
        <f>Table1[[#This Row],[Unit_Price]]*Table1[[#This Row],[Quantity]]</f>
        <v>125</v>
      </c>
    </row>
    <row r="1270" spans="1:15" x14ac:dyDescent="0.3">
      <c r="A1270" t="s">
        <v>2966</v>
      </c>
      <c r="B1270" t="s">
        <v>2967</v>
      </c>
      <c r="C1270" t="s">
        <v>1033</v>
      </c>
      <c r="D1270" t="s">
        <v>1048</v>
      </c>
      <c r="E1270">
        <v>1</v>
      </c>
      <c r="F1270">
        <f>_xlfn.XLOOKUP(Table1[[#This Row],[ProductID]],Products!A:A,Products!D:D,,0)</f>
        <v>120</v>
      </c>
      <c r="I1270">
        <v>599</v>
      </c>
      <c r="J1270">
        <v>539</v>
      </c>
      <c r="K1270" t="s">
        <v>1107</v>
      </c>
      <c r="L1270">
        <v>539</v>
      </c>
      <c r="M1270" t="s">
        <v>1126</v>
      </c>
      <c r="N1270" t="s">
        <v>1099</v>
      </c>
      <c r="O1270">
        <f>Table1[[#This Row],[Unit_Price]]*Table1[[#This Row],[Quantity]]</f>
        <v>120</v>
      </c>
    </row>
    <row r="1271" spans="1:15" x14ac:dyDescent="0.3">
      <c r="A1271" t="s">
        <v>2968</v>
      </c>
      <c r="B1271" t="s">
        <v>2969</v>
      </c>
      <c r="C1271" t="s">
        <v>1021</v>
      </c>
      <c r="D1271" t="s">
        <v>1059</v>
      </c>
      <c r="E1271">
        <v>1</v>
      </c>
      <c r="F1271">
        <f>_xlfn.XLOOKUP(Table1[[#This Row],[ProductID]],Products!A:A,Products!D:D,,0)</f>
        <v>110</v>
      </c>
      <c r="I1271">
        <v>399</v>
      </c>
      <c r="J1271">
        <v>399</v>
      </c>
      <c r="K1271" t="s">
        <v>1102</v>
      </c>
      <c r="L1271">
        <v>399</v>
      </c>
      <c r="M1271" t="s">
        <v>1098</v>
      </c>
      <c r="N1271" t="s">
        <v>1099</v>
      </c>
      <c r="O1271">
        <f>Table1[[#This Row],[Unit_Price]]*Table1[[#This Row],[Quantity]]</f>
        <v>110</v>
      </c>
    </row>
    <row r="1272" spans="1:15" x14ac:dyDescent="0.3">
      <c r="A1272" t="s">
        <v>2970</v>
      </c>
      <c r="B1272" t="s">
        <v>2971</v>
      </c>
      <c r="C1272" t="s">
        <v>999</v>
      </c>
      <c r="D1272" t="s">
        <v>1075</v>
      </c>
      <c r="E1272">
        <v>1</v>
      </c>
      <c r="F1272">
        <f>_xlfn.XLOOKUP(Table1[[#This Row],[ProductID]],Products!A:A,Products!D:D,,0)</f>
        <v>80</v>
      </c>
      <c r="I1272">
        <v>499</v>
      </c>
      <c r="J1272">
        <v>449</v>
      </c>
      <c r="K1272" t="s">
        <v>1107</v>
      </c>
      <c r="L1272">
        <v>449</v>
      </c>
      <c r="M1272" t="s">
        <v>1126</v>
      </c>
      <c r="N1272" t="s">
        <v>1099</v>
      </c>
      <c r="O1272">
        <f>Table1[[#This Row],[Unit_Price]]*Table1[[#This Row],[Quantity]]</f>
        <v>80</v>
      </c>
    </row>
    <row r="1273" spans="1:15" x14ac:dyDescent="0.3">
      <c r="A1273" t="s">
        <v>2972</v>
      </c>
      <c r="B1273" t="s">
        <v>2155</v>
      </c>
      <c r="C1273" t="s">
        <v>557</v>
      </c>
      <c r="D1273" t="s">
        <v>1048</v>
      </c>
      <c r="E1273">
        <v>2</v>
      </c>
      <c r="F1273">
        <f>_xlfn.XLOOKUP(Table1[[#This Row],[ProductID]],Products!A:A,Products!D:D,,0)</f>
        <v>120</v>
      </c>
      <c r="I1273">
        <v>599</v>
      </c>
      <c r="J1273">
        <v>509</v>
      </c>
      <c r="K1273" t="s">
        <v>1092</v>
      </c>
      <c r="L1273">
        <v>1018</v>
      </c>
      <c r="M1273" t="s">
        <v>1098</v>
      </c>
      <c r="N1273" t="s">
        <v>1099</v>
      </c>
      <c r="O1273">
        <f>Table1[[#This Row],[Unit_Price]]*Table1[[#This Row],[Quantity]]</f>
        <v>240</v>
      </c>
    </row>
    <row r="1274" spans="1:15" x14ac:dyDescent="0.3">
      <c r="A1274" t="s">
        <v>2973</v>
      </c>
      <c r="B1274" t="s">
        <v>2150</v>
      </c>
      <c r="C1274" t="s">
        <v>873</v>
      </c>
      <c r="D1274" t="s">
        <v>1062</v>
      </c>
      <c r="E1274">
        <v>1</v>
      </c>
      <c r="F1274">
        <f>_xlfn.XLOOKUP(Table1[[#This Row],[ProductID]],Products!A:A,Products!D:D,,0)</f>
        <v>95</v>
      </c>
      <c r="I1274">
        <v>349</v>
      </c>
      <c r="J1274">
        <v>297</v>
      </c>
      <c r="K1274" t="s">
        <v>1092</v>
      </c>
      <c r="L1274">
        <v>297</v>
      </c>
      <c r="M1274" t="s">
        <v>1093</v>
      </c>
      <c r="N1274" t="s">
        <v>1099</v>
      </c>
      <c r="O1274">
        <f>Table1[[#This Row],[Unit_Price]]*Table1[[#This Row],[Quantity]]</f>
        <v>95</v>
      </c>
    </row>
    <row r="1275" spans="1:15" x14ac:dyDescent="0.3">
      <c r="A1275" t="s">
        <v>2974</v>
      </c>
      <c r="B1275" t="s">
        <v>1115</v>
      </c>
      <c r="C1275" t="s">
        <v>1031</v>
      </c>
      <c r="D1275" t="s">
        <v>1048</v>
      </c>
      <c r="E1275">
        <v>4</v>
      </c>
      <c r="F1275">
        <f>_xlfn.XLOOKUP(Table1[[#This Row],[ProductID]],Products!A:A,Products!D:D,,0)</f>
        <v>120</v>
      </c>
      <c r="I1275">
        <v>599</v>
      </c>
      <c r="J1275">
        <v>539</v>
      </c>
      <c r="K1275" t="s">
        <v>1107</v>
      </c>
      <c r="L1275">
        <v>2156</v>
      </c>
      <c r="M1275" t="s">
        <v>1093</v>
      </c>
      <c r="N1275" t="s">
        <v>1099</v>
      </c>
      <c r="O1275">
        <f>Table1[[#This Row],[Unit_Price]]*Table1[[#This Row],[Quantity]]</f>
        <v>480</v>
      </c>
    </row>
    <row r="1276" spans="1:15" x14ac:dyDescent="0.3">
      <c r="A1276" t="s">
        <v>2975</v>
      </c>
      <c r="B1276" t="s">
        <v>1341</v>
      </c>
      <c r="C1276" t="s">
        <v>193</v>
      </c>
      <c r="D1276" t="s">
        <v>1057</v>
      </c>
      <c r="E1276">
        <v>1</v>
      </c>
      <c r="F1276">
        <f>_xlfn.XLOOKUP(Table1[[#This Row],[ProductID]],Products!A:A,Products!D:D,,0)</f>
        <v>130</v>
      </c>
      <c r="I1276">
        <v>549</v>
      </c>
      <c r="J1276">
        <v>439</v>
      </c>
      <c r="K1276" t="s">
        <v>1097</v>
      </c>
      <c r="L1276">
        <v>439</v>
      </c>
      <c r="M1276" t="s">
        <v>1098</v>
      </c>
      <c r="N1276" t="s">
        <v>1099</v>
      </c>
      <c r="O1276">
        <f>Table1[[#This Row],[Unit_Price]]*Table1[[#This Row],[Quantity]]</f>
        <v>130</v>
      </c>
    </row>
    <row r="1277" spans="1:15" x14ac:dyDescent="0.3">
      <c r="A1277" t="s">
        <v>2976</v>
      </c>
      <c r="B1277" t="s">
        <v>2025</v>
      </c>
      <c r="C1277" t="s">
        <v>999</v>
      </c>
      <c r="D1277" t="s">
        <v>1066</v>
      </c>
      <c r="E1277">
        <v>1</v>
      </c>
      <c r="F1277">
        <f>_xlfn.XLOOKUP(Table1[[#This Row],[ProductID]],Products!A:A,Products!D:D,,0)</f>
        <v>140</v>
      </c>
      <c r="I1277">
        <v>499</v>
      </c>
      <c r="J1277">
        <v>499</v>
      </c>
      <c r="K1277" t="s">
        <v>1102</v>
      </c>
      <c r="L1277">
        <v>499</v>
      </c>
      <c r="M1277" t="s">
        <v>1118</v>
      </c>
      <c r="N1277" t="s">
        <v>1099</v>
      </c>
      <c r="O1277">
        <f>Table1[[#This Row],[Unit_Price]]*Table1[[#This Row],[Quantity]]</f>
        <v>140</v>
      </c>
    </row>
    <row r="1278" spans="1:15" x14ac:dyDescent="0.3">
      <c r="A1278" t="s">
        <v>2977</v>
      </c>
      <c r="B1278" t="s">
        <v>1310</v>
      </c>
      <c r="C1278" t="s">
        <v>503</v>
      </c>
      <c r="D1278" t="s">
        <v>1078</v>
      </c>
      <c r="E1278">
        <v>1</v>
      </c>
      <c r="F1278">
        <f>_xlfn.XLOOKUP(Table1[[#This Row],[ProductID]],Products!A:A,Products!D:D,,0)</f>
        <v>80</v>
      </c>
      <c r="I1278">
        <v>499</v>
      </c>
      <c r="J1278">
        <v>449</v>
      </c>
      <c r="K1278" t="s">
        <v>1107</v>
      </c>
      <c r="L1278">
        <v>449</v>
      </c>
      <c r="M1278" t="s">
        <v>1126</v>
      </c>
      <c r="N1278" t="s">
        <v>1099</v>
      </c>
      <c r="O1278">
        <f>Table1[[#This Row],[Unit_Price]]*Table1[[#This Row],[Quantity]]</f>
        <v>80</v>
      </c>
    </row>
    <row r="1279" spans="1:15" x14ac:dyDescent="0.3">
      <c r="A1279" t="s">
        <v>2978</v>
      </c>
      <c r="B1279" t="s">
        <v>1547</v>
      </c>
      <c r="C1279" t="s">
        <v>29</v>
      </c>
      <c r="D1279" t="s">
        <v>1068</v>
      </c>
      <c r="E1279">
        <v>1</v>
      </c>
      <c r="F1279">
        <f>_xlfn.XLOOKUP(Table1[[#This Row],[ProductID]],Products!A:A,Products!D:D,,0)</f>
        <v>180</v>
      </c>
      <c r="I1279">
        <v>449</v>
      </c>
      <c r="J1279">
        <v>404</v>
      </c>
      <c r="K1279" t="s">
        <v>1107</v>
      </c>
      <c r="L1279">
        <v>404</v>
      </c>
      <c r="M1279" t="s">
        <v>1093</v>
      </c>
      <c r="N1279" t="s">
        <v>1099</v>
      </c>
      <c r="O1279">
        <f>Table1[[#This Row],[Unit_Price]]*Table1[[#This Row],[Quantity]]</f>
        <v>180</v>
      </c>
    </row>
    <row r="1280" spans="1:15" x14ac:dyDescent="0.3">
      <c r="A1280" t="s">
        <v>2979</v>
      </c>
      <c r="B1280" t="s">
        <v>2664</v>
      </c>
      <c r="C1280" t="s">
        <v>807</v>
      </c>
      <c r="D1280" t="s">
        <v>1066</v>
      </c>
      <c r="E1280">
        <v>1</v>
      </c>
      <c r="F1280">
        <f>_xlfn.XLOOKUP(Table1[[#This Row],[ProductID]],Products!A:A,Products!D:D,,0)</f>
        <v>140</v>
      </c>
      <c r="I1280">
        <v>499</v>
      </c>
      <c r="J1280">
        <v>499</v>
      </c>
      <c r="K1280" t="s">
        <v>1102</v>
      </c>
      <c r="L1280">
        <v>499</v>
      </c>
      <c r="M1280" t="s">
        <v>1093</v>
      </c>
      <c r="N1280" t="s">
        <v>1094</v>
      </c>
      <c r="O1280">
        <f>Table1[[#This Row],[Unit_Price]]*Table1[[#This Row],[Quantity]]</f>
        <v>140</v>
      </c>
    </row>
    <row r="1281" spans="1:15" x14ac:dyDescent="0.3">
      <c r="A1281" t="s">
        <v>2980</v>
      </c>
      <c r="B1281" t="s">
        <v>1184</v>
      </c>
      <c r="C1281" t="s">
        <v>479</v>
      </c>
      <c r="D1281" t="s">
        <v>1055</v>
      </c>
      <c r="E1281">
        <v>1</v>
      </c>
      <c r="F1281">
        <f>_xlfn.XLOOKUP(Table1[[#This Row],[ProductID]],Products!A:A,Products!D:D,,0)</f>
        <v>75</v>
      </c>
      <c r="I1281">
        <v>299</v>
      </c>
      <c r="J1281">
        <v>254</v>
      </c>
      <c r="K1281" t="s">
        <v>1092</v>
      </c>
      <c r="L1281">
        <v>254</v>
      </c>
      <c r="M1281" t="s">
        <v>1098</v>
      </c>
      <c r="N1281" t="s">
        <v>1099</v>
      </c>
      <c r="O1281">
        <f>Table1[[#This Row],[Unit_Price]]*Table1[[#This Row],[Quantity]]</f>
        <v>75</v>
      </c>
    </row>
    <row r="1282" spans="1:15" x14ac:dyDescent="0.3">
      <c r="A1282" t="s">
        <v>2981</v>
      </c>
      <c r="B1282" t="s">
        <v>2012</v>
      </c>
      <c r="C1282" t="s">
        <v>42</v>
      </c>
      <c r="D1282" t="s">
        <v>1062</v>
      </c>
      <c r="E1282">
        <v>1</v>
      </c>
      <c r="F1282">
        <f>_xlfn.XLOOKUP(Table1[[#This Row],[ProductID]],Products!A:A,Products!D:D,,0)</f>
        <v>95</v>
      </c>
      <c r="I1282">
        <v>349</v>
      </c>
      <c r="J1282">
        <v>314</v>
      </c>
      <c r="K1282" t="s">
        <v>1107</v>
      </c>
      <c r="L1282">
        <v>314</v>
      </c>
      <c r="M1282" t="s">
        <v>1126</v>
      </c>
      <c r="N1282" t="s">
        <v>1099</v>
      </c>
      <c r="O1282">
        <f>Table1[[#This Row],[Unit_Price]]*Table1[[#This Row],[Quantity]]</f>
        <v>95</v>
      </c>
    </row>
    <row r="1283" spans="1:15" x14ac:dyDescent="0.3">
      <c r="A1283" t="s">
        <v>2982</v>
      </c>
      <c r="B1283" t="s">
        <v>2983</v>
      </c>
      <c r="C1283" t="s">
        <v>385</v>
      </c>
      <c r="D1283" t="s">
        <v>1071</v>
      </c>
      <c r="E1283">
        <v>1</v>
      </c>
      <c r="F1283">
        <f>_xlfn.XLOOKUP(Table1[[#This Row],[ProductID]],Products!A:A,Products!D:D,,0)</f>
        <v>125</v>
      </c>
      <c r="I1283">
        <v>399</v>
      </c>
      <c r="J1283">
        <v>359</v>
      </c>
      <c r="K1283" t="s">
        <v>1107</v>
      </c>
      <c r="L1283">
        <v>359</v>
      </c>
      <c r="M1283" t="s">
        <v>1098</v>
      </c>
      <c r="N1283" t="s">
        <v>1099</v>
      </c>
      <c r="O1283">
        <f>Table1[[#This Row],[Unit_Price]]*Table1[[#This Row],[Quantity]]</f>
        <v>125</v>
      </c>
    </row>
    <row r="1284" spans="1:15" x14ac:dyDescent="0.3">
      <c r="A1284" t="s">
        <v>2984</v>
      </c>
      <c r="B1284" t="s">
        <v>1933</v>
      </c>
      <c r="C1284" t="s">
        <v>317</v>
      </c>
      <c r="D1284" t="s">
        <v>1059</v>
      </c>
      <c r="E1284">
        <v>1</v>
      </c>
      <c r="F1284">
        <f>_xlfn.XLOOKUP(Table1[[#This Row],[ProductID]],Products!A:A,Products!D:D,,0)</f>
        <v>110</v>
      </c>
      <c r="I1284">
        <v>399</v>
      </c>
      <c r="J1284">
        <v>399</v>
      </c>
      <c r="K1284" t="s">
        <v>1102</v>
      </c>
      <c r="L1284">
        <v>399</v>
      </c>
      <c r="M1284" t="s">
        <v>1093</v>
      </c>
      <c r="N1284" t="s">
        <v>1123</v>
      </c>
      <c r="O1284">
        <f>Table1[[#This Row],[Unit_Price]]*Table1[[#This Row],[Quantity]]</f>
        <v>110</v>
      </c>
    </row>
    <row r="1285" spans="1:15" x14ac:dyDescent="0.3">
      <c r="A1285" t="s">
        <v>2985</v>
      </c>
      <c r="B1285" t="s">
        <v>2395</v>
      </c>
      <c r="C1285" t="s">
        <v>181</v>
      </c>
      <c r="D1285" t="s">
        <v>1055</v>
      </c>
      <c r="E1285">
        <v>2</v>
      </c>
      <c r="F1285">
        <f>_xlfn.XLOOKUP(Table1[[#This Row],[ProductID]],Products!A:A,Products!D:D,,0)</f>
        <v>75</v>
      </c>
      <c r="I1285">
        <v>299</v>
      </c>
      <c r="J1285">
        <v>299</v>
      </c>
      <c r="K1285" t="s">
        <v>1102</v>
      </c>
      <c r="L1285">
        <v>598</v>
      </c>
      <c r="M1285" t="s">
        <v>1098</v>
      </c>
      <c r="N1285" t="s">
        <v>1099</v>
      </c>
      <c r="O1285">
        <f>Table1[[#This Row],[Unit_Price]]*Table1[[#This Row],[Quantity]]</f>
        <v>150</v>
      </c>
    </row>
    <row r="1286" spans="1:15" x14ac:dyDescent="0.3">
      <c r="A1286" t="s">
        <v>2986</v>
      </c>
      <c r="B1286" t="s">
        <v>1327</v>
      </c>
      <c r="C1286" t="s">
        <v>943</v>
      </c>
      <c r="D1286" t="s">
        <v>1048</v>
      </c>
      <c r="E1286">
        <v>1</v>
      </c>
      <c r="F1286">
        <f>_xlfn.XLOOKUP(Table1[[#This Row],[ProductID]],Products!A:A,Products!D:D,,0)</f>
        <v>120</v>
      </c>
      <c r="I1286">
        <v>599</v>
      </c>
      <c r="J1286">
        <v>479</v>
      </c>
      <c r="K1286" t="s">
        <v>1097</v>
      </c>
      <c r="L1286">
        <v>479</v>
      </c>
      <c r="M1286" t="s">
        <v>1098</v>
      </c>
      <c r="N1286" t="s">
        <v>1099</v>
      </c>
      <c r="O1286">
        <f>Table1[[#This Row],[Unit_Price]]*Table1[[#This Row],[Quantity]]</f>
        <v>120</v>
      </c>
    </row>
    <row r="1287" spans="1:15" x14ac:dyDescent="0.3">
      <c r="A1287" t="s">
        <v>2987</v>
      </c>
      <c r="B1287" t="s">
        <v>1537</v>
      </c>
      <c r="C1287" t="s">
        <v>261</v>
      </c>
      <c r="D1287" t="s">
        <v>1057</v>
      </c>
      <c r="E1287">
        <v>3</v>
      </c>
      <c r="F1287">
        <f>_xlfn.XLOOKUP(Table1[[#This Row],[ProductID]],Products!A:A,Products!D:D,,0)</f>
        <v>130</v>
      </c>
      <c r="I1287">
        <v>549</v>
      </c>
      <c r="J1287">
        <v>549</v>
      </c>
      <c r="K1287" t="s">
        <v>1102</v>
      </c>
      <c r="L1287">
        <v>1647</v>
      </c>
      <c r="M1287" t="s">
        <v>1098</v>
      </c>
      <c r="N1287" t="s">
        <v>1099</v>
      </c>
      <c r="O1287">
        <f>Table1[[#This Row],[Unit_Price]]*Table1[[#This Row],[Quantity]]</f>
        <v>390</v>
      </c>
    </row>
    <row r="1288" spans="1:15" x14ac:dyDescent="0.3">
      <c r="A1288" t="s">
        <v>2988</v>
      </c>
      <c r="B1288" t="s">
        <v>1188</v>
      </c>
      <c r="C1288" t="s">
        <v>269</v>
      </c>
      <c r="D1288" t="s">
        <v>1073</v>
      </c>
      <c r="E1288">
        <v>1</v>
      </c>
      <c r="F1288">
        <f>_xlfn.XLOOKUP(Table1[[#This Row],[ProductID]],Products!A:A,Products!D:D,,0)</f>
        <v>100</v>
      </c>
      <c r="I1288">
        <v>349</v>
      </c>
      <c r="J1288">
        <v>279</v>
      </c>
      <c r="K1288" t="s">
        <v>1097</v>
      </c>
      <c r="L1288">
        <v>279</v>
      </c>
      <c r="M1288" t="s">
        <v>1093</v>
      </c>
      <c r="N1288" t="s">
        <v>1099</v>
      </c>
      <c r="O1288">
        <f>Table1[[#This Row],[Unit_Price]]*Table1[[#This Row],[Quantity]]</f>
        <v>100</v>
      </c>
    </row>
    <row r="1289" spans="1:15" x14ac:dyDescent="0.3">
      <c r="A1289" t="s">
        <v>2989</v>
      </c>
      <c r="B1289" t="s">
        <v>2496</v>
      </c>
      <c r="C1289" t="s">
        <v>177</v>
      </c>
      <c r="D1289" t="s">
        <v>1068</v>
      </c>
      <c r="E1289">
        <v>3</v>
      </c>
      <c r="F1289">
        <f>_xlfn.XLOOKUP(Table1[[#This Row],[ProductID]],Products!A:A,Products!D:D,,0)</f>
        <v>180</v>
      </c>
      <c r="I1289">
        <v>449</v>
      </c>
      <c r="J1289">
        <v>404</v>
      </c>
      <c r="K1289" t="s">
        <v>1107</v>
      </c>
      <c r="L1289">
        <v>1212</v>
      </c>
      <c r="M1289" t="s">
        <v>1093</v>
      </c>
      <c r="N1289" t="s">
        <v>1099</v>
      </c>
      <c r="O1289">
        <f>Table1[[#This Row],[Unit_Price]]*Table1[[#This Row],[Quantity]]</f>
        <v>540</v>
      </c>
    </row>
    <row r="1290" spans="1:15" x14ac:dyDescent="0.3">
      <c r="A1290" t="s">
        <v>2990</v>
      </c>
      <c r="B1290" t="s">
        <v>1283</v>
      </c>
      <c r="C1290" t="s">
        <v>585</v>
      </c>
      <c r="D1290" t="s">
        <v>1071</v>
      </c>
      <c r="E1290">
        <v>2</v>
      </c>
      <c r="F1290">
        <f>_xlfn.XLOOKUP(Table1[[#This Row],[ProductID]],Products!A:A,Products!D:D,,0)</f>
        <v>125</v>
      </c>
      <c r="I1290">
        <v>399</v>
      </c>
      <c r="J1290">
        <v>339</v>
      </c>
      <c r="K1290" t="s">
        <v>1092</v>
      </c>
      <c r="L1290">
        <v>678</v>
      </c>
      <c r="M1290" t="s">
        <v>1098</v>
      </c>
      <c r="N1290" t="s">
        <v>1099</v>
      </c>
      <c r="O1290">
        <f>Table1[[#This Row],[Unit_Price]]*Table1[[#This Row],[Quantity]]</f>
        <v>250</v>
      </c>
    </row>
    <row r="1291" spans="1:15" x14ac:dyDescent="0.3">
      <c r="A1291" t="s">
        <v>2991</v>
      </c>
      <c r="B1291" t="s">
        <v>1198</v>
      </c>
      <c r="C1291" t="s">
        <v>471</v>
      </c>
      <c r="D1291" t="s">
        <v>1053</v>
      </c>
      <c r="E1291">
        <v>1</v>
      </c>
      <c r="F1291">
        <f>_xlfn.XLOOKUP(Table1[[#This Row],[ProductID]],Products!A:A,Products!D:D,,0)</f>
        <v>200</v>
      </c>
      <c r="I1291">
        <v>899</v>
      </c>
      <c r="J1291">
        <v>764</v>
      </c>
      <c r="K1291" t="s">
        <v>1092</v>
      </c>
      <c r="L1291">
        <v>764</v>
      </c>
      <c r="M1291" t="s">
        <v>1098</v>
      </c>
      <c r="N1291" t="s">
        <v>1099</v>
      </c>
      <c r="O1291">
        <f>Table1[[#This Row],[Unit_Price]]*Table1[[#This Row],[Quantity]]</f>
        <v>200</v>
      </c>
    </row>
    <row r="1292" spans="1:15" x14ac:dyDescent="0.3">
      <c r="A1292" t="s">
        <v>2992</v>
      </c>
      <c r="B1292" t="s">
        <v>2993</v>
      </c>
      <c r="C1292" t="s">
        <v>505</v>
      </c>
      <c r="D1292" t="s">
        <v>1073</v>
      </c>
      <c r="E1292">
        <v>1</v>
      </c>
      <c r="F1292">
        <f>_xlfn.XLOOKUP(Table1[[#This Row],[ProductID]],Products!A:A,Products!D:D,,0)</f>
        <v>100</v>
      </c>
      <c r="I1292">
        <v>349</v>
      </c>
      <c r="J1292">
        <v>349</v>
      </c>
      <c r="K1292" t="s">
        <v>1102</v>
      </c>
      <c r="L1292">
        <v>349</v>
      </c>
      <c r="M1292" t="s">
        <v>1098</v>
      </c>
      <c r="N1292" t="s">
        <v>1099</v>
      </c>
      <c r="O1292">
        <f>Table1[[#This Row],[Unit_Price]]*Table1[[#This Row],[Quantity]]</f>
        <v>100</v>
      </c>
    </row>
    <row r="1293" spans="1:15" x14ac:dyDescent="0.3">
      <c r="A1293" t="s">
        <v>2994</v>
      </c>
      <c r="B1293" t="s">
        <v>1306</v>
      </c>
      <c r="C1293" t="s">
        <v>525</v>
      </c>
      <c r="D1293" t="s">
        <v>1059</v>
      </c>
      <c r="E1293">
        <v>1</v>
      </c>
      <c r="F1293">
        <f>_xlfn.XLOOKUP(Table1[[#This Row],[ProductID]],Products!A:A,Products!D:D,,0)</f>
        <v>110</v>
      </c>
      <c r="I1293">
        <v>399</v>
      </c>
      <c r="J1293">
        <v>359</v>
      </c>
      <c r="K1293" t="s">
        <v>1107</v>
      </c>
      <c r="L1293">
        <v>359</v>
      </c>
      <c r="M1293" t="s">
        <v>1098</v>
      </c>
      <c r="N1293" t="s">
        <v>1099</v>
      </c>
      <c r="O1293">
        <f>Table1[[#This Row],[Unit_Price]]*Table1[[#This Row],[Quantity]]</f>
        <v>110</v>
      </c>
    </row>
    <row r="1294" spans="1:15" x14ac:dyDescent="0.3">
      <c r="A1294" t="s">
        <v>2995</v>
      </c>
      <c r="B1294" t="s">
        <v>1847</v>
      </c>
      <c r="C1294" t="s">
        <v>851</v>
      </c>
      <c r="D1294" t="s">
        <v>1059</v>
      </c>
      <c r="E1294">
        <v>1</v>
      </c>
      <c r="F1294">
        <f>_xlfn.XLOOKUP(Table1[[#This Row],[ProductID]],Products!A:A,Products!D:D,,0)</f>
        <v>110</v>
      </c>
      <c r="I1294">
        <v>399</v>
      </c>
      <c r="J1294">
        <v>319</v>
      </c>
      <c r="K1294" t="s">
        <v>1097</v>
      </c>
      <c r="L1294">
        <v>319</v>
      </c>
      <c r="M1294" t="s">
        <v>1098</v>
      </c>
      <c r="N1294" t="s">
        <v>1123</v>
      </c>
      <c r="O1294">
        <f>Table1[[#This Row],[Unit_Price]]*Table1[[#This Row],[Quantity]]</f>
        <v>110</v>
      </c>
    </row>
    <row r="1295" spans="1:15" x14ac:dyDescent="0.3">
      <c r="A1295" t="s">
        <v>2996</v>
      </c>
      <c r="B1295" t="s">
        <v>1741</v>
      </c>
      <c r="C1295" t="s">
        <v>679</v>
      </c>
      <c r="D1295" t="s">
        <v>1071</v>
      </c>
      <c r="E1295">
        <v>1</v>
      </c>
      <c r="F1295">
        <f>_xlfn.XLOOKUP(Table1[[#This Row],[ProductID]],Products!A:A,Products!D:D,,0)</f>
        <v>125</v>
      </c>
      <c r="I1295">
        <v>399</v>
      </c>
      <c r="J1295">
        <v>359</v>
      </c>
      <c r="K1295" t="s">
        <v>1107</v>
      </c>
      <c r="L1295">
        <v>359</v>
      </c>
      <c r="M1295" t="s">
        <v>1098</v>
      </c>
      <c r="N1295" t="s">
        <v>1099</v>
      </c>
      <c r="O1295">
        <f>Table1[[#This Row],[Unit_Price]]*Table1[[#This Row],[Quantity]]</f>
        <v>125</v>
      </c>
    </row>
    <row r="1296" spans="1:15" x14ac:dyDescent="0.3">
      <c r="A1296" t="s">
        <v>2997</v>
      </c>
      <c r="B1296" t="s">
        <v>2859</v>
      </c>
      <c r="C1296" t="s">
        <v>187</v>
      </c>
      <c r="D1296" t="s">
        <v>1075</v>
      </c>
      <c r="E1296">
        <v>1</v>
      </c>
      <c r="F1296">
        <f>_xlfn.XLOOKUP(Table1[[#This Row],[ProductID]],Products!A:A,Products!D:D,,0)</f>
        <v>80</v>
      </c>
      <c r="I1296">
        <v>499</v>
      </c>
      <c r="J1296">
        <v>424</v>
      </c>
      <c r="K1296" t="s">
        <v>1092</v>
      </c>
      <c r="L1296">
        <v>424</v>
      </c>
      <c r="M1296" t="s">
        <v>1093</v>
      </c>
      <c r="N1296" t="s">
        <v>1094</v>
      </c>
      <c r="O1296">
        <f>Table1[[#This Row],[Unit_Price]]*Table1[[#This Row],[Quantity]]</f>
        <v>80</v>
      </c>
    </row>
    <row r="1297" spans="1:15" x14ac:dyDescent="0.3">
      <c r="A1297" t="s">
        <v>2998</v>
      </c>
      <c r="B1297" t="s">
        <v>2999</v>
      </c>
      <c r="C1297" t="s">
        <v>809</v>
      </c>
      <c r="D1297" t="s">
        <v>1064</v>
      </c>
      <c r="E1297">
        <v>1</v>
      </c>
      <c r="F1297">
        <f>_xlfn.XLOOKUP(Table1[[#This Row],[ProductID]],Products!A:A,Products!D:D,,0)</f>
        <v>160</v>
      </c>
      <c r="I1297">
        <v>699</v>
      </c>
      <c r="J1297">
        <v>699</v>
      </c>
      <c r="K1297" t="s">
        <v>1102</v>
      </c>
      <c r="L1297">
        <v>699</v>
      </c>
      <c r="M1297" t="s">
        <v>1098</v>
      </c>
      <c r="N1297" t="s">
        <v>1099</v>
      </c>
      <c r="O1297">
        <f>Table1[[#This Row],[Unit_Price]]*Table1[[#This Row],[Quantity]]</f>
        <v>160</v>
      </c>
    </row>
    <row r="1298" spans="1:15" x14ac:dyDescent="0.3">
      <c r="A1298" t="s">
        <v>3000</v>
      </c>
      <c r="B1298" t="s">
        <v>1570</v>
      </c>
      <c r="C1298" t="s">
        <v>257</v>
      </c>
      <c r="D1298" t="s">
        <v>1075</v>
      </c>
      <c r="E1298">
        <v>1</v>
      </c>
      <c r="F1298">
        <f>_xlfn.XLOOKUP(Table1[[#This Row],[ProductID]],Products!A:A,Products!D:D,,0)</f>
        <v>80</v>
      </c>
      <c r="I1298">
        <v>499</v>
      </c>
      <c r="J1298">
        <v>399</v>
      </c>
      <c r="K1298" t="s">
        <v>1097</v>
      </c>
      <c r="L1298">
        <v>399</v>
      </c>
      <c r="M1298" t="s">
        <v>1093</v>
      </c>
      <c r="N1298" t="s">
        <v>1094</v>
      </c>
      <c r="O1298">
        <f>Table1[[#This Row],[Unit_Price]]*Table1[[#This Row],[Quantity]]</f>
        <v>80</v>
      </c>
    </row>
    <row r="1299" spans="1:15" x14ac:dyDescent="0.3">
      <c r="A1299" t="s">
        <v>3001</v>
      </c>
      <c r="B1299" t="s">
        <v>1447</v>
      </c>
      <c r="C1299" t="s">
        <v>108</v>
      </c>
      <c r="D1299" t="s">
        <v>1066</v>
      </c>
      <c r="E1299">
        <v>1</v>
      </c>
      <c r="F1299">
        <f>_xlfn.XLOOKUP(Table1[[#This Row],[ProductID]],Products!A:A,Products!D:D,,0)</f>
        <v>140</v>
      </c>
      <c r="I1299">
        <v>499</v>
      </c>
      <c r="J1299">
        <v>399</v>
      </c>
      <c r="K1299" t="s">
        <v>1097</v>
      </c>
      <c r="L1299">
        <v>399</v>
      </c>
      <c r="M1299" t="s">
        <v>1098</v>
      </c>
      <c r="N1299" t="s">
        <v>1099</v>
      </c>
      <c r="O1299">
        <f>Table1[[#This Row],[Unit_Price]]*Table1[[#This Row],[Quantity]]</f>
        <v>140</v>
      </c>
    </row>
    <row r="1300" spans="1:15" x14ac:dyDescent="0.3">
      <c r="A1300" t="s">
        <v>3002</v>
      </c>
      <c r="B1300" t="s">
        <v>2208</v>
      </c>
      <c r="C1300" t="s">
        <v>257</v>
      </c>
      <c r="D1300" t="s">
        <v>1068</v>
      </c>
      <c r="E1300">
        <v>1</v>
      </c>
      <c r="F1300">
        <f>_xlfn.XLOOKUP(Table1[[#This Row],[ProductID]],Products!A:A,Products!D:D,,0)</f>
        <v>180</v>
      </c>
      <c r="I1300">
        <v>449</v>
      </c>
      <c r="J1300">
        <v>449</v>
      </c>
      <c r="K1300" t="s">
        <v>1102</v>
      </c>
      <c r="L1300">
        <v>449</v>
      </c>
      <c r="M1300" t="s">
        <v>1126</v>
      </c>
      <c r="N1300" t="s">
        <v>1099</v>
      </c>
      <c r="O1300">
        <f>Table1[[#This Row],[Unit_Price]]*Table1[[#This Row],[Quantity]]</f>
        <v>180</v>
      </c>
    </row>
    <row r="1301" spans="1:15" x14ac:dyDescent="0.3">
      <c r="A1301" t="s">
        <v>3003</v>
      </c>
      <c r="B1301" t="s">
        <v>1553</v>
      </c>
      <c r="C1301" t="s">
        <v>197</v>
      </c>
      <c r="D1301" t="s">
        <v>1066</v>
      </c>
      <c r="E1301">
        <v>1</v>
      </c>
      <c r="F1301">
        <f>_xlfn.XLOOKUP(Table1[[#This Row],[ProductID]],Products!A:A,Products!D:D,,0)</f>
        <v>140</v>
      </c>
      <c r="I1301">
        <v>499</v>
      </c>
      <c r="J1301">
        <v>424</v>
      </c>
      <c r="K1301" t="s">
        <v>1092</v>
      </c>
      <c r="L1301">
        <v>424</v>
      </c>
      <c r="M1301" t="s">
        <v>1093</v>
      </c>
      <c r="N1301" t="s">
        <v>1099</v>
      </c>
      <c r="O1301">
        <f>Table1[[#This Row],[Unit_Price]]*Table1[[#This Row],[Quantity]]</f>
        <v>140</v>
      </c>
    </row>
    <row r="1302" spans="1:15" x14ac:dyDescent="0.3">
      <c r="A1302" t="s">
        <v>3004</v>
      </c>
      <c r="B1302" t="s">
        <v>1847</v>
      </c>
      <c r="C1302" t="s">
        <v>83</v>
      </c>
      <c r="D1302" t="s">
        <v>1053</v>
      </c>
      <c r="E1302">
        <v>1</v>
      </c>
      <c r="F1302">
        <f>_xlfn.XLOOKUP(Table1[[#This Row],[ProductID]],Products!A:A,Products!D:D,,0)</f>
        <v>200</v>
      </c>
      <c r="I1302">
        <v>899</v>
      </c>
      <c r="J1302">
        <v>899</v>
      </c>
      <c r="K1302" t="s">
        <v>1102</v>
      </c>
      <c r="L1302">
        <v>899</v>
      </c>
      <c r="M1302" t="s">
        <v>1098</v>
      </c>
      <c r="N1302" t="s">
        <v>1099</v>
      </c>
      <c r="O1302">
        <f>Table1[[#This Row],[Unit_Price]]*Table1[[#This Row],[Quantity]]</f>
        <v>200</v>
      </c>
    </row>
    <row r="1303" spans="1:15" x14ac:dyDescent="0.3">
      <c r="A1303" t="s">
        <v>3005</v>
      </c>
      <c r="B1303" t="s">
        <v>1575</v>
      </c>
      <c r="C1303" t="s">
        <v>693</v>
      </c>
      <c r="D1303" t="s">
        <v>1051</v>
      </c>
      <c r="E1303">
        <v>1</v>
      </c>
      <c r="F1303">
        <f>_xlfn.XLOOKUP(Table1[[#This Row],[ProductID]],Products!A:A,Products!D:D,,0)</f>
        <v>150</v>
      </c>
      <c r="I1303">
        <v>499</v>
      </c>
      <c r="J1303">
        <v>499</v>
      </c>
      <c r="K1303" t="s">
        <v>1102</v>
      </c>
      <c r="L1303">
        <v>499</v>
      </c>
      <c r="M1303" t="s">
        <v>1093</v>
      </c>
      <c r="N1303" t="s">
        <v>1094</v>
      </c>
      <c r="O1303">
        <f>Table1[[#This Row],[Unit_Price]]*Table1[[#This Row],[Quantity]]</f>
        <v>150</v>
      </c>
    </row>
    <row r="1304" spans="1:15" x14ac:dyDescent="0.3">
      <c r="A1304" t="s">
        <v>3006</v>
      </c>
      <c r="B1304" t="s">
        <v>1604</v>
      </c>
      <c r="C1304" t="s">
        <v>291</v>
      </c>
      <c r="D1304" t="s">
        <v>1059</v>
      </c>
      <c r="E1304">
        <v>3</v>
      </c>
      <c r="F1304">
        <f>_xlfn.XLOOKUP(Table1[[#This Row],[ProductID]],Products!A:A,Products!D:D,,0)</f>
        <v>110</v>
      </c>
      <c r="I1304">
        <v>399</v>
      </c>
      <c r="J1304">
        <v>399</v>
      </c>
      <c r="K1304" t="s">
        <v>1102</v>
      </c>
      <c r="L1304">
        <v>1197</v>
      </c>
      <c r="M1304" t="s">
        <v>1093</v>
      </c>
      <c r="N1304" t="s">
        <v>1099</v>
      </c>
      <c r="O1304">
        <f>Table1[[#This Row],[Unit_Price]]*Table1[[#This Row],[Quantity]]</f>
        <v>330</v>
      </c>
    </row>
    <row r="1305" spans="1:15" x14ac:dyDescent="0.3">
      <c r="A1305" t="s">
        <v>3007</v>
      </c>
      <c r="B1305" t="s">
        <v>2065</v>
      </c>
      <c r="C1305" t="s">
        <v>110</v>
      </c>
      <c r="D1305" t="s">
        <v>1048</v>
      </c>
      <c r="E1305">
        <v>1</v>
      </c>
      <c r="F1305">
        <f>_xlfn.XLOOKUP(Table1[[#This Row],[ProductID]],Products!A:A,Products!D:D,,0)</f>
        <v>120</v>
      </c>
      <c r="I1305">
        <v>599</v>
      </c>
      <c r="J1305">
        <v>539</v>
      </c>
      <c r="K1305" t="s">
        <v>1107</v>
      </c>
      <c r="L1305">
        <v>539</v>
      </c>
      <c r="M1305" t="s">
        <v>1093</v>
      </c>
      <c r="N1305" t="s">
        <v>1099</v>
      </c>
      <c r="O1305">
        <f>Table1[[#This Row],[Unit_Price]]*Table1[[#This Row],[Quantity]]</f>
        <v>120</v>
      </c>
    </row>
    <row r="1306" spans="1:15" x14ac:dyDescent="0.3">
      <c r="A1306" t="s">
        <v>3008</v>
      </c>
      <c r="B1306" t="s">
        <v>3009</v>
      </c>
      <c r="C1306" t="s">
        <v>945</v>
      </c>
      <c r="D1306" t="s">
        <v>1057</v>
      </c>
      <c r="E1306">
        <v>1</v>
      </c>
      <c r="F1306">
        <f>_xlfn.XLOOKUP(Table1[[#This Row],[ProductID]],Products!A:A,Products!D:D,,0)</f>
        <v>130</v>
      </c>
      <c r="I1306">
        <v>549</v>
      </c>
      <c r="J1306">
        <v>439</v>
      </c>
      <c r="K1306" t="s">
        <v>1097</v>
      </c>
      <c r="L1306">
        <v>439</v>
      </c>
      <c r="M1306" t="s">
        <v>1093</v>
      </c>
      <c r="N1306" t="s">
        <v>1094</v>
      </c>
      <c r="O1306">
        <f>Table1[[#This Row],[Unit_Price]]*Table1[[#This Row],[Quantity]]</f>
        <v>130</v>
      </c>
    </row>
    <row r="1307" spans="1:15" x14ac:dyDescent="0.3">
      <c r="A1307" t="s">
        <v>3010</v>
      </c>
      <c r="B1307" t="s">
        <v>2472</v>
      </c>
      <c r="C1307" t="s">
        <v>331</v>
      </c>
      <c r="D1307" t="s">
        <v>1051</v>
      </c>
      <c r="E1307">
        <v>1</v>
      </c>
      <c r="F1307">
        <f>_xlfn.XLOOKUP(Table1[[#This Row],[ProductID]],Products!A:A,Products!D:D,,0)</f>
        <v>150</v>
      </c>
      <c r="I1307">
        <v>499</v>
      </c>
      <c r="J1307">
        <v>499</v>
      </c>
      <c r="K1307" t="s">
        <v>1102</v>
      </c>
      <c r="L1307">
        <v>499</v>
      </c>
      <c r="M1307" t="s">
        <v>1093</v>
      </c>
      <c r="N1307" t="s">
        <v>1094</v>
      </c>
      <c r="O1307">
        <f>Table1[[#This Row],[Unit_Price]]*Table1[[#This Row],[Quantity]]</f>
        <v>150</v>
      </c>
    </row>
    <row r="1308" spans="1:15" x14ac:dyDescent="0.3">
      <c r="A1308" t="s">
        <v>3011</v>
      </c>
      <c r="B1308" t="s">
        <v>1215</v>
      </c>
      <c r="C1308" t="s">
        <v>983</v>
      </c>
      <c r="D1308" t="s">
        <v>1055</v>
      </c>
      <c r="E1308">
        <v>4</v>
      </c>
      <c r="F1308">
        <f>_xlfn.XLOOKUP(Table1[[#This Row],[ProductID]],Products!A:A,Products!D:D,,0)</f>
        <v>75</v>
      </c>
      <c r="I1308">
        <v>299</v>
      </c>
      <c r="J1308">
        <v>269</v>
      </c>
      <c r="K1308" t="s">
        <v>1107</v>
      </c>
      <c r="L1308">
        <v>1076</v>
      </c>
      <c r="M1308" t="s">
        <v>1098</v>
      </c>
      <c r="N1308" t="s">
        <v>1099</v>
      </c>
      <c r="O1308">
        <f>Table1[[#This Row],[Unit_Price]]*Table1[[#This Row],[Quantity]]</f>
        <v>300</v>
      </c>
    </row>
    <row r="1309" spans="1:15" x14ac:dyDescent="0.3">
      <c r="A1309" t="s">
        <v>3012</v>
      </c>
      <c r="B1309" t="s">
        <v>2431</v>
      </c>
      <c r="C1309" t="s">
        <v>114</v>
      </c>
      <c r="D1309" t="s">
        <v>1071</v>
      </c>
      <c r="E1309">
        <v>2</v>
      </c>
      <c r="F1309">
        <f>_xlfn.XLOOKUP(Table1[[#This Row],[ProductID]],Products!A:A,Products!D:D,,0)</f>
        <v>125</v>
      </c>
      <c r="I1309">
        <v>399</v>
      </c>
      <c r="J1309">
        <v>399</v>
      </c>
      <c r="K1309" t="s">
        <v>1102</v>
      </c>
      <c r="L1309">
        <v>798</v>
      </c>
      <c r="M1309" t="s">
        <v>1093</v>
      </c>
      <c r="N1309" t="s">
        <v>1099</v>
      </c>
      <c r="O1309">
        <f>Table1[[#This Row],[Unit_Price]]*Table1[[#This Row],[Quantity]]</f>
        <v>250</v>
      </c>
    </row>
    <row r="1310" spans="1:15" x14ac:dyDescent="0.3">
      <c r="A1310" t="s">
        <v>3013</v>
      </c>
      <c r="B1310" t="s">
        <v>1707</v>
      </c>
      <c r="C1310" t="s">
        <v>439</v>
      </c>
      <c r="D1310" t="s">
        <v>1068</v>
      </c>
      <c r="E1310">
        <v>1</v>
      </c>
      <c r="F1310">
        <f>_xlfn.XLOOKUP(Table1[[#This Row],[ProductID]],Products!A:A,Products!D:D,,0)</f>
        <v>180</v>
      </c>
      <c r="I1310">
        <v>449</v>
      </c>
      <c r="J1310">
        <v>449</v>
      </c>
      <c r="K1310" t="s">
        <v>1102</v>
      </c>
      <c r="L1310">
        <v>449</v>
      </c>
      <c r="M1310" t="s">
        <v>1093</v>
      </c>
      <c r="N1310" t="s">
        <v>1094</v>
      </c>
      <c r="O1310">
        <f>Table1[[#This Row],[Unit_Price]]*Table1[[#This Row],[Quantity]]</f>
        <v>180</v>
      </c>
    </row>
    <row r="1311" spans="1:15" x14ac:dyDescent="0.3">
      <c r="A1311" t="s">
        <v>3014</v>
      </c>
      <c r="B1311" t="s">
        <v>2324</v>
      </c>
      <c r="C1311" t="s">
        <v>519</v>
      </c>
      <c r="D1311" t="s">
        <v>1068</v>
      </c>
      <c r="E1311">
        <v>2</v>
      </c>
      <c r="F1311">
        <f>_xlfn.XLOOKUP(Table1[[#This Row],[ProductID]],Products!A:A,Products!D:D,,0)</f>
        <v>180</v>
      </c>
      <c r="I1311">
        <v>449</v>
      </c>
      <c r="J1311">
        <v>449</v>
      </c>
      <c r="K1311" t="s">
        <v>1102</v>
      </c>
      <c r="L1311">
        <v>898</v>
      </c>
      <c r="M1311" t="s">
        <v>1093</v>
      </c>
      <c r="N1311" t="s">
        <v>1094</v>
      </c>
      <c r="O1311">
        <f>Table1[[#This Row],[Unit_Price]]*Table1[[#This Row],[Quantity]]</f>
        <v>360</v>
      </c>
    </row>
    <row r="1312" spans="1:15" x14ac:dyDescent="0.3">
      <c r="A1312" t="s">
        <v>3015</v>
      </c>
      <c r="B1312" t="s">
        <v>1816</v>
      </c>
      <c r="C1312" t="s">
        <v>138</v>
      </c>
      <c r="D1312" t="s">
        <v>1066</v>
      </c>
      <c r="E1312">
        <v>2</v>
      </c>
      <c r="F1312">
        <f>_xlfn.XLOOKUP(Table1[[#This Row],[ProductID]],Products!A:A,Products!D:D,,0)</f>
        <v>140</v>
      </c>
      <c r="I1312">
        <v>499</v>
      </c>
      <c r="J1312">
        <v>449</v>
      </c>
      <c r="K1312" t="s">
        <v>1107</v>
      </c>
      <c r="L1312">
        <v>898</v>
      </c>
      <c r="M1312" t="s">
        <v>1093</v>
      </c>
      <c r="N1312" t="s">
        <v>1094</v>
      </c>
      <c r="O1312">
        <f>Table1[[#This Row],[Unit_Price]]*Table1[[#This Row],[Quantity]]</f>
        <v>280</v>
      </c>
    </row>
    <row r="1313" spans="1:15" x14ac:dyDescent="0.3">
      <c r="A1313" t="s">
        <v>3016</v>
      </c>
      <c r="B1313" t="s">
        <v>1296</v>
      </c>
      <c r="C1313" t="s">
        <v>20</v>
      </c>
      <c r="D1313" t="s">
        <v>1064</v>
      </c>
      <c r="E1313">
        <v>3</v>
      </c>
      <c r="F1313">
        <f>_xlfn.XLOOKUP(Table1[[#This Row],[ProductID]],Products!A:A,Products!D:D,,0)</f>
        <v>160</v>
      </c>
      <c r="I1313">
        <v>699</v>
      </c>
      <c r="J1313">
        <v>699</v>
      </c>
      <c r="K1313" t="s">
        <v>1102</v>
      </c>
      <c r="L1313">
        <v>2097</v>
      </c>
      <c r="M1313" t="s">
        <v>1098</v>
      </c>
      <c r="N1313" t="s">
        <v>1099</v>
      </c>
      <c r="O1313">
        <f>Table1[[#This Row],[Unit_Price]]*Table1[[#This Row],[Quantity]]</f>
        <v>480</v>
      </c>
    </row>
    <row r="1314" spans="1:15" x14ac:dyDescent="0.3">
      <c r="A1314" t="s">
        <v>3017</v>
      </c>
      <c r="B1314" t="s">
        <v>2418</v>
      </c>
      <c r="C1314" t="s">
        <v>725</v>
      </c>
      <c r="D1314" t="s">
        <v>1073</v>
      </c>
      <c r="E1314">
        <v>1</v>
      </c>
      <c r="F1314">
        <f>_xlfn.XLOOKUP(Table1[[#This Row],[ProductID]],Products!A:A,Products!D:D,,0)</f>
        <v>100</v>
      </c>
      <c r="I1314">
        <v>349</v>
      </c>
      <c r="J1314">
        <v>349</v>
      </c>
      <c r="K1314" t="s">
        <v>1102</v>
      </c>
      <c r="L1314">
        <v>349</v>
      </c>
      <c r="M1314" t="s">
        <v>1093</v>
      </c>
      <c r="N1314" t="s">
        <v>1094</v>
      </c>
      <c r="O1314">
        <f>Table1[[#This Row],[Unit_Price]]*Table1[[#This Row],[Quantity]]</f>
        <v>100</v>
      </c>
    </row>
    <row r="1315" spans="1:15" x14ac:dyDescent="0.3">
      <c r="A1315" t="s">
        <v>3018</v>
      </c>
      <c r="B1315" t="s">
        <v>1457</v>
      </c>
      <c r="C1315" t="s">
        <v>1013</v>
      </c>
      <c r="D1315" t="s">
        <v>1075</v>
      </c>
      <c r="E1315">
        <v>2</v>
      </c>
      <c r="F1315">
        <f>_xlfn.XLOOKUP(Table1[[#This Row],[ProductID]],Products!A:A,Products!D:D,,0)</f>
        <v>80</v>
      </c>
      <c r="I1315">
        <v>499</v>
      </c>
      <c r="J1315">
        <v>449</v>
      </c>
      <c r="K1315" t="s">
        <v>1107</v>
      </c>
      <c r="L1315">
        <v>898</v>
      </c>
      <c r="M1315" t="s">
        <v>1093</v>
      </c>
      <c r="N1315" t="s">
        <v>1099</v>
      </c>
      <c r="O1315">
        <f>Table1[[#This Row],[Unit_Price]]*Table1[[#This Row],[Quantity]]</f>
        <v>160</v>
      </c>
    </row>
    <row r="1316" spans="1:15" x14ac:dyDescent="0.3">
      <c r="A1316" t="s">
        <v>3019</v>
      </c>
      <c r="B1316" t="s">
        <v>2032</v>
      </c>
      <c r="C1316" t="s">
        <v>997</v>
      </c>
      <c r="D1316" t="s">
        <v>1066</v>
      </c>
      <c r="E1316">
        <v>1</v>
      </c>
      <c r="F1316">
        <f>_xlfn.XLOOKUP(Table1[[#This Row],[ProductID]],Products!A:A,Products!D:D,,0)</f>
        <v>140</v>
      </c>
      <c r="I1316">
        <v>499</v>
      </c>
      <c r="J1316">
        <v>449</v>
      </c>
      <c r="K1316" t="s">
        <v>1107</v>
      </c>
      <c r="L1316">
        <v>449</v>
      </c>
      <c r="M1316" t="s">
        <v>1098</v>
      </c>
      <c r="N1316" t="s">
        <v>1099</v>
      </c>
      <c r="O1316">
        <f>Table1[[#This Row],[Unit_Price]]*Table1[[#This Row],[Quantity]]</f>
        <v>140</v>
      </c>
    </row>
    <row r="1317" spans="1:15" x14ac:dyDescent="0.3">
      <c r="A1317" t="s">
        <v>3020</v>
      </c>
      <c r="B1317" t="s">
        <v>2730</v>
      </c>
      <c r="C1317" t="s">
        <v>329</v>
      </c>
      <c r="D1317" t="s">
        <v>1059</v>
      </c>
      <c r="E1317">
        <v>1</v>
      </c>
      <c r="F1317">
        <f>_xlfn.XLOOKUP(Table1[[#This Row],[ProductID]],Products!A:A,Products!D:D,,0)</f>
        <v>110</v>
      </c>
      <c r="I1317">
        <v>399</v>
      </c>
      <c r="J1317">
        <v>399</v>
      </c>
      <c r="K1317" t="s">
        <v>1102</v>
      </c>
      <c r="L1317">
        <v>399</v>
      </c>
      <c r="M1317" t="s">
        <v>1118</v>
      </c>
      <c r="N1317" t="s">
        <v>1099</v>
      </c>
      <c r="O1317">
        <f>Table1[[#This Row],[Unit_Price]]*Table1[[#This Row],[Quantity]]</f>
        <v>110</v>
      </c>
    </row>
    <row r="1318" spans="1:15" x14ac:dyDescent="0.3">
      <c r="A1318" t="s">
        <v>3021</v>
      </c>
      <c r="B1318" t="s">
        <v>2403</v>
      </c>
      <c r="C1318" t="s">
        <v>745</v>
      </c>
      <c r="D1318" t="s">
        <v>1064</v>
      </c>
      <c r="E1318">
        <v>1</v>
      </c>
      <c r="F1318">
        <f>_xlfn.XLOOKUP(Table1[[#This Row],[ProductID]],Products!A:A,Products!D:D,,0)</f>
        <v>160</v>
      </c>
      <c r="I1318">
        <v>699</v>
      </c>
      <c r="J1318">
        <v>699</v>
      </c>
      <c r="K1318" t="s">
        <v>1102</v>
      </c>
      <c r="L1318">
        <v>699</v>
      </c>
      <c r="M1318" t="s">
        <v>1093</v>
      </c>
      <c r="N1318" t="s">
        <v>1099</v>
      </c>
      <c r="O1318">
        <f>Table1[[#This Row],[Unit_Price]]*Table1[[#This Row],[Quantity]]</f>
        <v>160</v>
      </c>
    </row>
    <row r="1319" spans="1:15" x14ac:dyDescent="0.3">
      <c r="A1319" t="s">
        <v>3022</v>
      </c>
      <c r="B1319" t="s">
        <v>2012</v>
      </c>
      <c r="C1319" t="s">
        <v>513</v>
      </c>
      <c r="D1319" t="s">
        <v>1071</v>
      </c>
      <c r="E1319">
        <v>1</v>
      </c>
      <c r="F1319">
        <f>_xlfn.XLOOKUP(Table1[[#This Row],[ProductID]],Products!A:A,Products!D:D,,0)</f>
        <v>125</v>
      </c>
      <c r="I1319">
        <v>399</v>
      </c>
      <c r="J1319">
        <v>359</v>
      </c>
      <c r="K1319" t="s">
        <v>1107</v>
      </c>
      <c r="L1319">
        <v>359</v>
      </c>
      <c r="M1319" t="s">
        <v>1098</v>
      </c>
      <c r="N1319" t="s">
        <v>1099</v>
      </c>
      <c r="O1319">
        <f>Table1[[#This Row],[Unit_Price]]*Table1[[#This Row],[Quantity]]</f>
        <v>125</v>
      </c>
    </row>
    <row r="1320" spans="1:15" x14ac:dyDescent="0.3">
      <c r="A1320" t="s">
        <v>3023</v>
      </c>
      <c r="B1320" t="s">
        <v>2304</v>
      </c>
      <c r="C1320" t="s">
        <v>619</v>
      </c>
      <c r="D1320" t="s">
        <v>1048</v>
      </c>
      <c r="E1320">
        <v>3</v>
      </c>
      <c r="F1320">
        <f>_xlfn.XLOOKUP(Table1[[#This Row],[ProductID]],Products!A:A,Products!D:D,,0)</f>
        <v>120</v>
      </c>
      <c r="I1320">
        <v>599</v>
      </c>
      <c r="J1320">
        <v>539</v>
      </c>
      <c r="K1320" t="s">
        <v>1107</v>
      </c>
      <c r="L1320">
        <v>1617</v>
      </c>
      <c r="M1320" t="s">
        <v>1126</v>
      </c>
      <c r="N1320" t="s">
        <v>1094</v>
      </c>
      <c r="O1320">
        <f>Table1[[#This Row],[Unit_Price]]*Table1[[#This Row],[Quantity]]</f>
        <v>360</v>
      </c>
    </row>
    <row r="1321" spans="1:15" x14ac:dyDescent="0.3">
      <c r="A1321" t="s">
        <v>3024</v>
      </c>
      <c r="B1321" t="s">
        <v>1488</v>
      </c>
      <c r="C1321" t="s">
        <v>83</v>
      </c>
      <c r="D1321" t="s">
        <v>1055</v>
      </c>
      <c r="E1321">
        <v>1</v>
      </c>
      <c r="F1321">
        <f>_xlfn.XLOOKUP(Table1[[#This Row],[ProductID]],Products!A:A,Products!D:D,,0)</f>
        <v>75</v>
      </c>
      <c r="I1321">
        <v>299</v>
      </c>
      <c r="J1321">
        <v>269</v>
      </c>
      <c r="K1321" t="s">
        <v>1107</v>
      </c>
      <c r="L1321">
        <v>269</v>
      </c>
      <c r="M1321" t="s">
        <v>1098</v>
      </c>
      <c r="N1321" t="s">
        <v>1099</v>
      </c>
      <c r="O1321">
        <f>Table1[[#This Row],[Unit_Price]]*Table1[[#This Row],[Quantity]]</f>
        <v>75</v>
      </c>
    </row>
    <row r="1322" spans="1:15" x14ac:dyDescent="0.3">
      <c r="A1322" t="s">
        <v>3025</v>
      </c>
      <c r="B1322" t="s">
        <v>3026</v>
      </c>
      <c r="C1322" t="s">
        <v>165</v>
      </c>
      <c r="D1322" t="s">
        <v>1053</v>
      </c>
      <c r="E1322">
        <v>2</v>
      </c>
      <c r="F1322">
        <f>_xlfn.XLOOKUP(Table1[[#This Row],[ProductID]],Products!A:A,Products!D:D,,0)</f>
        <v>200</v>
      </c>
      <c r="I1322">
        <v>899</v>
      </c>
      <c r="J1322">
        <v>809</v>
      </c>
      <c r="K1322" t="s">
        <v>1107</v>
      </c>
      <c r="L1322">
        <v>1618</v>
      </c>
      <c r="M1322" t="s">
        <v>1093</v>
      </c>
      <c r="N1322" t="s">
        <v>1099</v>
      </c>
      <c r="O1322">
        <f>Table1[[#This Row],[Unit_Price]]*Table1[[#This Row],[Quantity]]</f>
        <v>400</v>
      </c>
    </row>
    <row r="1323" spans="1:15" x14ac:dyDescent="0.3">
      <c r="A1323" t="s">
        <v>3027</v>
      </c>
      <c r="B1323" t="s">
        <v>2658</v>
      </c>
      <c r="C1323" t="s">
        <v>419</v>
      </c>
      <c r="D1323" t="s">
        <v>1062</v>
      </c>
      <c r="E1323">
        <v>2</v>
      </c>
      <c r="F1323">
        <f>_xlfn.XLOOKUP(Table1[[#This Row],[ProductID]],Products!A:A,Products!D:D,,0)</f>
        <v>95</v>
      </c>
      <c r="I1323">
        <v>349</v>
      </c>
      <c r="J1323">
        <v>349</v>
      </c>
      <c r="K1323" t="s">
        <v>1102</v>
      </c>
      <c r="L1323">
        <v>698</v>
      </c>
      <c r="M1323" t="s">
        <v>1126</v>
      </c>
      <c r="N1323" t="s">
        <v>1099</v>
      </c>
      <c r="O1323">
        <f>Table1[[#This Row],[Unit_Price]]*Table1[[#This Row],[Quantity]]</f>
        <v>190</v>
      </c>
    </row>
    <row r="1324" spans="1:15" x14ac:dyDescent="0.3">
      <c r="A1324" t="s">
        <v>3028</v>
      </c>
      <c r="B1324" t="s">
        <v>2539</v>
      </c>
      <c r="C1324" t="s">
        <v>259</v>
      </c>
      <c r="D1324" t="s">
        <v>1048</v>
      </c>
      <c r="E1324">
        <v>2</v>
      </c>
      <c r="F1324">
        <f>_xlfn.XLOOKUP(Table1[[#This Row],[ProductID]],Products!A:A,Products!D:D,,0)</f>
        <v>120</v>
      </c>
      <c r="I1324">
        <v>599</v>
      </c>
      <c r="J1324">
        <v>539</v>
      </c>
      <c r="K1324" t="s">
        <v>1107</v>
      </c>
      <c r="L1324">
        <v>1078</v>
      </c>
      <c r="M1324" t="s">
        <v>1093</v>
      </c>
      <c r="N1324" t="s">
        <v>1099</v>
      </c>
      <c r="O1324">
        <f>Table1[[#This Row],[Unit_Price]]*Table1[[#This Row],[Quantity]]</f>
        <v>240</v>
      </c>
    </row>
    <row r="1325" spans="1:15" x14ac:dyDescent="0.3">
      <c r="A1325" t="s">
        <v>3029</v>
      </c>
      <c r="B1325" t="s">
        <v>3030</v>
      </c>
      <c r="C1325" t="s">
        <v>755</v>
      </c>
      <c r="D1325" t="s">
        <v>1051</v>
      </c>
      <c r="E1325">
        <v>2</v>
      </c>
      <c r="F1325">
        <f>_xlfn.XLOOKUP(Table1[[#This Row],[ProductID]],Products!A:A,Products!D:D,,0)</f>
        <v>150</v>
      </c>
      <c r="I1325">
        <v>499</v>
      </c>
      <c r="J1325">
        <v>449</v>
      </c>
      <c r="K1325" t="s">
        <v>1107</v>
      </c>
      <c r="L1325">
        <v>898</v>
      </c>
      <c r="M1325" t="s">
        <v>1098</v>
      </c>
      <c r="N1325" t="s">
        <v>1099</v>
      </c>
      <c r="O1325">
        <f>Table1[[#This Row],[Unit_Price]]*Table1[[#This Row],[Quantity]]</f>
        <v>300</v>
      </c>
    </row>
    <row r="1326" spans="1:15" x14ac:dyDescent="0.3">
      <c r="A1326" t="s">
        <v>3031</v>
      </c>
      <c r="B1326" t="s">
        <v>3032</v>
      </c>
      <c r="C1326" t="s">
        <v>18</v>
      </c>
      <c r="D1326" t="s">
        <v>1071</v>
      </c>
      <c r="E1326">
        <v>1</v>
      </c>
      <c r="F1326">
        <f>_xlfn.XLOOKUP(Table1[[#This Row],[ProductID]],Products!A:A,Products!D:D,,0)</f>
        <v>125</v>
      </c>
      <c r="I1326">
        <v>399</v>
      </c>
      <c r="J1326">
        <v>399</v>
      </c>
      <c r="K1326" t="s">
        <v>1102</v>
      </c>
      <c r="L1326">
        <v>399</v>
      </c>
      <c r="M1326" t="s">
        <v>1098</v>
      </c>
      <c r="N1326" t="s">
        <v>1099</v>
      </c>
      <c r="O1326">
        <f>Table1[[#This Row],[Unit_Price]]*Table1[[#This Row],[Quantity]]</f>
        <v>125</v>
      </c>
    </row>
    <row r="1327" spans="1:15" x14ac:dyDescent="0.3">
      <c r="A1327" t="s">
        <v>3033</v>
      </c>
      <c r="B1327" t="s">
        <v>1207</v>
      </c>
      <c r="C1327" t="s">
        <v>279</v>
      </c>
      <c r="D1327" t="s">
        <v>1066</v>
      </c>
      <c r="E1327">
        <v>1</v>
      </c>
      <c r="F1327">
        <f>_xlfn.XLOOKUP(Table1[[#This Row],[ProductID]],Products!A:A,Products!D:D,,0)</f>
        <v>140</v>
      </c>
      <c r="I1327">
        <v>499</v>
      </c>
      <c r="J1327">
        <v>499</v>
      </c>
      <c r="K1327" t="s">
        <v>1102</v>
      </c>
      <c r="L1327">
        <v>499</v>
      </c>
      <c r="M1327" t="s">
        <v>1098</v>
      </c>
      <c r="N1327" t="s">
        <v>1099</v>
      </c>
      <c r="O1327">
        <f>Table1[[#This Row],[Unit_Price]]*Table1[[#This Row],[Quantity]]</f>
        <v>140</v>
      </c>
    </row>
    <row r="1328" spans="1:15" x14ac:dyDescent="0.3">
      <c r="A1328" t="s">
        <v>3034</v>
      </c>
      <c r="B1328" t="s">
        <v>1973</v>
      </c>
      <c r="C1328" t="s">
        <v>533</v>
      </c>
      <c r="D1328" t="s">
        <v>1071</v>
      </c>
      <c r="E1328">
        <v>1</v>
      </c>
      <c r="F1328">
        <f>_xlfn.XLOOKUP(Table1[[#This Row],[ProductID]],Products!A:A,Products!D:D,,0)</f>
        <v>125</v>
      </c>
      <c r="I1328">
        <v>399</v>
      </c>
      <c r="J1328">
        <v>399</v>
      </c>
      <c r="K1328" t="s">
        <v>1102</v>
      </c>
      <c r="L1328">
        <v>399</v>
      </c>
      <c r="M1328" t="s">
        <v>1126</v>
      </c>
      <c r="N1328" t="s">
        <v>1099</v>
      </c>
      <c r="O1328">
        <f>Table1[[#This Row],[Unit_Price]]*Table1[[#This Row],[Quantity]]</f>
        <v>125</v>
      </c>
    </row>
    <row r="1329" spans="1:15" x14ac:dyDescent="0.3">
      <c r="A1329" t="s">
        <v>3035</v>
      </c>
      <c r="B1329" t="s">
        <v>3036</v>
      </c>
      <c r="C1329" t="s">
        <v>815</v>
      </c>
      <c r="D1329" t="s">
        <v>1075</v>
      </c>
      <c r="E1329">
        <v>2</v>
      </c>
      <c r="F1329">
        <f>_xlfn.XLOOKUP(Table1[[#This Row],[ProductID]],Products!A:A,Products!D:D,,0)</f>
        <v>80</v>
      </c>
      <c r="I1329">
        <v>499</v>
      </c>
      <c r="J1329">
        <v>449</v>
      </c>
      <c r="K1329" t="s">
        <v>1107</v>
      </c>
      <c r="L1329">
        <v>898</v>
      </c>
      <c r="M1329" t="s">
        <v>1093</v>
      </c>
      <c r="N1329" t="s">
        <v>1094</v>
      </c>
      <c r="O1329">
        <f>Table1[[#This Row],[Unit_Price]]*Table1[[#This Row],[Quantity]]</f>
        <v>160</v>
      </c>
    </row>
    <row r="1330" spans="1:15" x14ac:dyDescent="0.3">
      <c r="A1330" t="s">
        <v>3037</v>
      </c>
      <c r="B1330" t="s">
        <v>1977</v>
      </c>
      <c r="C1330" t="s">
        <v>473</v>
      </c>
      <c r="D1330" t="s">
        <v>1078</v>
      </c>
      <c r="E1330">
        <v>1</v>
      </c>
      <c r="F1330">
        <f>_xlfn.XLOOKUP(Table1[[#This Row],[ProductID]],Products!A:A,Products!D:D,,0)</f>
        <v>80</v>
      </c>
      <c r="I1330">
        <v>499</v>
      </c>
      <c r="J1330">
        <v>449</v>
      </c>
      <c r="K1330" t="s">
        <v>1107</v>
      </c>
      <c r="L1330">
        <v>449</v>
      </c>
      <c r="M1330" t="s">
        <v>1093</v>
      </c>
      <c r="N1330" t="s">
        <v>1094</v>
      </c>
      <c r="O1330">
        <f>Table1[[#This Row],[Unit_Price]]*Table1[[#This Row],[Quantity]]</f>
        <v>80</v>
      </c>
    </row>
    <row r="1331" spans="1:15" x14ac:dyDescent="0.3">
      <c r="A1331" t="s">
        <v>3038</v>
      </c>
      <c r="B1331" t="s">
        <v>1865</v>
      </c>
      <c r="C1331" t="s">
        <v>120</v>
      </c>
      <c r="D1331" t="s">
        <v>1080</v>
      </c>
      <c r="E1331">
        <v>1</v>
      </c>
      <c r="F1331">
        <f>_xlfn.XLOOKUP(Table1[[#This Row],[ProductID]],Products!A:A,Products!D:D,,0)</f>
        <v>45</v>
      </c>
      <c r="I1331">
        <v>249</v>
      </c>
      <c r="J1331">
        <v>224</v>
      </c>
      <c r="K1331" t="s">
        <v>1107</v>
      </c>
      <c r="L1331">
        <v>224</v>
      </c>
      <c r="M1331" t="s">
        <v>1093</v>
      </c>
      <c r="N1331" t="s">
        <v>1094</v>
      </c>
      <c r="O1331">
        <f>Table1[[#This Row],[Unit_Price]]*Table1[[#This Row],[Quantity]]</f>
        <v>45</v>
      </c>
    </row>
    <row r="1332" spans="1:15" x14ac:dyDescent="0.3">
      <c r="A1332" t="s">
        <v>3039</v>
      </c>
      <c r="B1332" t="s">
        <v>1392</v>
      </c>
      <c r="C1332" t="s">
        <v>619</v>
      </c>
      <c r="D1332" t="s">
        <v>1075</v>
      </c>
      <c r="E1332">
        <v>2</v>
      </c>
      <c r="F1332">
        <f>_xlfn.XLOOKUP(Table1[[#This Row],[ProductID]],Products!A:A,Products!D:D,,0)</f>
        <v>80</v>
      </c>
      <c r="I1332">
        <v>499</v>
      </c>
      <c r="J1332">
        <v>499</v>
      </c>
      <c r="K1332" t="s">
        <v>1102</v>
      </c>
      <c r="L1332">
        <v>998</v>
      </c>
      <c r="M1332" t="s">
        <v>1093</v>
      </c>
      <c r="N1332" t="s">
        <v>1094</v>
      </c>
      <c r="O1332">
        <f>Table1[[#This Row],[Unit_Price]]*Table1[[#This Row],[Quantity]]</f>
        <v>160</v>
      </c>
    </row>
    <row r="1333" spans="1:15" x14ac:dyDescent="0.3">
      <c r="A1333" t="s">
        <v>3040</v>
      </c>
      <c r="B1333" t="s">
        <v>3041</v>
      </c>
      <c r="C1333" t="s">
        <v>475</v>
      </c>
      <c r="D1333" t="s">
        <v>1064</v>
      </c>
      <c r="E1333">
        <v>2</v>
      </c>
      <c r="F1333">
        <f>_xlfn.XLOOKUP(Table1[[#This Row],[ProductID]],Products!A:A,Products!D:D,,0)</f>
        <v>160</v>
      </c>
      <c r="I1333">
        <v>699</v>
      </c>
      <c r="J1333">
        <v>594</v>
      </c>
      <c r="K1333" t="s">
        <v>1092</v>
      </c>
      <c r="L1333">
        <v>1188</v>
      </c>
      <c r="M1333" t="s">
        <v>1098</v>
      </c>
      <c r="N1333" t="s">
        <v>1099</v>
      </c>
      <c r="O1333">
        <f>Table1[[#This Row],[Unit_Price]]*Table1[[#This Row],[Quantity]]</f>
        <v>320</v>
      </c>
    </row>
    <row r="1334" spans="1:15" x14ac:dyDescent="0.3">
      <c r="A1334" t="s">
        <v>3042</v>
      </c>
      <c r="B1334" t="s">
        <v>3043</v>
      </c>
      <c r="C1334" t="s">
        <v>37</v>
      </c>
      <c r="D1334" t="s">
        <v>1073</v>
      </c>
      <c r="E1334">
        <v>3</v>
      </c>
      <c r="F1334">
        <f>_xlfn.XLOOKUP(Table1[[#This Row],[ProductID]],Products!A:A,Products!D:D,,0)</f>
        <v>100</v>
      </c>
      <c r="I1334">
        <v>349</v>
      </c>
      <c r="J1334">
        <v>349</v>
      </c>
      <c r="K1334" t="s">
        <v>1102</v>
      </c>
      <c r="L1334">
        <v>1047</v>
      </c>
      <c r="M1334" t="s">
        <v>1098</v>
      </c>
      <c r="N1334" t="s">
        <v>1099</v>
      </c>
      <c r="O1334">
        <f>Table1[[#This Row],[Unit_Price]]*Table1[[#This Row],[Quantity]]</f>
        <v>300</v>
      </c>
    </row>
    <row r="1335" spans="1:15" x14ac:dyDescent="0.3">
      <c r="A1335" t="s">
        <v>3044</v>
      </c>
      <c r="B1335" t="s">
        <v>3045</v>
      </c>
      <c r="C1335" t="s">
        <v>71</v>
      </c>
      <c r="D1335" t="s">
        <v>1071</v>
      </c>
      <c r="E1335">
        <v>1</v>
      </c>
      <c r="F1335">
        <f>_xlfn.XLOOKUP(Table1[[#This Row],[ProductID]],Products!A:A,Products!D:D,,0)</f>
        <v>125</v>
      </c>
      <c r="I1335">
        <v>399</v>
      </c>
      <c r="J1335">
        <v>319</v>
      </c>
      <c r="K1335" t="s">
        <v>1097</v>
      </c>
      <c r="L1335">
        <v>319</v>
      </c>
      <c r="M1335" t="s">
        <v>1098</v>
      </c>
      <c r="N1335" t="s">
        <v>1099</v>
      </c>
      <c r="O1335">
        <f>Table1[[#This Row],[Unit_Price]]*Table1[[#This Row],[Quantity]]</f>
        <v>125</v>
      </c>
    </row>
    <row r="1336" spans="1:15" x14ac:dyDescent="0.3">
      <c r="A1336" t="s">
        <v>3046</v>
      </c>
      <c r="B1336" t="s">
        <v>2312</v>
      </c>
      <c r="C1336" t="s">
        <v>118</v>
      </c>
      <c r="D1336" t="s">
        <v>1053</v>
      </c>
      <c r="E1336">
        <v>1</v>
      </c>
      <c r="F1336">
        <f>_xlfn.XLOOKUP(Table1[[#This Row],[ProductID]],Products!A:A,Products!D:D,,0)</f>
        <v>200</v>
      </c>
      <c r="I1336">
        <v>899</v>
      </c>
      <c r="J1336">
        <v>719</v>
      </c>
      <c r="K1336" t="s">
        <v>1097</v>
      </c>
      <c r="L1336">
        <v>719</v>
      </c>
      <c r="M1336" t="s">
        <v>1098</v>
      </c>
      <c r="N1336" t="s">
        <v>1099</v>
      </c>
      <c r="O1336">
        <f>Table1[[#This Row],[Unit_Price]]*Table1[[#This Row],[Quantity]]</f>
        <v>200</v>
      </c>
    </row>
    <row r="1337" spans="1:15" x14ac:dyDescent="0.3">
      <c r="A1337" t="s">
        <v>3047</v>
      </c>
      <c r="B1337" t="s">
        <v>1232</v>
      </c>
      <c r="C1337" t="s">
        <v>935</v>
      </c>
      <c r="D1337" t="s">
        <v>1066</v>
      </c>
      <c r="E1337">
        <v>1</v>
      </c>
      <c r="F1337">
        <f>_xlfn.XLOOKUP(Table1[[#This Row],[ProductID]],Products!A:A,Products!D:D,,0)</f>
        <v>140</v>
      </c>
      <c r="I1337">
        <v>499</v>
      </c>
      <c r="J1337">
        <v>424</v>
      </c>
      <c r="K1337" t="s">
        <v>1092</v>
      </c>
      <c r="L1337">
        <v>424</v>
      </c>
      <c r="M1337" t="s">
        <v>1098</v>
      </c>
      <c r="N1337" t="s">
        <v>1099</v>
      </c>
      <c r="O1337">
        <f>Table1[[#This Row],[Unit_Price]]*Table1[[#This Row],[Quantity]]</f>
        <v>140</v>
      </c>
    </row>
    <row r="1338" spans="1:15" x14ac:dyDescent="0.3">
      <c r="A1338" t="s">
        <v>3048</v>
      </c>
      <c r="B1338" t="s">
        <v>2727</v>
      </c>
      <c r="C1338" t="s">
        <v>158</v>
      </c>
      <c r="D1338" t="s">
        <v>1048</v>
      </c>
      <c r="E1338">
        <v>1</v>
      </c>
      <c r="F1338">
        <f>_xlfn.XLOOKUP(Table1[[#This Row],[ProductID]],Products!A:A,Products!D:D,,0)</f>
        <v>120</v>
      </c>
      <c r="I1338">
        <v>599</v>
      </c>
      <c r="J1338">
        <v>599</v>
      </c>
      <c r="K1338" t="s">
        <v>1102</v>
      </c>
      <c r="L1338">
        <v>599</v>
      </c>
      <c r="M1338" t="s">
        <v>1098</v>
      </c>
      <c r="N1338" t="s">
        <v>1099</v>
      </c>
      <c r="O1338">
        <f>Table1[[#This Row],[Unit_Price]]*Table1[[#This Row],[Quantity]]</f>
        <v>120</v>
      </c>
    </row>
    <row r="1339" spans="1:15" x14ac:dyDescent="0.3">
      <c r="A1339" t="s">
        <v>3049</v>
      </c>
      <c r="B1339" t="s">
        <v>1375</v>
      </c>
      <c r="C1339" t="s">
        <v>539</v>
      </c>
      <c r="D1339" t="s">
        <v>1057</v>
      </c>
      <c r="E1339">
        <v>1</v>
      </c>
      <c r="F1339">
        <f>_xlfn.XLOOKUP(Table1[[#This Row],[ProductID]],Products!A:A,Products!D:D,,0)</f>
        <v>130</v>
      </c>
      <c r="I1339">
        <v>549</v>
      </c>
      <c r="J1339">
        <v>549</v>
      </c>
      <c r="K1339" t="s">
        <v>1102</v>
      </c>
      <c r="L1339">
        <v>549</v>
      </c>
      <c r="M1339" t="s">
        <v>1093</v>
      </c>
      <c r="N1339" t="s">
        <v>1094</v>
      </c>
      <c r="O1339">
        <f>Table1[[#This Row],[Unit_Price]]*Table1[[#This Row],[Quantity]]</f>
        <v>130</v>
      </c>
    </row>
    <row r="1340" spans="1:15" x14ac:dyDescent="0.3">
      <c r="A1340" t="s">
        <v>3050</v>
      </c>
      <c r="B1340" t="s">
        <v>3051</v>
      </c>
      <c r="C1340" t="s">
        <v>160</v>
      </c>
      <c r="D1340" t="s">
        <v>1066</v>
      </c>
      <c r="E1340">
        <v>2</v>
      </c>
      <c r="F1340">
        <f>_xlfn.XLOOKUP(Table1[[#This Row],[ProductID]],Products!A:A,Products!D:D,,0)</f>
        <v>140</v>
      </c>
      <c r="I1340">
        <v>499</v>
      </c>
      <c r="J1340">
        <v>424</v>
      </c>
      <c r="K1340" t="s">
        <v>1092</v>
      </c>
      <c r="L1340">
        <v>848</v>
      </c>
      <c r="M1340" t="s">
        <v>1098</v>
      </c>
      <c r="N1340" t="s">
        <v>1099</v>
      </c>
      <c r="O1340">
        <f>Table1[[#This Row],[Unit_Price]]*Table1[[#This Row],[Quantity]]</f>
        <v>280</v>
      </c>
    </row>
    <row r="1341" spans="1:15" x14ac:dyDescent="0.3">
      <c r="A1341" t="s">
        <v>3052</v>
      </c>
      <c r="B1341" t="s">
        <v>2934</v>
      </c>
      <c r="C1341" t="s">
        <v>995</v>
      </c>
      <c r="D1341" t="s">
        <v>1080</v>
      </c>
      <c r="E1341">
        <v>1</v>
      </c>
      <c r="F1341">
        <f>_xlfn.XLOOKUP(Table1[[#This Row],[ProductID]],Products!A:A,Products!D:D,,0)</f>
        <v>45</v>
      </c>
      <c r="I1341">
        <v>249</v>
      </c>
      <c r="J1341">
        <v>249</v>
      </c>
      <c r="K1341" t="s">
        <v>1102</v>
      </c>
      <c r="L1341">
        <v>249</v>
      </c>
      <c r="M1341" t="s">
        <v>1098</v>
      </c>
      <c r="N1341" t="s">
        <v>1099</v>
      </c>
      <c r="O1341">
        <f>Table1[[#This Row],[Unit_Price]]*Table1[[#This Row],[Quantity]]</f>
        <v>45</v>
      </c>
    </row>
    <row r="1342" spans="1:15" x14ac:dyDescent="0.3">
      <c r="A1342" t="s">
        <v>3053</v>
      </c>
      <c r="B1342" t="s">
        <v>2324</v>
      </c>
      <c r="C1342" t="s">
        <v>417</v>
      </c>
      <c r="D1342" t="s">
        <v>1059</v>
      </c>
      <c r="E1342">
        <v>2</v>
      </c>
      <c r="F1342">
        <f>_xlfn.XLOOKUP(Table1[[#This Row],[ProductID]],Products!A:A,Products!D:D,,0)</f>
        <v>110</v>
      </c>
      <c r="I1342">
        <v>399</v>
      </c>
      <c r="J1342">
        <v>359</v>
      </c>
      <c r="K1342" t="s">
        <v>1107</v>
      </c>
      <c r="L1342">
        <v>718</v>
      </c>
      <c r="M1342" t="s">
        <v>1098</v>
      </c>
      <c r="N1342" t="s">
        <v>1099</v>
      </c>
      <c r="O1342">
        <f>Table1[[#This Row],[Unit_Price]]*Table1[[#This Row],[Quantity]]</f>
        <v>220</v>
      </c>
    </row>
    <row r="1343" spans="1:15" x14ac:dyDescent="0.3">
      <c r="A1343" t="s">
        <v>3054</v>
      </c>
      <c r="B1343" t="s">
        <v>1331</v>
      </c>
      <c r="C1343" t="s">
        <v>845</v>
      </c>
      <c r="D1343" t="s">
        <v>1078</v>
      </c>
      <c r="E1343">
        <v>2</v>
      </c>
      <c r="F1343">
        <f>_xlfn.XLOOKUP(Table1[[#This Row],[ProductID]],Products!A:A,Products!D:D,,0)</f>
        <v>80</v>
      </c>
      <c r="I1343">
        <v>499</v>
      </c>
      <c r="J1343">
        <v>424</v>
      </c>
      <c r="K1343" t="s">
        <v>1092</v>
      </c>
      <c r="L1343">
        <v>848</v>
      </c>
      <c r="M1343" t="s">
        <v>1093</v>
      </c>
      <c r="N1343" t="s">
        <v>1123</v>
      </c>
      <c r="O1343">
        <f>Table1[[#This Row],[Unit_Price]]*Table1[[#This Row],[Quantity]]</f>
        <v>160</v>
      </c>
    </row>
    <row r="1344" spans="1:15" x14ac:dyDescent="0.3">
      <c r="A1344" t="s">
        <v>3055</v>
      </c>
      <c r="B1344" t="s">
        <v>2518</v>
      </c>
      <c r="C1344" t="s">
        <v>1005</v>
      </c>
      <c r="D1344" t="s">
        <v>1075</v>
      </c>
      <c r="E1344">
        <v>2</v>
      </c>
      <c r="F1344">
        <f>_xlfn.XLOOKUP(Table1[[#This Row],[ProductID]],Products!A:A,Products!D:D,,0)</f>
        <v>80</v>
      </c>
      <c r="I1344">
        <v>499</v>
      </c>
      <c r="J1344">
        <v>499</v>
      </c>
      <c r="K1344" t="s">
        <v>1102</v>
      </c>
      <c r="L1344">
        <v>998</v>
      </c>
      <c r="M1344" t="s">
        <v>1098</v>
      </c>
      <c r="N1344" t="s">
        <v>1099</v>
      </c>
      <c r="O1344">
        <f>Table1[[#This Row],[Unit_Price]]*Table1[[#This Row],[Quantity]]</f>
        <v>160</v>
      </c>
    </row>
    <row r="1345" spans="1:15" x14ac:dyDescent="0.3">
      <c r="A1345" t="s">
        <v>3056</v>
      </c>
      <c r="B1345" t="s">
        <v>2589</v>
      </c>
      <c r="C1345" t="s">
        <v>605</v>
      </c>
      <c r="D1345" t="s">
        <v>1066</v>
      </c>
      <c r="E1345">
        <v>2</v>
      </c>
      <c r="F1345">
        <f>_xlfn.XLOOKUP(Table1[[#This Row],[ProductID]],Products!A:A,Products!D:D,,0)</f>
        <v>140</v>
      </c>
      <c r="I1345">
        <v>499</v>
      </c>
      <c r="J1345">
        <v>424</v>
      </c>
      <c r="K1345" t="s">
        <v>1092</v>
      </c>
      <c r="L1345">
        <v>848</v>
      </c>
      <c r="M1345" t="s">
        <v>1098</v>
      </c>
      <c r="N1345" t="s">
        <v>1099</v>
      </c>
      <c r="O1345">
        <f>Table1[[#This Row],[Unit_Price]]*Table1[[#This Row],[Quantity]]</f>
        <v>280</v>
      </c>
    </row>
    <row r="1346" spans="1:15" x14ac:dyDescent="0.3">
      <c r="A1346" t="s">
        <v>3057</v>
      </c>
      <c r="B1346" t="s">
        <v>2119</v>
      </c>
      <c r="C1346" t="s">
        <v>439</v>
      </c>
      <c r="D1346" t="s">
        <v>1053</v>
      </c>
      <c r="E1346">
        <v>2</v>
      </c>
      <c r="F1346">
        <f>_xlfn.XLOOKUP(Table1[[#This Row],[ProductID]],Products!A:A,Products!D:D,,0)</f>
        <v>200</v>
      </c>
      <c r="I1346">
        <v>899</v>
      </c>
      <c r="J1346">
        <v>809</v>
      </c>
      <c r="K1346" t="s">
        <v>1107</v>
      </c>
      <c r="L1346">
        <v>1618</v>
      </c>
      <c r="M1346" t="s">
        <v>1126</v>
      </c>
      <c r="N1346" t="s">
        <v>1099</v>
      </c>
      <c r="O1346">
        <f>Table1[[#This Row],[Unit_Price]]*Table1[[#This Row],[Quantity]]</f>
        <v>400</v>
      </c>
    </row>
    <row r="1347" spans="1:15" x14ac:dyDescent="0.3">
      <c r="A1347" t="s">
        <v>3058</v>
      </c>
      <c r="B1347" t="s">
        <v>1803</v>
      </c>
      <c r="C1347" t="s">
        <v>819</v>
      </c>
      <c r="D1347" t="s">
        <v>1075</v>
      </c>
      <c r="E1347">
        <v>1</v>
      </c>
      <c r="F1347">
        <f>_xlfn.XLOOKUP(Table1[[#This Row],[ProductID]],Products!A:A,Products!D:D,,0)</f>
        <v>80</v>
      </c>
      <c r="I1347">
        <v>499</v>
      </c>
      <c r="J1347">
        <v>449</v>
      </c>
      <c r="K1347" t="s">
        <v>1107</v>
      </c>
      <c r="L1347">
        <v>449</v>
      </c>
      <c r="M1347" t="s">
        <v>1093</v>
      </c>
      <c r="N1347" t="s">
        <v>1099</v>
      </c>
      <c r="O1347">
        <f>Table1[[#This Row],[Unit_Price]]*Table1[[#This Row],[Quantity]]</f>
        <v>80</v>
      </c>
    </row>
    <row r="1348" spans="1:15" x14ac:dyDescent="0.3">
      <c r="A1348" t="s">
        <v>3059</v>
      </c>
      <c r="B1348" t="s">
        <v>2324</v>
      </c>
      <c r="C1348" t="s">
        <v>869</v>
      </c>
      <c r="D1348" t="s">
        <v>1068</v>
      </c>
      <c r="E1348">
        <v>1</v>
      </c>
      <c r="F1348">
        <f>_xlfn.XLOOKUP(Table1[[#This Row],[ProductID]],Products!A:A,Products!D:D,,0)</f>
        <v>180</v>
      </c>
      <c r="I1348">
        <v>449</v>
      </c>
      <c r="J1348">
        <v>382</v>
      </c>
      <c r="K1348" t="s">
        <v>1092</v>
      </c>
      <c r="L1348">
        <v>382</v>
      </c>
      <c r="M1348" t="s">
        <v>1093</v>
      </c>
      <c r="N1348" t="s">
        <v>1099</v>
      </c>
      <c r="O1348">
        <f>Table1[[#This Row],[Unit_Price]]*Table1[[#This Row],[Quantity]]</f>
        <v>180</v>
      </c>
    </row>
    <row r="1349" spans="1:15" x14ac:dyDescent="0.3">
      <c r="A1349" t="s">
        <v>3060</v>
      </c>
      <c r="B1349" t="s">
        <v>1394</v>
      </c>
      <c r="C1349" t="s">
        <v>837</v>
      </c>
      <c r="D1349" t="s">
        <v>1080</v>
      </c>
      <c r="E1349">
        <v>3</v>
      </c>
      <c r="F1349">
        <f>_xlfn.XLOOKUP(Table1[[#This Row],[ProductID]],Products!A:A,Products!D:D,,0)</f>
        <v>45</v>
      </c>
      <c r="I1349">
        <v>249</v>
      </c>
      <c r="J1349">
        <v>212</v>
      </c>
      <c r="K1349" t="s">
        <v>1092</v>
      </c>
      <c r="L1349">
        <v>636</v>
      </c>
      <c r="M1349" t="s">
        <v>1093</v>
      </c>
      <c r="N1349" t="s">
        <v>1094</v>
      </c>
      <c r="O1349">
        <f>Table1[[#This Row],[Unit_Price]]*Table1[[#This Row],[Quantity]]</f>
        <v>135</v>
      </c>
    </row>
    <row r="1350" spans="1:15" x14ac:dyDescent="0.3">
      <c r="A1350" t="s">
        <v>3061</v>
      </c>
      <c r="B1350" t="s">
        <v>2239</v>
      </c>
      <c r="C1350" t="s">
        <v>565</v>
      </c>
      <c r="D1350" t="s">
        <v>1071</v>
      </c>
      <c r="E1350">
        <v>1</v>
      </c>
      <c r="F1350">
        <f>_xlfn.XLOOKUP(Table1[[#This Row],[ProductID]],Products!A:A,Products!D:D,,0)</f>
        <v>125</v>
      </c>
      <c r="I1350">
        <v>399</v>
      </c>
      <c r="J1350">
        <v>339</v>
      </c>
      <c r="K1350" t="s">
        <v>1092</v>
      </c>
      <c r="L1350">
        <v>339</v>
      </c>
      <c r="M1350" t="s">
        <v>1093</v>
      </c>
      <c r="N1350" t="s">
        <v>1094</v>
      </c>
      <c r="O1350">
        <f>Table1[[#This Row],[Unit_Price]]*Table1[[#This Row],[Quantity]]</f>
        <v>125</v>
      </c>
    </row>
    <row r="1351" spans="1:15" x14ac:dyDescent="0.3">
      <c r="A1351" t="s">
        <v>3062</v>
      </c>
      <c r="B1351" t="s">
        <v>1294</v>
      </c>
      <c r="C1351" t="s">
        <v>49</v>
      </c>
      <c r="D1351" t="s">
        <v>1075</v>
      </c>
      <c r="E1351">
        <v>1</v>
      </c>
      <c r="F1351">
        <f>_xlfn.XLOOKUP(Table1[[#This Row],[ProductID]],Products!A:A,Products!D:D,,0)</f>
        <v>80</v>
      </c>
      <c r="I1351">
        <v>499</v>
      </c>
      <c r="J1351">
        <v>499</v>
      </c>
      <c r="K1351" t="s">
        <v>1102</v>
      </c>
      <c r="L1351">
        <v>499</v>
      </c>
      <c r="M1351" t="s">
        <v>1093</v>
      </c>
      <c r="N1351" t="s">
        <v>1094</v>
      </c>
      <c r="O1351">
        <f>Table1[[#This Row],[Unit_Price]]*Table1[[#This Row],[Quantity]]</f>
        <v>80</v>
      </c>
    </row>
    <row r="1352" spans="1:15" x14ac:dyDescent="0.3">
      <c r="A1352" t="s">
        <v>3063</v>
      </c>
      <c r="B1352" t="s">
        <v>1306</v>
      </c>
      <c r="C1352" t="s">
        <v>959</v>
      </c>
      <c r="D1352" t="s">
        <v>1066</v>
      </c>
      <c r="E1352">
        <v>1</v>
      </c>
      <c r="F1352">
        <f>_xlfn.XLOOKUP(Table1[[#This Row],[ProductID]],Products!A:A,Products!D:D,,0)</f>
        <v>140</v>
      </c>
      <c r="I1352">
        <v>499</v>
      </c>
      <c r="J1352">
        <v>399</v>
      </c>
      <c r="K1352" t="s">
        <v>1097</v>
      </c>
      <c r="L1352">
        <v>399</v>
      </c>
      <c r="M1352" t="s">
        <v>1093</v>
      </c>
      <c r="N1352" t="s">
        <v>1094</v>
      </c>
      <c r="O1352">
        <f>Table1[[#This Row],[Unit_Price]]*Table1[[#This Row],[Quantity]]</f>
        <v>140</v>
      </c>
    </row>
    <row r="1353" spans="1:15" x14ac:dyDescent="0.3">
      <c r="A1353" t="s">
        <v>3064</v>
      </c>
      <c r="B1353" t="s">
        <v>2835</v>
      </c>
      <c r="C1353" t="s">
        <v>387</v>
      </c>
      <c r="D1353" t="s">
        <v>1059</v>
      </c>
      <c r="E1353">
        <v>1</v>
      </c>
      <c r="F1353">
        <f>_xlfn.XLOOKUP(Table1[[#This Row],[ProductID]],Products!A:A,Products!D:D,,0)</f>
        <v>110</v>
      </c>
      <c r="I1353">
        <v>399</v>
      </c>
      <c r="J1353">
        <v>399</v>
      </c>
      <c r="K1353" t="s">
        <v>1102</v>
      </c>
      <c r="L1353">
        <v>399</v>
      </c>
      <c r="M1353" t="s">
        <v>1098</v>
      </c>
      <c r="N1353" t="s">
        <v>1099</v>
      </c>
      <c r="O1353">
        <f>Table1[[#This Row],[Unit_Price]]*Table1[[#This Row],[Quantity]]</f>
        <v>110</v>
      </c>
    </row>
    <row r="1354" spans="1:15" x14ac:dyDescent="0.3">
      <c r="A1354" t="s">
        <v>3065</v>
      </c>
      <c r="B1354" t="s">
        <v>2178</v>
      </c>
      <c r="C1354" t="s">
        <v>943</v>
      </c>
      <c r="D1354" t="s">
        <v>1048</v>
      </c>
      <c r="E1354">
        <v>1</v>
      </c>
      <c r="F1354">
        <f>_xlfn.XLOOKUP(Table1[[#This Row],[ProductID]],Products!A:A,Products!D:D,,0)</f>
        <v>120</v>
      </c>
      <c r="I1354">
        <v>599</v>
      </c>
      <c r="J1354">
        <v>599</v>
      </c>
      <c r="K1354" t="s">
        <v>1102</v>
      </c>
      <c r="L1354">
        <v>599</v>
      </c>
      <c r="M1354" t="s">
        <v>1098</v>
      </c>
      <c r="N1354" t="s">
        <v>1099</v>
      </c>
      <c r="O1354">
        <f>Table1[[#This Row],[Unit_Price]]*Table1[[#This Row],[Quantity]]</f>
        <v>120</v>
      </c>
    </row>
    <row r="1355" spans="1:15" x14ac:dyDescent="0.3">
      <c r="A1355" t="s">
        <v>3066</v>
      </c>
      <c r="B1355" t="s">
        <v>3067</v>
      </c>
      <c r="C1355" t="s">
        <v>118</v>
      </c>
      <c r="D1355" t="s">
        <v>1048</v>
      </c>
      <c r="E1355">
        <v>2</v>
      </c>
      <c r="F1355">
        <f>_xlfn.XLOOKUP(Table1[[#This Row],[ProductID]],Products!A:A,Products!D:D,,0)</f>
        <v>120</v>
      </c>
      <c r="I1355">
        <v>599</v>
      </c>
      <c r="J1355">
        <v>479</v>
      </c>
      <c r="K1355" t="s">
        <v>1097</v>
      </c>
      <c r="L1355">
        <v>958</v>
      </c>
      <c r="M1355" t="s">
        <v>1093</v>
      </c>
      <c r="N1355" t="s">
        <v>1094</v>
      </c>
      <c r="O1355">
        <f>Table1[[#This Row],[Unit_Price]]*Table1[[#This Row],[Quantity]]</f>
        <v>240</v>
      </c>
    </row>
    <row r="1356" spans="1:15" x14ac:dyDescent="0.3">
      <c r="A1356" t="s">
        <v>3068</v>
      </c>
      <c r="B1356" t="s">
        <v>3069</v>
      </c>
      <c r="C1356" t="s">
        <v>461</v>
      </c>
      <c r="D1356" t="s">
        <v>1053</v>
      </c>
      <c r="E1356">
        <v>1</v>
      </c>
      <c r="F1356">
        <f>_xlfn.XLOOKUP(Table1[[#This Row],[ProductID]],Products!A:A,Products!D:D,,0)</f>
        <v>200</v>
      </c>
      <c r="I1356">
        <v>899</v>
      </c>
      <c r="J1356">
        <v>764</v>
      </c>
      <c r="K1356" t="s">
        <v>1092</v>
      </c>
      <c r="L1356">
        <v>764</v>
      </c>
      <c r="M1356" t="s">
        <v>1098</v>
      </c>
      <c r="N1356" t="s">
        <v>1099</v>
      </c>
      <c r="O1356">
        <f>Table1[[#This Row],[Unit_Price]]*Table1[[#This Row],[Quantity]]</f>
        <v>200</v>
      </c>
    </row>
    <row r="1357" spans="1:15" x14ac:dyDescent="0.3">
      <c r="A1357" t="s">
        <v>3070</v>
      </c>
      <c r="B1357" t="s">
        <v>1125</v>
      </c>
      <c r="C1357" t="s">
        <v>1003</v>
      </c>
      <c r="D1357" t="s">
        <v>1075</v>
      </c>
      <c r="E1357">
        <v>1</v>
      </c>
      <c r="F1357">
        <f>_xlfn.XLOOKUP(Table1[[#This Row],[ProductID]],Products!A:A,Products!D:D,,0)</f>
        <v>80</v>
      </c>
      <c r="I1357">
        <v>499</v>
      </c>
      <c r="J1357">
        <v>499</v>
      </c>
      <c r="K1357" t="s">
        <v>1102</v>
      </c>
      <c r="L1357">
        <v>499</v>
      </c>
      <c r="M1357" t="s">
        <v>1098</v>
      </c>
      <c r="N1357" t="s">
        <v>1099</v>
      </c>
      <c r="O1357">
        <f>Table1[[#This Row],[Unit_Price]]*Table1[[#This Row],[Quantity]]</f>
        <v>80</v>
      </c>
    </row>
    <row r="1358" spans="1:15" x14ac:dyDescent="0.3">
      <c r="A1358" t="s">
        <v>3071</v>
      </c>
      <c r="B1358" t="s">
        <v>1475</v>
      </c>
      <c r="C1358" t="s">
        <v>481</v>
      </c>
      <c r="D1358" t="s">
        <v>1062</v>
      </c>
      <c r="E1358">
        <v>1</v>
      </c>
      <c r="F1358">
        <f>_xlfn.XLOOKUP(Table1[[#This Row],[ProductID]],Products!A:A,Products!D:D,,0)</f>
        <v>95</v>
      </c>
      <c r="I1358">
        <v>349</v>
      </c>
      <c r="J1358">
        <v>297</v>
      </c>
      <c r="K1358" t="s">
        <v>1092</v>
      </c>
      <c r="L1358">
        <v>297</v>
      </c>
      <c r="M1358" t="s">
        <v>1093</v>
      </c>
      <c r="N1358" t="s">
        <v>1099</v>
      </c>
      <c r="O1358">
        <f>Table1[[#This Row],[Unit_Price]]*Table1[[#This Row],[Quantity]]</f>
        <v>95</v>
      </c>
    </row>
    <row r="1359" spans="1:15" x14ac:dyDescent="0.3">
      <c r="A1359" t="s">
        <v>3072</v>
      </c>
      <c r="B1359" t="s">
        <v>1364</v>
      </c>
      <c r="C1359" t="s">
        <v>427</v>
      </c>
      <c r="D1359" t="s">
        <v>1064</v>
      </c>
      <c r="E1359">
        <v>1</v>
      </c>
      <c r="F1359">
        <f>_xlfn.XLOOKUP(Table1[[#This Row],[ProductID]],Products!A:A,Products!D:D,,0)</f>
        <v>160</v>
      </c>
      <c r="I1359">
        <v>699</v>
      </c>
      <c r="J1359">
        <v>559</v>
      </c>
      <c r="K1359" t="s">
        <v>1097</v>
      </c>
      <c r="L1359">
        <v>559</v>
      </c>
      <c r="M1359" t="s">
        <v>1098</v>
      </c>
      <c r="N1359" t="s">
        <v>1099</v>
      </c>
      <c r="O1359">
        <f>Table1[[#This Row],[Unit_Price]]*Table1[[#This Row],[Quantity]]</f>
        <v>160</v>
      </c>
    </row>
    <row r="1360" spans="1:15" x14ac:dyDescent="0.3">
      <c r="A1360" t="s">
        <v>3073</v>
      </c>
      <c r="B1360" t="s">
        <v>1582</v>
      </c>
      <c r="C1360" t="s">
        <v>653</v>
      </c>
      <c r="D1360" t="s">
        <v>1051</v>
      </c>
      <c r="E1360">
        <v>1</v>
      </c>
      <c r="F1360">
        <f>_xlfn.XLOOKUP(Table1[[#This Row],[ProductID]],Products!A:A,Products!D:D,,0)</f>
        <v>150</v>
      </c>
      <c r="I1360">
        <v>499</v>
      </c>
      <c r="J1360">
        <v>424</v>
      </c>
      <c r="K1360" t="s">
        <v>1092</v>
      </c>
      <c r="L1360">
        <v>424</v>
      </c>
      <c r="M1360" t="s">
        <v>1098</v>
      </c>
      <c r="N1360" t="s">
        <v>1099</v>
      </c>
      <c r="O1360">
        <f>Table1[[#This Row],[Unit_Price]]*Table1[[#This Row],[Quantity]]</f>
        <v>150</v>
      </c>
    </row>
    <row r="1361" spans="1:15" x14ac:dyDescent="0.3">
      <c r="A1361" t="s">
        <v>3074</v>
      </c>
      <c r="B1361" t="s">
        <v>1963</v>
      </c>
      <c r="C1361" t="s">
        <v>703</v>
      </c>
      <c r="D1361" t="s">
        <v>1071</v>
      </c>
      <c r="E1361">
        <v>1</v>
      </c>
      <c r="F1361">
        <f>_xlfn.XLOOKUP(Table1[[#This Row],[ProductID]],Products!A:A,Products!D:D,,0)</f>
        <v>125</v>
      </c>
      <c r="I1361">
        <v>399</v>
      </c>
      <c r="J1361">
        <v>399</v>
      </c>
      <c r="K1361" t="s">
        <v>1102</v>
      </c>
      <c r="L1361">
        <v>399</v>
      </c>
      <c r="M1361" t="s">
        <v>1093</v>
      </c>
      <c r="N1361" t="s">
        <v>1123</v>
      </c>
      <c r="O1361">
        <f>Table1[[#This Row],[Unit_Price]]*Table1[[#This Row],[Quantity]]</f>
        <v>125</v>
      </c>
    </row>
    <row r="1362" spans="1:15" x14ac:dyDescent="0.3">
      <c r="A1362" t="s">
        <v>3075</v>
      </c>
      <c r="B1362" t="s">
        <v>2539</v>
      </c>
      <c r="C1362" t="s">
        <v>427</v>
      </c>
      <c r="D1362" t="s">
        <v>1051</v>
      </c>
      <c r="E1362">
        <v>1</v>
      </c>
      <c r="F1362">
        <f>_xlfn.XLOOKUP(Table1[[#This Row],[ProductID]],Products!A:A,Products!D:D,,0)</f>
        <v>150</v>
      </c>
      <c r="I1362">
        <v>499</v>
      </c>
      <c r="J1362">
        <v>449</v>
      </c>
      <c r="K1362" t="s">
        <v>1107</v>
      </c>
      <c r="L1362">
        <v>449</v>
      </c>
      <c r="M1362" t="s">
        <v>1093</v>
      </c>
      <c r="N1362" t="s">
        <v>1099</v>
      </c>
      <c r="O1362">
        <f>Table1[[#This Row],[Unit_Price]]*Table1[[#This Row],[Quantity]]</f>
        <v>150</v>
      </c>
    </row>
    <row r="1363" spans="1:15" x14ac:dyDescent="0.3">
      <c r="A1363" t="s">
        <v>3076</v>
      </c>
      <c r="B1363" t="s">
        <v>3077</v>
      </c>
      <c r="C1363" t="s">
        <v>947</v>
      </c>
      <c r="D1363" t="s">
        <v>1071</v>
      </c>
      <c r="E1363">
        <v>1</v>
      </c>
      <c r="F1363">
        <f>_xlfn.XLOOKUP(Table1[[#This Row],[ProductID]],Products!A:A,Products!D:D,,0)</f>
        <v>125</v>
      </c>
      <c r="I1363">
        <v>399</v>
      </c>
      <c r="J1363">
        <v>319</v>
      </c>
      <c r="K1363" t="s">
        <v>1097</v>
      </c>
      <c r="L1363">
        <v>319</v>
      </c>
      <c r="M1363" t="s">
        <v>1093</v>
      </c>
      <c r="N1363" t="s">
        <v>1099</v>
      </c>
      <c r="O1363">
        <f>Table1[[#This Row],[Unit_Price]]*Table1[[#This Row],[Quantity]]</f>
        <v>125</v>
      </c>
    </row>
    <row r="1364" spans="1:15" x14ac:dyDescent="0.3">
      <c r="A1364" t="s">
        <v>3078</v>
      </c>
      <c r="B1364" t="s">
        <v>2098</v>
      </c>
      <c r="C1364" t="s">
        <v>429</v>
      </c>
      <c r="D1364" t="s">
        <v>1068</v>
      </c>
      <c r="E1364">
        <v>1</v>
      </c>
      <c r="F1364">
        <f>_xlfn.XLOOKUP(Table1[[#This Row],[ProductID]],Products!A:A,Products!D:D,,0)</f>
        <v>180</v>
      </c>
      <c r="I1364">
        <v>449</v>
      </c>
      <c r="J1364">
        <v>382</v>
      </c>
      <c r="K1364" t="s">
        <v>1092</v>
      </c>
      <c r="L1364">
        <v>382</v>
      </c>
      <c r="M1364" t="s">
        <v>1126</v>
      </c>
      <c r="N1364" t="s">
        <v>1094</v>
      </c>
      <c r="O1364">
        <f>Table1[[#This Row],[Unit_Price]]*Table1[[#This Row],[Quantity]]</f>
        <v>180</v>
      </c>
    </row>
    <row r="1365" spans="1:15" x14ac:dyDescent="0.3">
      <c r="A1365" t="s">
        <v>3079</v>
      </c>
      <c r="B1365" t="s">
        <v>3080</v>
      </c>
      <c r="C1365" t="s">
        <v>1027</v>
      </c>
      <c r="D1365" t="s">
        <v>1053</v>
      </c>
      <c r="E1365">
        <v>2</v>
      </c>
      <c r="F1365">
        <f>_xlfn.XLOOKUP(Table1[[#This Row],[ProductID]],Products!A:A,Products!D:D,,0)</f>
        <v>200</v>
      </c>
      <c r="I1365">
        <v>899</v>
      </c>
      <c r="J1365">
        <v>809</v>
      </c>
      <c r="K1365" t="s">
        <v>1107</v>
      </c>
      <c r="L1365">
        <v>1618</v>
      </c>
      <c r="M1365" t="s">
        <v>1098</v>
      </c>
      <c r="N1365" t="s">
        <v>1094</v>
      </c>
      <c r="O1365">
        <f>Table1[[#This Row],[Unit_Price]]*Table1[[#This Row],[Quantity]]</f>
        <v>400</v>
      </c>
    </row>
    <row r="1366" spans="1:15" x14ac:dyDescent="0.3">
      <c r="A1366" t="s">
        <v>3081</v>
      </c>
      <c r="B1366" t="s">
        <v>1416</v>
      </c>
      <c r="C1366" t="s">
        <v>721</v>
      </c>
      <c r="D1366" t="s">
        <v>1068</v>
      </c>
      <c r="E1366">
        <v>2</v>
      </c>
      <c r="F1366">
        <f>_xlfn.XLOOKUP(Table1[[#This Row],[ProductID]],Products!A:A,Products!D:D,,0)</f>
        <v>180</v>
      </c>
      <c r="I1366">
        <v>449</v>
      </c>
      <c r="J1366">
        <v>359</v>
      </c>
      <c r="K1366" t="s">
        <v>1097</v>
      </c>
      <c r="L1366">
        <v>718</v>
      </c>
      <c r="M1366" t="s">
        <v>1098</v>
      </c>
      <c r="N1366" t="s">
        <v>1099</v>
      </c>
      <c r="O1366">
        <f>Table1[[#This Row],[Unit_Price]]*Table1[[#This Row],[Quantity]]</f>
        <v>360</v>
      </c>
    </row>
    <row r="1367" spans="1:15" x14ac:dyDescent="0.3">
      <c r="A1367" t="s">
        <v>3082</v>
      </c>
      <c r="B1367" t="s">
        <v>1551</v>
      </c>
      <c r="C1367" t="s">
        <v>160</v>
      </c>
      <c r="D1367" t="s">
        <v>1055</v>
      </c>
      <c r="E1367">
        <v>4</v>
      </c>
      <c r="F1367">
        <f>_xlfn.XLOOKUP(Table1[[#This Row],[ProductID]],Products!A:A,Products!D:D,,0)</f>
        <v>75</v>
      </c>
      <c r="I1367">
        <v>299</v>
      </c>
      <c r="J1367">
        <v>299</v>
      </c>
      <c r="K1367" t="s">
        <v>1102</v>
      </c>
      <c r="L1367">
        <v>1196</v>
      </c>
      <c r="M1367" t="s">
        <v>1093</v>
      </c>
      <c r="N1367" t="s">
        <v>1123</v>
      </c>
      <c r="O1367">
        <f>Table1[[#This Row],[Unit_Price]]*Table1[[#This Row],[Quantity]]</f>
        <v>300</v>
      </c>
    </row>
    <row r="1368" spans="1:15" x14ac:dyDescent="0.3">
      <c r="A1368" t="s">
        <v>3083</v>
      </c>
      <c r="B1368" t="s">
        <v>1662</v>
      </c>
      <c r="C1368" t="s">
        <v>395</v>
      </c>
      <c r="D1368" t="s">
        <v>1073</v>
      </c>
      <c r="E1368">
        <v>3</v>
      </c>
      <c r="F1368">
        <f>_xlfn.XLOOKUP(Table1[[#This Row],[ProductID]],Products!A:A,Products!D:D,,0)</f>
        <v>100</v>
      </c>
      <c r="I1368">
        <v>349</v>
      </c>
      <c r="J1368">
        <v>314</v>
      </c>
      <c r="K1368" t="s">
        <v>1107</v>
      </c>
      <c r="L1368">
        <v>942</v>
      </c>
      <c r="M1368" t="s">
        <v>1093</v>
      </c>
      <c r="N1368" t="s">
        <v>1099</v>
      </c>
      <c r="O1368">
        <f>Table1[[#This Row],[Unit_Price]]*Table1[[#This Row],[Quantity]]</f>
        <v>300</v>
      </c>
    </row>
    <row r="1369" spans="1:15" x14ac:dyDescent="0.3">
      <c r="A1369" t="s">
        <v>3084</v>
      </c>
      <c r="B1369" t="s">
        <v>1296</v>
      </c>
      <c r="C1369" t="s">
        <v>575</v>
      </c>
      <c r="D1369" t="s">
        <v>1064</v>
      </c>
      <c r="E1369">
        <v>2</v>
      </c>
      <c r="F1369">
        <f>_xlfn.XLOOKUP(Table1[[#This Row],[ProductID]],Products!A:A,Products!D:D,,0)</f>
        <v>160</v>
      </c>
      <c r="I1369">
        <v>699</v>
      </c>
      <c r="J1369">
        <v>699</v>
      </c>
      <c r="K1369" t="s">
        <v>1102</v>
      </c>
      <c r="L1369">
        <v>1398</v>
      </c>
      <c r="M1369" t="s">
        <v>1098</v>
      </c>
      <c r="N1369" t="s">
        <v>1099</v>
      </c>
      <c r="O1369">
        <f>Table1[[#This Row],[Unit_Price]]*Table1[[#This Row],[Quantity]]</f>
        <v>320</v>
      </c>
    </row>
    <row r="1370" spans="1:15" x14ac:dyDescent="0.3">
      <c r="A1370" t="s">
        <v>3085</v>
      </c>
      <c r="B1370" t="s">
        <v>3086</v>
      </c>
      <c r="C1370" t="s">
        <v>803</v>
      </c>
      <c r="D1370" t="s">
        <v>1078</v>
      </c>
      <c r="E1370">
        <v>2</v>
      </c>
      <c r="F1370">
        <f>_xlfn.XLOOKUP(Table1[[#This Row],[ProductID]],Products!A:A,Products!D:D,,0)</f>
        <v>80</v>
      </c>
      <c r="I1370">
        <v>499</v>
      </c>
      <c r="J1370">
        <v>449</v>
      </c>
      <c r="K1370" t="s">
        <v>1107</v>
      </c>
      <c r="L1370">
        <v>898</v>
      </c>
      <c r="M1370" t="s">
        <v>1093</v>
      </c>
      <c r="N1370" t="s">
        <v>1099</v>
      </c>
      <c r="O1370">
        <f>Table1[[#This Row],[Unit_Price]]*Table1[[#This Row],[Quantity]]</f>
        <v>160</v>
      </c>
    </row>
    <row r="1371" spans="1:15" x14ac:dyDescent="0.3">
      <c r="A1371" t="s">
        <v>3087</v>
      </c>
      <c r="B1371" t="s">
        <v>2518</v>
      </c>
      <c r="C1371" t="s">
        <v>779</v>
      </c>
      <c r="D1371" t="s">
        <v>1059</v>
      </c>
      <c r="E1371">
        <v>1</v>
      </c>
      <c r="F1371">
        <f>_xlfn.XLOOKUP(Table1[[#This Row],[ProductID]],Products!A:A,Products!D:D,,0)</f>
        <v>110</v>
      </c>
      <c r="I1371">
        <v>399</v>
      </c>
      <c r="J1371">
        <v>359</v>
      </c>
      <c r="K1371" t="s">
        <v>1107</v>
      </c>
      <c r="L1371">
        <v>359</v>
      </c>
      <c r="M1371" t="s">
        <v>1098</v>
      </c>
      <c r="N1371" t="s">
        <v>1099</v>
      </c>
      <c r="O1371">
        <f>Table1[[#This Row],[Unit_Price]]*Table1[[#This Row],[Quantity]]</f>
        <v>110</v>
      </c>
    </row>
    <row r="1372" spans="1:15" x14ac:dyDescent="0.3">
      <c r="A1372" t="s">
        <v>3088</v>
      </c>
      <c r="B1372" t="s">
        <v>2749</v>
      </c>
      <c r="C1372" t="s">
        <v>615</v>
      </c>
      <c r="D1372" t="s">
        <v>1062</v>
      </c>
      <c r="E1372">
        <v>1</v>
      </c>
      <c r="F1372">
        <f>_xlfn.XLOOKUP(Table1[[#This Row],[ProductID]],Products!A:A,Products!D:D,,0)</f>
        <v>95</v>
      </c>
      <c r="I1372">
        <v>349</v>
      </c>
      <c r="J1372">
        <v>314</v>
      </c>
      <c r="K1372" t="s">
        <v>1107</v>
      </c>
      <c r="L1372">
        <v>314</v>
      </c>
      <c r="M1372" t="s">
        <v>1093</v>
      </c>
      <c r="N1372" t="s">
        <v>1099</v>
      </c>
      <c r="O1372">
        <f>Table1[[#This Row],[Unit_Price]]*Table1[[#This Row],[Quantity]]</f>
        <v>95</v>
      </c>
    </row>
    <row r="1373" spans="1:15" x14ac:dyDescent="0.3">
      <c r="A1373" t="s">
        <v>3089</v>
      </c>
      <c r="B1373" t="s">
        <v>1909</v>
      </c>
      <c r="C1373" t="s">
        <v>911</v>
      </c>
      <c r="D1373" t="s">
        <v>1064</v>
      </c>
      <c r="E1373">
        <v>1</v>
      </c>
      <c r="F1373">
        <f>_xlfn.XLOOKUP(Table1[[#This Row],[ProductID]],Products!A:A,Products!D:D,,0)</f>
        <v>160</v>
      </c>
      <c r="I1373">
        <v>699</v>
      </c>
      <c r="J1373">
        <v>699</v>
      </c>
      <c r="K1373" t="s">
        <v>1102</v>
      </c>
      <c r="L1373">
        <v>699</v>
      </c>
      <c r="M1373" t="s">
        <v>1118</v>
      </c>
      <c r="N1373" t="s">
        <v>1099</v>
      </c>
      <c r="O1373">
        <f>Table1[[#This Row],[Unit_Price]]*Table1[[#This Row],[Quantity]]</f>
        <v>160</v>
      </c>
    </row>
    <row r="1374" spans="1:15" x14ac:dyDescent="0.3">
      <c r="A1374" t="s">
        <v>3090</v>
      </c>
      <c r="B1374" t="s">
        <v>1551</v>
      </c>
      <c r="C1374" t="s">
        <v>977</v>
      </c>
      <c r="D1374" t="s">
        <v>1055</v>
      </c>
      <c r="E1374">
        <v>1</v>
      </c>
      <c r="F1374">
        <f>_xlfn.XLOOKUP(Table1[[#This Row],[ProductID]],Products!A:A,Products!D:D,,0)</f>
        <v>75</v>
      </c>
      <c r="I1374">
        <v>299</v>
      </c>
      <c r="J1374">
        <v>269</v>
      </c>
      <c r="K1374" t="s">
        <v>1107</v>
      </c>
      <c r="L1374">
        <v>269</v>
      </c>
      <c r="M1374" t="s">
        <v>1093</v>
      </c>
      <c r="N1374" t="s">
        <v>1099</v>
      </c>
      <c r="O1374">
        <f>Table1[[#This Row],[Unit_Price]]*Table1[[#This Row],[Quantity]]</f>
        <v>75</v>
      </c>
    </row>
    <row r="1375" spans="1:15" x14ac:dyDescent="0.3">
      <c r="A1375" t="s">
        <v>3091</v>
      </c>
      <c r="B1375" t="s">
        <v>1797</v>
      </c>
      <c r="C1375" t="s">
        <v>427</v>
      </c>
      <c r="D1375" t="s">
        <v>1048</v>
      </c>
      <c r="E1375">
        <v>3</v>
      </c>
      <c r="F1375">
        <f>_xlfn.XLOOKUP(Table1[[#This Row],[ProductID]],Products!A:A,Products!D:D,,0)</f>
        <v>120</v>
      </c>
      <c r="I1375">
        <v>599</v>
      </c>
      <c r="J1375">
        <v>539</v>
      </c>
      <c r="K1375" t="s">
        <v>1107</v>
      </c>
      <c r="L1375">
        <v>1617</v>
      </c>
      <c r="M1375" t="s">
        <v>1093</v>
      </c>
      <c r="N1375" t="s">
        <v>1099</v>
      </c>
      <c r="O1375">
        <f>Table1[[#This Row],[Unit_Price]]*Table1[[#This Row],[Quantity]]</f>
        <v>360</v>
      </c>
    </row>
    <row r="1376" spans="1:15" x14ac:dyDescent="0.3">
      <c r="A1376" t="s">
        <v>3092</v>
      </c>
      <c r="B1376" t="s">
        <v>1709</v>
      </c>
      <c r="C1376" t="s">
        <v>979</v>
      </c>
      <c r="D1376" t="s">
        <v>1080</v>
      </c>
      <c r="E1376">
        <v>1</v>
      </c>
      <c r="F1376">
        <f>_xlfn.XLOOKUP(Table1[[#This Row],[ProductID]],Products!A:A,Products!D:D,,0)</f>
        <v>45</v>
      </c>
      <c r="I1376">
        <v>249</v>
      </c>
      <c r="J1376">
        <v>212</v>
      </c>
      <c r="K1376" t="s">
        <v>1092</v>
      </c>
      <c r="L1376">
        <v>212</v>
      </c>
      <c r="M1376" t="s">
        <v>1098</v>
      </c>
      <c r="N1376" t="s">
        <v>1099</v>
      </c>
      <c r="O1376">
        <f>Table1[[#This Row],[Unit_Price]]*Table1[[#This Row],[Quantity]]</f>
        <v>45</v>
      </c>
    </row>
    <row r="1377" spans="1:15" x14ac:dyDescent="0.3">
      <c r="A1377" t="s">
        <v>3093</v>
      </c>
      <c r="B1377" t="s">
        <v>2395</v>
      </c>
      <c r="C1377" t="s">
        <v>823</v>
      </c>
      <c r="D1377" t="s">
        <v>1068</v>
      </c>
      <c r="E1377">
        <v>2</v>
      </c>
      <c r="F1377">
        <f>_xlfn.XLOOKUP(Table1[[#This Row],[ProductID]],Products!A:A,Products!D:D,,0)</f>
        <v>180</v>
      </c>
      <c r="I1377">
        <v>449</v>
      </c>
      <c r="J1377">
        <v>449</v>
      </c>
      <c r="K1377" t="s">
        <v>1102</v>
      </c>
      <c r="L1377">
        <v>898</v>
      </c>
      <c r="M1377" t="s">
        <v>1093</v>
      </c>
      <c r="N1377" t="s">
        <v>1094</v>
      </c>
      <c r="O1377">
        <f>Table1[[#This Row],[Unit_Price]]*Table1[[#This Row],[Quantity]]</f>
        <v>360</v>
      </c>
    </row>
    <row r="1378" spans="1:15" x14ac:dyDescent="0.3">
      <c r="A1378" t="s">
        <v>3094</v>
      </c>
      <c r="B1378" t="s">
        <v>1472</v>
      </c>
      <c r="C1378" t="s">
        <v>527</v>
      </c>
      <c r="D1378" t="s">
        <v>1068</v>
      </c>
      <c r="E1378">
        <v>2</v>
      </c>
      <c r="F1378">
        <f>_xlfn.XLOOKUP(Table1[[#This Row],[ProductID]],Products!A:A,Products!D:D,,0)</f>
        <v>180</v>
      </c>
      <c r="I1378">
        <v>449</v>
      </c>
      <c r="J1378">
        <v>359</v>
      </c>
      <c r="K1378" t="s">
        <v>1097</v>
      </c>
      <c r="L1378">
        <v>718</v>
      </c>
      <c r="M1378" t="s">
        <v>1098</v>
      </c>
      <c r="N1378" t="s">
        <v>1099</v>
      </c>
      <c r="O1378">
        <f>Table1[[#This Row],[Unit_Price]]*Table1[[#This Row],[Quantity]]</f>
        <v>360</v>
      </c>
    </row>
    <row r="1379" spans="1:15" x14ac:dyDescent="0.3">
      <c r="A1379" t="s">
        <v>3095</v>
      </c>
      <c r="B1379" t="s">
        <v>3096</v>
      </c>
      <c r="C1379" t="s">
        <v>545</v>
      </c>
      <c r="D1379" t="s">
        <v>1075</v>
      </c>
      <c r="E1379">
        <v>2</v>
      </c>
      <c r="F1379">
        <f>_xlfn.XLOOKUP(Table1[[#This Row],[ProductID]],Products!A:A,Products!D:D,,0)</f>
        <v>80</v>
      </c>
      <c r="I1379">
        <v>499</v>
      </c>
      <c r="J1379">
        <v>424</v>
      </c>
      <c r="K1379" t="s">
        <v>1092</v>
      </c>
      <c r="L1379">
        <v>848</v>
      </c>
      <c r="M1379" t="s">
        <v>1098</v>
      </c>
      <c r="N1379" t="s">
        <v>1099</v>
      </c>
      <c r="O1379">
        <f>Table1[[#This Row],[Unit_Price]]*Table1[[#This Row],[Quantity]]</f>
        <v>160</v>
      </c>
    </row>
    <row r="1380" spans="1:15" x14ac:dyDescent="0.3">
      <c r="A1380" t="s">
        <v>3097</v>
      </c>
      <c r="B1380" t="s">
        <v>2573</v>
      </c>
      <c r="C1380" t="s">
        <v>757</v>
      </c>
      <c r="D1380" t="s">
        <v>1062</v>
      </c>
      <c r="E1380">
        <v>2</v>
      </c>
      <c r="F1380">
        <f>_xlfn.XLOOKUP(Table1[[#This Row],[ProductID]],Products!A:A,Products!D:D,,0)</f>
        <v>95</v>
      </c>
      <c r="I1380">
        <v>349</v>
      </c>
      <c r="J1380">
        <v>314</v>
      </c>
      <c r="K1380" t="s">
        <v>1107</v>
      </c>
      <c r="L1380">
        <v>628</v>
      </c>
      <c r="M1380" t="s">
        <v>1093</v>
      </c>
      <c r="N1380" t="s">
        <v>1099</v>
      </c>
      <c r="O1380">
        <f>Table1[[#This Row],[Unit_Price]]*Table1[[#This Row],[Quantity]]</f>
        <v>190</v>
      </c>
    </row>
    <row r="1381" spans="1:15" x14ac:dyDescent="0.3">
      <c r="A1381" t="s">
        <v>3098</v>
      </c>
      <c r="B1381" t="s">
        <v>2500</v>
      </c>
      <c r="C1381" t="s">
        <v>83</v>
      </c>
      <c r="D1381" t="s">
        <v>1068</v>
      </c>
      <c r="E1381">
        <v>2</v>
      </c>
      <c r="F1381">
        <f>_xlfn.XLOOKUP(Table1[[#This Row],[ProductID]],Products!A:A,Products!D:D,,0)</f>
        <v>180</v>
      </c>
      <c r="I1381">
        <v>449</v>
      </c>
      <c r="J1381">
        <v>359</v>
      </c>
      <c r="K1381" t="s">
        <v>1097</v>
      </c>
      <c r="L1381">
        <v>718</v>
      </c>
      <c r="M1381" t="s">
        <v>1093</v>
      </c>
      <c r="N1381" t="s">
        <v>1099</v>
      </c>
      <c r="O1381">
        <f>Table1[[#This Row],[Unit_Price]]*Table1[[#This Row],[Quantity]]</f>
        <v>360</v>
      </c>
    </row>
    <row r="1382" spans="1:15" x14ac:dyDescent="0.3">
      <c r="A1382" t="s">
        <v>3099</v>
      </c>
      <c r="B1382" t="s">
        <v>1349</v>
      </c>
      <c r="C1382" t="s">
        <v>611</v>
      </c>
      <c r="D1382" t="s">
        <v>1048</v>
      </c>
      <c r="E1382">
        <v>1</v>
      </c>
      <c r="F1382">
        <f>_xlfn.XLOOKUP(Table1[[#This Row],[ProductID]],Products!A:A,Products!D:D,,0)</f>
        <v>120</v>
      </c>
      <c r="I1382">
        <v>599</v>
      </c>
      <c r="J1382">
        <v>539</v>
      </c>
      <c r="K1382" t="s">
        <v>1107</v>
      </c>
      <c r="L1382">
        <v>539</v>
      </c>
      <c r="M1382" t="s">
        <v>1093</v>
      </c>
      <c r="N1382" t="s">
        <v>1094</v>
      </c>
      <c r="O1382">
        <f>Table1[[#This Row],[Unit_Price]]*Table1[[#This Row],[Quantity]]</f>
        <v>120</v>
      </c>
    </row>
    <row r="1383" spans="1:15" x14ac:dyDescent="0.3">
      <c r="A1383" t="s">
        <v>3100</v>
      </c>
      <c r="B1383" t="s">
        <v>2328</v>
      </c>
      <c r="C1383" t="s">
        <v>825</v>
      </c>
      <c r="D1383" t="s">
        <v>1062</v>
      </c>
      <c r="E1383">
        <v>2</v>
      </c>
      <c r="F1383">
        <f>_xlfn.XLOOKUP(Table1[[#This Row],[ProductID]],Products!A:A,Products!D:D,,0)</f>
        <v>95</v>
      </c>
      <c r="I1383">
        <v>349</v>
      </c>
      <c r="J1383">
        <v>314</v>
      </c>
      <c r="K1383" t="s">
        <v>1107</v>
      </c>
      <c r="L1383">
        <v>628</v>
      </c>
      <c r="M1383" t="s">
        <v>1098</v>
      </c>
      <c r="N1383" t="s">
        <v>1099</v>
      </c>
      <c r="O1383">
        <f>Table1[[#This Row],[Unit_Price]]*Table1[[#This Row],[Quantity]]</f>
        <v>190</v>
      </c>
    </row>
    <row r="1384" spans="1:15" x14ac:dyDescent="0.3">
      <c r="A1384" t="s">
        <v>3101</v>
      </c>
      <c r="B1384" t="s">
        <v>1416</v>
      </c>
      <c r="C1384" t="s">
        <v>14</v>
      </c>
      <c r="D1384" t="s">
        <v>1062</v>
      </c>
      <c r="E1384">
        <v>1</v>
      </c>
      <c r="F1384">
        <f>_xlfn.XLOOKUP(Table1[[#This Row],[ProductID]],Products!A:A,Products!D:D,,0)</f>
        <v>95</v>
      </c>
      <c r="I1384">
        <v>349</v>
      </c>
      <c r="J1384">
        <v>349</v>
      </c>
      <c r="K1384" t="s">
        <v>1102</v>
      </c>
      <c r="L1384">
        <v>349</v>
      </c>
      <c r="M1384" t="s">
        <v>1093</v>
      </c>
      <c r="N1384" t="s">
        <v>1099</v>
      </c>
      <c r="O1384">
        <f>Table1[[#This Row],[Unit_Price]]*Table1[[#This Row],[Quantity]]</f>
        <v>95</v>
      </c>
    </row>
    <row r="1385" spans="1:15" x14ac:dyDescent="0.3">
      <c r="A1385" t="s">
        <v>3102</v>
      </c>
      <c r="B1385" t="s">
        <v>1880</v>
      </c>
      <c r="C1385" t="s">
        <v>435</v>
      </c>
      <c r="D1385" t="s">
        <v>1055</v>
      </c>
      <c r="E1385">
        <v>1</v>
      </c>
      <c r="F1385">
        <f>_xlfn.XLOOKUP(Table1[[#This Row],[ProductID]],Products!A:A,Products!D:D,,0)</f>
        <v>75</v>
      </c>
      <c r="I1385">
        <v>299</v>
      </c>
      <c r="J1385">
        <v>299</v>
      </c>
      <c r="K1385" t="s">
        <v>1102</v>
      </c>
      <c r="L1385">
        <v>299</v>
      </c>
      <c r="M1385" t="s">
        <v>1093</v>
      </c>
      <c r="N1385" t="s">
        <v>1094</v>
      </c>
      <c r="O1385">
        <f>Table1[[#This Row],[Unit_Price]]*Table1[[#This Row],[Quantity]]</f>
        <v>75</v>
      </c>
    </row>
    <row r="1386" spans="1:15" x14ac:dyDescent="0.3">
      <c r="A1386" t="s">
        <v>3103</v>
      </c>
      <c r="B1386" t="s">
        <v>1595</v>
      </c>
      <c r="C1386" t="s">
        <v>138</v>
      </c>
      <c r="D1386" t="s">
        <v>1080</v>
      </c>
      <c r="E1386">
        <v>2</v>
      </c>
      <c r="F1386">
        <f>_xlfn.XLOOKUP(Table1[[#This Row],[ProductID]],Products!A:A,Products!D:D,,0)</f>
        <v>45</v>
      </c>
      <c r="I1386">
        <v>249</v>
      </c>
      <c r="J1386">
        <v>199</v>
      </c>
      <c r="K1386" t="s">
        <v>1097</v>
      </c>
      <c r="L1386">
        <v>398</v>
      </c>
      <c r="M1386" t="s">
        <v>1118</v>
      </c>
      <c r="N1386" t="s">
        <v>1099</v>
      </c>
      <c r="O1386">
        <f>Table1[[#This Row],[Unit_Price]]*Table1[[#This Row],[Quantity]]</f>
        <v>90</v>
      </c>
    </row>
    <row r="1387" spans="1:15" x14ac:dyDescent="0.3">
      <c r="A1387" t="s">
        <v>3104</v>
      </c>
      <c r="B1387" t="s">
        <v>1329</v>
      </c>
      <c r="C1387" t="s">
        <v>453</v>
      </c>
      <c r="D1387" t="s">
        <v>1062</v>
      </c>
      <c r="E1387">
        <v>2</v>
      </c>
      <c r="F1387">
        <f>_xlfn.XLOOKUP(Table1[[#This Row],[ProductID]],Products!A:A,Products!D:D,,0)</f>
        <v>95</v>
      </c>
      <c r="I1387">
        <v>349</v>
      </c>
      <c r="J1387">
        <v>314</v>
      </c>
      <c r="K1387" t="s">
        <v>1107</v>
      </c>
      <c r="L1387">
        <v>628</v>
      </c>
      <c r="M1387" t="s">
        <v>1098</v>
      </c>
      <c r="N1387" t="s">
        <v>1099</v>
      </c>
      <c r="O1387">
        <f>Table1[[#This Row],[Unit_Price]]*Table1[[#This Row],[Quantity]]</f>
        <v>190</v>
      </c>
    </row>
    <row r="1388" spans="1:15" x14ac:dyDescent="0.3">
      <c r="A1388" t="s">
        <v>3105</v>
      </c>
      <c r="B1388" t="s">
        <v>1445</v>
      </c>
      <c r="C1388" t="s">
        <v>423</v>
      </c>
      <c r="D1388" t="s">
        <v>1062</v>
      </c>
      <c r="E1388">
        <v>1</v>
      </c>
      <c r="F1388">
        <f>_xlfn.XLOOKUP(Table1[[#This Row],[ProductID]],Products!A:A,Products!D:D,,0)</f>
        <v>95</v>
      </c>
      <c r="I1388">
        <v>349</v>
      </c>
      <c r="J1388">
        <v>297</v>
      </c>
      <c r="K1388" t="s">
        <v>1092</v>
      </c>
      <c r="L1388">
        <v>297</v>
      </c>
      <c r="M1388" t="s">
        <v>1098</v>
      </c>
      <c r="N1388" t="s">
        <v>1099</v>
      </c>
      <c r="O1388">
        <f>Table1[[#This Row],[Unit_Price]]*Table1[[#This Row],[Quantity]]</f>
        <v>95</v>
      </c>
    </row>
    <row r="1389" spans="1:15" x14ac:dyDescent="0.3">
      <c r="A1389" t="s">
        <v>3106</v>
      </c>
      <c r="B1389" t="s">
        <v>2523</v>
      </c>
      <c r="C1389" t="s">
        <v>565</v>
      </c>
      <c r="D1389" t="s">
        <v>1080</v>
      </c>
      <c r="E1389">
        <v>3</v>
      </c>
      <c r="F1389">
        <f>_xlfn.XLOOKUP(Table1[[#This Row],[ProductID]],Products!A:A,Products!D:D,,0)</f>
        <v>45</v>
      </c>
      <c r="I1389">
        <v>249</v>
      </c>
      <c r="J1389">
        <v>224</v>
      </c>
      <c r="K1389" t="s">
        <v>1107</v>
      </c>
      <c r="L1389">
        <v>672</v>
      </c>
      <c r="M1389" t="s">
        <v>1098</v>
      </c>
      <c r="N1389" t="s">
        <v>1099</v>
      </c>
      <c r="O1389">
        <f>Table1[[#This Row],[Unit_Price]]*Table1[[#This Row],[Quantity]]</f>
        <v>135</v>
      </c>
    </row>
    <row r="1390" spans="1:15" x14ac:dyDescent="0.3">
      <c r="A1390" t="s">
        <v>3107</v>
      </c>
      <c r="B1390" t="s">
        <v>2265</v>
      </c>
      <c r="C1390" t="s">
        <v>539</v>
      </c>
      <c r="D1390" t="s">
        <v>1073</v>
      </c>
      <c r="E1390">
        <v>1</v>
      </c>
      <c r="F1390">
        <f>_xlfn.XLOOKUP(Table1[[#This Row],[ProductID]],Products!A:A,Products!D:D,,0)</f>
        <v>100</v>
      </c>
      <c r="I1390">
        <v>349</v>
      </c>
      <c r="J1390">
        <v>314</v>
      </c>
      <c r="K1390" t="s">
        <v>1107</v>
      </c>
      <c r="L1390">
        <v>314</v>
      </c>
      <c r="M1390" t="s">
        <v>1093</v>
      </c>
      <c r="N1390" t="s">
        <v>1099</v>
      </c>
      <c r="O1390">
        <f>Table1[[#This Row],[Unit_Price]]*Table1[[#This Row],[Quantity]]</f>
        <v>100</v>
      </c>
    </row>
    <row r="1391" spans="1:15" x14ac:dyDescent="0.3">
      <c r="A1391" t="s">
        <v>3108</v>
      </c>
      <c r="B1391" t="s">
        <v>3109</v>
      </c>
      <c r="C1391" t="s">
        <v>477</v>
      </c>
      <c r="D1391" t="s">
        <v>1048</v>
      </c>
      <c r="E1391">
        <v>4</v>
      </c>
      <c r="F1391">
        <f>_xlfn.XLOOKUP(Table1[[#This Row],[ProductID]],Products!A:A,Products!D:D,,0)</f>
        <v>120</v>
      </c>
      <c r="I1391">
        <v>599</v>
      </c>
      <c r="J1391">
        <v>539</v>
      </c>
      <c r="K1391" t="s">
        <v>1107</v>
      </c>
      <c r="L1391">
        <v>2156</v>
      </c>
      <c r="M1391" t="s">
        <v>1093</v>
      </c>
      <c r="N1391" t="s">
        <v>1094</v>
      </c>
      <c r="O1391">
        <f>Table1[[#This Row],[Unit_Price]]*Table1[[#This Row],[Quantity]]</f>
        <v>480</v>
      </c>
    </row>
    <row r="1392" spans="1:15" x14ac:dyDescent="0.3">
      <c r="A1392" t="s">
        <v>3110</v>
      </c>
      <c r="B1392" t="s">
        <v>2645</v>
      </c>
      <c r="C1392" t="s">
        <v>603</v>
      </c>
      <c r="D1392" t="s">
        <v>1080</v>
      </c>
      <c r="E1392">
        <v>4</v>
      </c>
      <c r="F1392">
        <f>_xlfn.XLOOKUP(Table1[[#This Row],[ProductID]],Products!A:A,Products!D:D,,0)</f>
        <v>45</v>
      </c>
      <c r="I1392">
        <v>249</v>
      </c>
      <c r="J1392">
        <v>212</v>
      </c>
      <c r="K1392" t="s">
        <v>1092</v>
      </c>
      <c r="L1392">
        <v>848</v>
      </c>
      <c r="M1392" t="s">
        <v>1126</v>
      </c>
      <c r="N1392" t="s">
        <v>1099</v>
      </c>
      <c r="O1392">
        <f>Table1[[#This Row],[Unit_Price]]*Table1[[#This Row],[Quantity]]</f>
        <v>180</v>
      </c>
    </row>
    <row r="1393" spans="1:15" x14ac:dyDescent="0.3">
      <c r="A1393" t="s">
        <v>3111</v>
      </c>
      <c r="B1393" t="s">
        <v>1472</v>
      </c>
      <c r="C1393" t="s">
        <v>725</v>
      </c>
      <c r="D1393" t="s">
        <v>1062</v>
      </c>
      <c r="E1393">
        <v>1</v>
      </c>
      <c r="F1393">
        <f>_xlfn.XLOOKUP(Table1[[#This Row],[ProductID]],Products!A:A,Products!D:D,,0)</f>
        <v>95</v>
      </c>
      <c r="I1393">
        <v>349</v>
      </c>
      <c r="J1393">
        <v>297</v>
      </c>
      <c r="K1393" t="s">
        <v>1092</v>
      </c>
      <c r="L1393">
        <v>297</v>
      </c>
      <c r="M1393" t="s">
        <v>1093</v>
      </c>
      <c r="N1393" t="s">
        <v>1099</v>
      </c>
      <c r="O1393">
        <f>Table1[[#This Row],[Unit_Price]]*Table1[[#This Row],[Quantity]]</f>
        <v>95</v>
      </c>
    </row>
    <row r="1394" spans="1:15" x14ac:dyDescent="0.3">
      <c r="A1394" t="s">
        <v>3112</v>
      </c>
      <c r="B1394" t="s">
        <v>3113</v>
      </c>
      <c r="C1394" t="s">
        <v>807</v>
      </c>
      <c r="D1394" t="s">
        <v>1071</v>
      </c>
      <c r="E1394">
        <v>1</v>
      </c>
      <c r="F1394">
        <f>_xlfn.XLOOKUP(Table1[[#This Row],[ProductID]],Products!A:A,Products!D:D,,0)</f>
        <v>125</v>
      </c>
      <c r="I1394">
        <v>399</v>
      </c>
      <c r="J1394">
        <v>359</v>
      </c>
      <c r="K1394" t="s">
        <v>1107</v>
      </c>
      <c r="L1394">
        <v>359</v>
      </c>
      <c r="M1394" t="s">
        <v>1093</v>
      </c>
      <c r="N1394" t="s">
        <v>1099</v>
      </c>
      <c r="O1394">
        <f>Table1[[#This Row],[Unit_Price]]*Table1[[#This Row],[Quantity]]</f>
        <v>125</v>
      </c>
    </row>
    <row r="1395" spans="1:15" x14ac:dyDescent="0.3">
      <c r="A1395" t="s">
        <v>3114</v>
      </c>
      <c r="B1395" t="s">
        <v>1240</v>
      </c>
      <c r="C1395" t="s">
        <v>975</v>
      </c>
      <c r="D1395" t="s">
        <v>1051</v>
      </c>
      <c r="E1395">
        <v>1</v>
      </c>
      <c r="F1395">
        <f>_xlfn.XLOOKUP(Table1[[#This Row],[ProductID]],Products!A:A,Products!D:D,,0)</f>
        <v>150</v>
      </c>
      <c r="I1395">
        <v>499</v>
      </c>
      <c r="J1395">
        <v>499</v>
      </c>
      <c r="K1395" t="s">
        <v>1102</v>
      </c>
      <c r="L1395">
        <v>499</v>
      </c>
      <c r="M1395" t="s">
        <v>1098</v>
      </c>
      <c r="N1395" t="s">
        <v>1099</v>
      </c>
      <c r="O1395">
        <f>Table1[[#This Row],[Unit_Price]]*Table1[[#This Row],[Quantity]]</f>
        <v>150</v>
      </c>
    </row>
    <row r="1396" spans="1:15" x14ac:dyDescent="0.3">
      <c r="A1396" t="s">
        <v>3115</v>
      </c>
      <c r="B1396" t="s">
        <v>1604</v>
      </c>
      <c r="C1396" t="s">
        <v>545</v>
      </c>
      <c r="D1396" t="s">
        <v>1068</v>
      </c>
      <c r="E1396">
        <v>1</v>
      </c>
      <c r="F1396">
        <f>_xlfn.XLOOKUP(Table1[[#This Row],[ProductID]],Products!A:A,Products!D:D,,0)</f>
        <v>180</v>
      </c>
      <c r="I1396">
        <v>449</v>
      </c>
      <c r="J1396">
        <v>359</v>
      </c>
      <c r="K1396" t="s">
        <v>1097</v>
      </c>
      <c r="L1396">
        <v>359</v>
      </c>
      <c r="M1396" t="s">
        <v>1093</v>
      </c>
      <c r="N1396" t="s">
        <v>1099</v>
      </c>
      <c r="O1396">
        <f>Table1[[#This Row],[Unit_Price]]*Table1[[#This Row],[Quantity]]</f>
        <v>180</v>
      </c>
    </row>
    <row r="1397" spans="1:15" x14ac:dyDescent="0.3">
      <c r="A1397" t="s">
        <v>3116</v>
      </c>
      <c r="B1397" t="s">
        <v>1953</v>
      </c>
      <c r="C1397" t="s">
        <v>667</v>
      </c>
      <c r="D1397" t="s">
        <v>1048</v>
      </c>
      <c r="E1397">
        <v>1</v>
      </c>
      <c r="F1397">
        <f>_xlfn.XLOOKUP(Table1[[#This Row],[ProductID]],Products!A:A,Products!D:D,,0)</f>
        <v>120</v>
      </c>
      <c r="I1397">
        <v>599</v>
      </c>
      <c r="J1397">
        <v>599</v>
      </c>
      <c r="K1397" t="s">
        <v>1102</v>
      </c>
      <c r="L1397">
        <v>599</v>
      </c>
      <c r="M1397" t="s">
        <v>1093</v>
      </c>
      <c r="N1397" t="s">
        <v>1094</v>
      </c>
      <c r="O1397">
        <f>Table1[[#This Row],[Unit_Price]]*Table1[[#This Row],[Quantity]]</f>
        <v>120</v>
      </c>
    </row>
    <row r="1398" spans="1:15" x14ac:dyDescent="0.3">
      <c r="A1398" t="s">
        <v>3117</v>
      </c>
      <c r="B1398" t="s">
        <v>1830</v>
      </c>
      <c r="C1398" t="s">
        <v>323</v>
      </c>
      <c r="D1398" t="s">
        <v>1078</v>
      </c>
      <c r="E1398">
        <v>2</v>
      </c>
      <c r="F1398">
        <f>_xlfn.XLOOKUP(Table1[[#This Row],[ProductID]],Products!A:A,Products!D:D,,0)</f>
        <v>80</v>
      </c>
      <c r="I1398">
        <v>499</v>
      </c>
      <c r="J1398">
        <v>399</v>
      </c>
      <c r="K1398" t="s">
        <v>1097</v>
      </c>
      <c r="L1398">
        <v>798</v>
      </c>
      <c r="M1398" t="s">
        <v>1093</v>
      </c>
      <c r="N1398" t="s">
        <v>1123</v>
      </c>
      <c r="O1398">
        <f>Table1[[#This Row],[Unit_Price]]*Table1[[#This Row],[Quantity]]</f>
        <v>160</v>
      </c>
    </row>
    <row r="1399" spans="1:15" x14ac:dyDescent="0.3">
      <c r="A1399" t="s">
        <v>3118</v>
      </c>
      <c r="B1399" t="s">
        <v>1963</v>
      </c>
      <c r="C1399" t="s">
        <v>126</v>
      </c>
      <c r="D1399" t="s">
        <v>1057</v>
      </c>
      <c r="E1399">
        <v>1</v>
      </c>
      <c r="F1399">
        <f>_xlfn.XLOOKUP(Table1[[#This Row],[ProductID]],Products!A:A,Products!D:D,,0)</f>
        <v>130</v>
      </c>
      <c r="I1399">
        <v>549</v>
      </c>
      <c r="J1399">
        <v>494</v>
      </c>
      <c r="K1399" t="s">
        <v>1107</v>
      </c>
      <c r="L1399">
        <v>494</v>
      </c>
      <c r="M1399" t="s">
        <v>1098</v>
      </c>
      <c r="N1399" t="s">
        <v>1099</v>
      </c>
      <c r="O1399">
        <f>Table1[[#This Row],[Unit_Price]]*Table1[[#This Row],[Quantity]]</f>
        <v>130</v>
      </c>
    </row>
    <row r="1400" spans="1:15" x14ac:dyDescent="0.3">
      <c r="A1400" t="s">
        <v>3119</v>
      </c>
      <c r="B1400" t="s">
        <v>1436</v>
      </c>
      <c r="C1400" t="s">
        <v>973</v>
      </c>
      <c r="D1400" t="s">
        <v>1073</v>
      </c>
      <c r="E1400">
        <v>1</v>
      </c>
      <c r="F1400">
        <f>_xlfn.XLOOKUP(Table1[[#This Row],[ProductID]],Products!A:A,Products!D:D,,0)</f>
        <v>100</v>
      </c>
      <c r="I1400">
        <v>349</v>
      </c>
      <c r="J1400">
        <v>349</v>
      </c>
      <c r="K1400" t="s">
        <v>1102</v>
      </c>
      <c r="L1400">
        <v>349</v>
      </c>
      <c r="M1400" t="s">
        <v>1093</v>
      </c>
      <c r="N1400" t="s">
        <v>1099</v>
      </c>
      <c r="O1400">
        <f>Table1[[#This Row],[Unit_Price]]*Table1[[#This Row],[Quantity]]</f>
        <v>100</v>
      </c>
    </row>
    <row r="1401" spans="1:15" x14ac:dyDescent="0.3">
      <c r="A1401" t="s">
        <v>3120</v>
      </c>
      <c r="B1401" t="s">
        <v>1872</v>
      </c>
      <c r="C1401" t="s">
        <v>799</v>
      </c>
      <c r="D1401" t="s">
        <v>1078</v>
      </c>
      <c r="E1401">
        <v>1</v>
      </c>
      <c r="F1401">
        <f>_xlfn.XLOOKUP(Table1[[#This Row],[ProductID]],Products!A:A,Products!D:D,,0)</f>
        <v>80</v>
      </c>
      <c r="I1401">
        <v>499</v>
      </c>
      <c r="J1401">
        <v>399</v>
      </c>
      <c r="K1401" t="s">
        <v>1097</v>
      </c>
      <c r="L1401">
        <v>399</v>
      </c>
      <c r="M1401" t="s">
        <v>1098</v>
      </c>
      <c r="N1401" t="s">
        <v>1099</v>
      </c>
      <c r="O1401">
        <f>Table1[[#This Row],[Unit_Price]]*Table1[[#This Row],[Quantity]]</f>
        <v>80</v>
      </c>
    </row>
    <row r="1402" spans="1:15" x14ac:dyDescent="0.3">
      <c r="A1402" t="s">
        <v>3121</v>
      </c>
      <c r="B1402" t="s">
        <v>1236</v>
      </c>
      <c r="C1402" t="s">
        <v>777</v>
      </c>
      <c r="D1402" t="s">
        <v>1062</v>
      </c>
      <c r="E1402">
        <v>3</v>
      </c>
      <c r="F1402">
        <f>_xlfn.XLOOKUP(Table1[[#This Row],[ProductID]],Products!A:A,Products!D:D,,0)</f>
        <v>95</v>
      </c>
      <c r="I1402">
        <v>349</v>
      </c>
      <c r="J1402">
        <v>349</v>
      </c>
      <c r="K1402" t="s">
        <v>1102</v>
      </c>
      <c r="L1402">
        <v>1047</v>
      </c>
      <c r="M1402" t="s">
        <v>1118</v>
      </c>
      <c r="N1402" t="s">
        <v>1099</v>
      </c>
      <c r="O1402">
        <f>Table1[[#This Row],[Unit_Price]]*Table1[[#This Row],[Quantity]]</f>
        <v>285</v>
      </c>
    </row>
    <row r="1403" spans="1:15" x14ac:dyDescent="0.3">
      <c r="A1403" t="s">
        <v>3122</v>
      </c>
      <c r="B1403" t="s">
        <v>2158</v>
      </c>
      <c r="C1403" t="s">
        <v>607</v>
      </c>
      <c r="D1403" t="s">
        <v>1048</v>
      </c>
      <c r="E1403">
        <v>1</v>
      </c>
      <c r="F1403">
        <f>_xlfn.XLOOKUP(Table1[[#This Row],[ProductID]],Products!A:A,Products!D:D,,0)</f>
        <v>120</v>
      </c>
      <c r="I1403">
        <v>599</v>
      </c>
      <c r="J1403">
        <v>509</v>
      </c>
      <c r="K1403" t="s">
        <v>1092</v>
      </c>
      <c r="L1403">
        <v>509</v>
      </c>
      <c r="M1403" t="s">
        <v>1098</v>
      </c>
      <c r="N1403" t="s">
        <v>1094</v>
      </c>
      <c r="O1403">
        <f>Table1[[#This Row],[Unit_Price]]*Table1[[#This Row],[Quantity]]</f>
        <v>120</v>
      </c>
    </row>
    <row r="1404" spans="1:15" x14ac:dyDescent="0.3">
      <c r="A1404" t="s">
        <v>3123</v>
      </c>
      <c r="B1404" t="s">
        <v>3124</v>
      </c>
      <c r="C1404" t="s">
        <v>919</v>
      </c>
      <c r="D1404" t="s">
        <v>1055</v>
      </c>
      <c r="E1404">
        <v>1</v>
      </c>
      <c r="F1404">
        <f>_xlfn.XLOOKUP(Table1[[#This Row],[ProductID]],Products!A:A,Products!D:D,,0)</f>
        <v>75</v>
      </c>
      <c r="I1404">
        <v>299</v>
      </c>
      <c r="J1404">
        <v>269</v>
      </c>
      <c r="K1404" t="s">
        <v>1107</v>
      </c>
      <c r="L1404">
        <v>269</v>
      </c>
      <c r="M1404" t="s">
        <v>1098</v>
      </c>
      <c r="N1404" t="s">
        <v>1099</v>
      </c>
      <c r="O1404">
        <f>Table1[[#This Row],[Unit_Price]]*Table1[[#This Row],[Quantity]]</f>
        <v>75</v>
      </c>
    </row>
    <row r="1405" spans="1:15" x14ac:dyDescent="0.3">
      <c r="A1405" t="s">
        <v>3125</v>
      </c>
      <c r="B1405" t="s">
        <v>1723</v>
      </c>
      <c r="C1405" t="s">
        <v>603</v>
      </c>
      <c r="D1405" t="s">
        <v>1059</v>
      </c>
      <c r="E1405">
        <v>1</v>
      </c>
      <c r="F1405">
        <f>_xlfn.XLOOKUP(Table1[[#This Row],[ProductID]],Products!A:A,Products!D:D,,0)</f>
        <v>110</v>
      </c>
      <c r="I1405">
        <v>399</v>
      </c>
      <c r="J1405">
        <v>399</v>
      </c>
      <c r="K1405" t="s">
        <v>1102</v>
      </c>
      <c r="L1405">
        <v>399</v>
      </c>
      <c r="M1405" t="s">
        <v>1093</v>
      </c>
      <c r="N1405" t="s">
        <v>1094</v>
      </c>
      <c r="O1405">
        <f>Table1[[#This Row],[Unit_Price]]*Table1[[#This Row],[Quantity]]</f>
        <v>110</v>
      </c>
    </row>
    <row r="1406" spans="1:15" x14ac:dyDescent="0.3">
      <c r="A1406" t="s">
        <v>3126</v>
      </c>
      <c r="B1406" t="s">
        <v>1963</v>
      </c>
      <c r="C1406" t="s">
        <v>130</v>
      </c>
      <c r="D1406" t="s">
        <v>1064</v>
      </c>
      <c r="E1406">
        <v>2</v>
      </c>
      <c r="F1406">
        <f>_xlfn.XLOOKUP(Table1[[#This Row],[ProductID]],Products!A:A,Products!D:D,,0)</f>
        <v>160</v>
      </c>
      <c r="I1406">
        <v>699</v>
      </c>
      <c r="J1406">
        <v>629</v>
      </c>
      <c r="K1406" t="s">
        <v>1107</v>
      </c>
      <c r="L1406">
        <v>1258</v>
      </c>
      <c r="M1406" t="s">
        <v>1098</v>
      </c>
      <c r="N1406" t="s">
        <v>1099</v>
      </c>
      <c r="O1406">
        <f>Table1[[#This Row],[Unit_Price]]*Table1[[#This Row],[Quantity]]</f>
        <v>320</v>
      </c>
    </row>
    <row r="1407" spans="1:15" x14ac:dyDescent="0.3">
      <c r="A1407" t="s">
        <v>3127</v>
      </c>
      <c r="B1407" t="s">
        <v>1132</v>
      </c>
      <c r="C1407" t="s">
        <v>887</v>
      </c>
      <c r="D1407" t="s">
        <v>1055</v>
      </c>
      <c r="E1407">
        <v>1</v>
      </c>
      <c r="F1407">
        <f>_xlfn.XLOOKUP(Table1[[#This Row],[ProductID]],Products!A:A,Products!D:D,,0)</f>
        <v>75</v>
      </c>
      <c r="I1407">
        <v>299</v>
      </c>
      <c r="J1407">
        <v>254</v>
      </c>
      <c r="K1407" t="s">
        <v>1092</v>
      </c>
      <c r="L1407">
        <v>254</v>
      </c>
      <c r="M1407" t="s">
        <v>1093</v>
      </c>
      <c r="N1407" t="s">
        <v>1094</v>
      </c>
      <c r="O1407">
        <f>Table1[[#This Row],[Unit_Price]]*Table1[[#This Row],[Quantity]]</f>
        <v>75</v>
      </c>
    </row>
    <row r="1408" spans="1:15" x14ac:dyDescent="0.3">
      <c r="A1408" t="s">
        <v>3128</v>
      </c>
      <c r="B1408" t="s">
        <v>3129</v>
      </c>
      <c r="C1408" t="s">
        <v>124</v>
      </c>
      <c r="D1408" t="s">
        <v>1062</v>
      </c>
      <c r="E1408">
        <v>1</v>
      </c>
      <c r="F1408">
        <f>_xlfn.XLOOKUP(Table1[[#This Row],[ProductID]],Products!A:A,Products!D:D,,0)</f>
        <v>95</v>
      </c>
      <c r="I1408">
        <v>349</v>
      </c>
      <c r="J1408">
        <v>349</v>
      </c>
      <c r="K1408" t="s">
        <v>1102</v>
      </c>
      <c r="L1408">
        <v>349</v>
      </c>
      <c r="M1408" t="s">
        <v>1126</v>
      </c>
      <c r="N1408" t="s">
        <v>1099</v>
      </c>
      <c r="O1408">
        <f>Table1[[#This Row],[Unit_Price]]*Table1[[#This Row],[Quantity]]</f>
        <v>95</v>
      </c>
    </row>
    <row r="1409" spans="1:15" x14ac:dyDescent="0.3">
      <c r="A1409" t="s">
        <v>3130</v>
      </c>
      <c r="B1409" t="s">
        <v>1404</v>
      </c>
      <c r="C1409" t="s">
        <v>653</v>
      </c>
      <c r="D1409" t="s">
        <v>1080</v>
      </c>
      <c r="E1409">
        <v>2</v>
      </c>
      <c r="F1409">
        <f>_xlfn.XLOOKUP(Table1[[#This Row],[ProductID]],Products!A:A,Products!D:D,,0)</f>
        <v>45</v>
      </c>
      <c r="I1409">
        <v>249</v>
      </c>
      <c r="J1409">
        <v>249</v>
      </c>
      <c r="K1409" t="s">
        <v>1102</v>
      </c>
      <c r="L1409">
        <v>498</v>
      </c>
      <c r="M1409" t="s">
        <v>1098</v>
      </c>
      <c r="N1409" t="s">
        <v>1099</v>
      </c>
      <c r="O1409">
        <f>Table1[[#This Row],[Unit_Price]]*Table1[[#This Row],[Quantity]]</f>
        <v>90</v>
      </c>
    </row>
    <row r="1410" spans="1:15" x14ac:dyDescent="0.3">
      <c r="A1410" t="s">
        <v>3131</v>
      </c>
      <c r="B1410" t="s">
        <v>1761</v>
      </c>
      <c r="C1410" t="s">
        <v>1021</v>
      </c>
      <c r="D1410" t="s">
        <v>1071</v>
      </c>
      <c r="E1410">
        <v>3</v>
      </c>
      <c r="F1410">
        <f>_xlfn.XLOOKUP(Table1[[#This Row],[ProductID]],Products!A:A,Products!D:D,,0)</f>
        <v>125</v>
      </c>
      <c r="I1410">
        <v>399</v>
      </c>
      <c r="J1410">
        <v>339</v>
      </c>
      <c r="K1410" t="s">
        <v>1092</v>
      </c>
      <c r="L1410">
        <v>1017</v>
      </c>
      <c r="M1410" t="s">
        <v>1093</v>
      </c>
      <c r="N1410" t="s">
        <v>1123</v>
      </c>
      <c r="O1410">
        <f>Table1[[#This Row],[Unit_Price]]*Table1[[#This Row],[Quantity]]</f>
        <v>375</v>
      </c>
    </row>
    <row r="1411" spans="1:15" x14ac:dyDescent="0.3">
      <c r="A1411" t="s">
        <v>3132</v>
      </c>
      <c r="B1411" t="s">
        <v>1445</v>
      </c>
      <c r="C1411" t="s">
        <v>120</v>
      </c>
      <c r="D1411" t="s">
        <v>1068</v>
      </c>
      <c r="E1411">
        <v>1</v>
      </c>
      <c r="F1411">
        <f>_xlfn.XLOOKUP(Table1[[#This Row],[ProductID]],Products!A:A,Products!D:D,,0)</f>
        <v>180</v>
      </c>
      <c r="I1411">
        <v>449</v>
      </c>
      <c r="J1411">
        <v>382</v>
      </c>
      <c r="K1411" t="s">
        <v>1092</v>
      </c>
      <c r="L1411">
        <v>382</v>
      </c>
      <c r="M1411" t="s">
        <v>1093</v>
      </c>
      <c r="N1411" t="s">
        <v>1099</v>
      </c>
      <c r="O1411">
        <f>Table1[[#This Row],[Unit_Price]]*Table1[[#This Row],[Quantity]]</f>
        <v>180</v>
      </c>
    </row>
    <row r="1412" spans="1:15" x14ac:dyDescent="0.3">
      <c r="A1412" t="s">
        <v>3133</v>
      </c>
      <c r="B1412" t="s">
        <v>2198</v>
      </c>
      <c r="C1412" t="s">
        <v>307</v>
      </c>
      <c r="D1412" t="s">
        <v>1055</v>
      </c>
      <c r="E1412">
        <v>3</v>
      </c>
      <c r="F1412">
        <f>_xlfn.XLOOKUP(Table1[[#This Row],[ProductID]],Products!A:A,Products!D:D,,0)</f>
        <v>75</v>
      </c>
      <c r="I1412">
        <v>299</v>
      </c>
      <c r="J1412">
        <v>299</v>
      </c>
      <c r="K1412" t="s">
        <v>1102</v>
      </c>
      <c r="L1412">
        <v>897</v>
      </c>
      <c r="M1412" t="s">
        <v>1098</v>
      </c>
      <c r="N1412" t="s">
        <v>1099</v>
      </c>
      <c r="O1412">
        <f>Table1[[#This Row],[Unit_Price]]*Table1[[#This Row],[Quantity]]</f>
        <v>225</v>
      </c>
    </row>
    <row r="1413" spans="1:15" x14ac:dyDescent="0.3">
      <c r="A1413" t="s">
        <v>3134</v>
      </c>
      <c r="B1413" t="s">
        <v>3135</v>
      </c>
      <c r="C1413" t="s">
        <v>185</v>
      </c>
      <c r="D1413" t="s">
        <v>1048</v>
      </c>
      <c r="E1413">
        <v>1</v>
      </c>
      <c r="F1413">
        <f>_xlfn.XLOOKUP(Table1[[#This Row],[ProductID]],Products!A:A,Products!D:D,,0)</f>
        <v>120</v>
      </c>
      <c r="I1413">
        <v>599</v>
      </c>
      <c r="J1413">
        <v>509</v>
      </c>
      <c r="K1413" t="s">
        <v>1092</v>
      </c>
      <c r="L1413">
        <v>509</v>
      </c>
      <c r="M1413" t="s">
        <v>1093</v>
      </c>
      <c r="N1413" t="s">
        <v>1099</v>
      </c>
      <c r="O1413">
        <f>Table1[[#This Row],[Unit_Price]]*Table1[[#This Row],[Quantity]]</f>
        <v>120</v>
      </c>
    </row>
    <row r="1414" spans="1:15" x14ac:dyDescent="0.3">
      <c r="A1414" t="s">
        <v>3136</v>
      </c>
      <c r="B1414" t="s">
        <v>1694</v>
      </c>
      <c r="C1414" t="s">
        <v>553</v>
      </c>
      <c r="D1414" t="s">
        <v>1066</v>
      </c>
      <c r="E1414">
        <v>1</v>
      </c>
      <c r="F1414">
        <f>_xlfn.XLOOKUP(Table1[[#This Row],[ProductID]],Products!A:A,Products!D:D,,0)</f>
        <v>140</v>
      </c>
      <c r="I1414">
        <v>499</v>
      </c>
      <c r="J1414">
        <v>424</v>
      </c>
      <c r="K1414" t="s">
        <v>1092</v>
      </c>
      <c r="L1414">
        <v>424</v>
      </c>
      <c r="M1414" t="s">
        <v>1098</v>
      </c>
      <c r="N1414" t="s">
        <v>1099</v>
      </c>
      <c r="O1414">
        <f>Table1[[#This Row],[Unit_Price]]*Table1[[#This Row],[Quantity]]</f>
        <v>140</v>
      </c>
    </row>
    <row r="1415" spans="1:15" x14ac:dyDescent="0.3">
      <c r="A1415" t="s">
        <v>3137</v>
      </c>
      <c r="B1415" t="s">
        <v>1608</v>
      </c>
      <c r="C1415" t="s">
        <v>124</v>
      </c>
      <c r="D1415" t="s">
        <v>1068</v>
      </c>
      <c r="E1415">
        <v>1</v>
      </c>
      <c r="F1415">
        <f>_xlfn.XLOOKUP(Table1[[#This Row],[ProductID]],Products!A:A,Products!D:D,,0)</f>
        <v>180</v>
      </c>
      <c r="I1415">
        <v>449</v>
      </c>
      <c r="J1415">
        <v>359</v>
      </c>
      <c r="K1415" t="s">
        <v>1097</v>
      </c>
      <c r="L1415">
        <v>359</v>
      </c>
      <c r="M1415" t="s">
        <v>1098</v>
      </c>
      <c r="N1415" t="s">
        <v>1099</v>
      </c>
      <c r="O1415">
        <f>Table1[[#This Row],[Unit_Price]]*Table1[[#This Row],[Quantity]]</f>
        <v>180</v>
      </c>
    </row>
    <row r="1416" spans="1:15" x14ac:dyDescent="0.3">
      <c r="A1416" t="s">
        <v>3138</v>
      </c>
      <c r="B1416" t="s">
        <v>2963</v>
      </c>
      <c r="C1416" t="s">
        <v>703</v>
      </c>
      <c r="D1416" t="s">
        <v>1057</v>
      </c>
      <c r="E1416">
        <v>1</v>
      </c>
      <c r="F1416">
        <f>_xlfn.XLOOKUP(Table1[[#This Row],[ProductID]],Products!A:A,Products!D:D,,0)</f>
        <v>130</v>
      </c>
      <c r="I1416">
        <v>549</v>
      </c>
      <c r="J1416">
        <v>494</v>
      </c>
      <c r="K1416" t="s">
        <v>1107</v>
      </c>
      <c r="L1416">
        <v>494</v>
      </c>
      <c r="M1416" t="s">
        <v>1098</v>
      </c>
      <c r="N1416" t="s">
        <v>1099</v>
      </c>
      <c r="O1416">
        <f>Table1[[#This Row],[Unit_Price]]*Table1[[#This Row],[Quantity]]</f>
        <v>130</v>
      </c>
    </row>
    <row r="1417" spans="1:15" x14ac:dyDescent="0.3">
      <c r="A1417" t="s">
        <v>3139</v>
      </c>
      <c r="B1417" t="s">
        <v>1414</v>
      </c>
      <c r="C1417" t="s">
        <v>1041</v>
      </c>
      <c r="D1417" t="s">
        <v>1075</v>
      </c>
      <c r="E1417">
        <v>3</v>
      </c>
      <c r="F1417">
        <f>_xlfn.XLOOKUP(Table1[[#This Row],[ProductID]],Products!A:A,Products!D:D,,0)</f>
        <v>80</v>
      </c>
      <c r="I1417">
        <v>499</v>
      </c>
      <c r="J1417">
        <v>499</v>
      </c>
      <c r="K1417" t="s">
        <v>1102</v>
      </c>
      <c r="L1417">
        <v>1497</v>
      </c>
      <c r="M1417" t="s">
        <v>1093</v>
      </c>
      <c r="N1417" t="s">
        <v>1099</v>
      </c>
      <c r="O1417">
        <f>Table1[[#This Row],[Unit_Price]]*Table1[[#This Row],[Quantity]]</f>
        <v>240</v>
      </c>
    </row>
    <row r="1418" spans="1:15" x14ac:dyDescent="0.3">
      <c r="A1418" t="s">
        <v>3140</v>
      </c>
      <c r="B1418" t="s">
        <v>2541</v>
      </c>
      <c r="C1418" t="s">
        <v>711</v>
      </c>
      <c r="D1418" t="s">
        <v>1078</v>
      </c>
      <c r="E1418">
        <v>1</v>
      </c>
      <c r="F1418">
        <f>_xlfn.XLOOKUP(Table1[[#This Row],[ProductID]],Products!A:A,Products!D:D,,0)</f>
        <v>80</v>
      </c>
      <c r="I1418">
        <v>499</v>
      </c>
      <c r="J1418">
        <v>424</v>
      </c>
      <c r="K1418" t="s">
        <v>1092</v>
      </c>
      <c r="L1418">
        <v>424</v>
      </c>
      <c r="M1418" t="s">
        <v>1093</v>
      </c>
      <c r="N1418" t="s">
        <v>1099</v>
      </c>
      <c r="O1418">
        <f>Table1[[#This Row],[Unit_Price]]*Table1[[#This Row],[Quantity]]</f>
        <v>80</v>
      </c>
    </row>
    <row r="1419" spans="1:15" x14ac:dyDescent="0.3">
      <c r="A1419" t="s">
        <v>3141</v>
      </c>
      <c r="B1419" t="s">
        <v>1902</v>
      </c>
      <c r="C1419" t="s">
        <v>675</v>
      </c>
      <c r="D1419" t="s">
        <v>1073</v>
      </c>
      <c r="E1419">
        <v>1</v>
      </c>
      <c r="F1419">
        <f>_xlfn.XLOOKUP(Table1[[#This Row],[ProductID]],Products!A:A,Products!D:D,,0)</f>
        <v>100</v>
      </c>
      <c r="I1419">
        <v>349</v>
      </c>
      <c r="J1419">
        <v>297</v>
      </c>
      <c r="K1419" t="s">
        <v>1092</v>
      </c>
      <c r="L1419">
        <v>297</v>
      </c>
      <c r="M1419" t="s">
        <v>1098</v>
      </c>
      <c r="N1419" t="s">
        <v>1099</v>
      </c>
      <c r="O1419">
        <f>Table1[[#This Row],[Unit_Price]]*Table1[[#This Row],[Quantity]]</f>
        <v>100</v>
      </c>
    </row>
    <row r="1420" spans="1:15" x14ac:dyDescent="0.3">
      <c r="A1420" t="s">
        <v>3142</v>
      </c>
      <c r="B1420" t="s">
        <v>1202</v>
      </c>
      <c r="C1420" t="s">
        <v>713</v>
      </c>
      <c r="D1420" t="s">
        <v>1068</v>
      </c>
      <c r="E1420">
        <v>1</v>
      </c>
      <c r="F1420">
        <f>_xlfn.XLOOKUP(Table1[[#This Row],[ProductID]],Products!A:A,Products!D:D,,0)</f>
        <v>180</v>
      </c>
      <c r="I1420">
        <v>449</v>
      </c>
      <c r="J1420">
        <v>359</v>
      </c>
      <c r="K1420" t="s">
        <v>1097</v>
      </c>
      <c r="L1420">
        <v>359</v>
      </c>
      <c r="M1420" t="s">
        <v>1093</v>
      </c>
      <c r="N1420" t="s">
        <v>1123</v>
      </c>
      <c r="O1420">
        <f>Table1[[#This Row],[Unit_Price]]*Table1[[#This Row],[Quantity]]</f>
        <v>180</v>
      </c>
    </row>
    <row r="1421" spans="1:15" x14ac:dyDescent="0.3">
      <c r="A1421" t="s">
        <v>3143</v>
      </c>
      <c r="B1421" t="s">
        <v>2544</v>
      </c>
      <c r="C1421" t="s">
        <v>881</v>
      </c>
      <c r="D1421" t="s">
        <v>1055</v>
      </c>
      <c r="E1421">
        <v>1</v>
      </c>
      <c r="F1421">
        <f>_xlfn.XLOOKUP(Table1[[#This Row],[ProductID]],Products!A:A,Products!D:D,,0)</f>
        <v>75</v>
      </c>
      <c r="I1421">
        <v>299</v>
      </c>
      <c r="J1421">
        <v>299</v>
      </c>
      <c r="K1421" t="s">
        <v>1102</v>
      </c>
      <c r="L1421">
        <v>299</v>
      </c>
      <c r="M1421" t="s">
        <v>1093</v>
      </c>
      <c r="N1421" t="s">
        <v>1099</v>
      </c>
      <c r="O1421">
        <f>Table1[[#This Row],[Unit_Price]]*Table1[[#This Row],[Quantity]]</f>
        <v>75</v>
      </c>
    </row>
    <row r="1422" spans="1:15" x14ac:dyDescent="0.3">
      <c r="A1422" t="s">
        <v>3144</v>
      </c>
      <c r="B1422" t="s">
        <v>3145</v>
      </c>
      <c r="C1422" t="s">
        <v>477</v>
      </c>
      <c r="D1422" t="s">
        <v>1066</v>
      </c>
      <c r="E1422">
        <v>2</v>
      </c>
      <c r="F1422">
        <f>_xlfn.XLOOKUP(Table1[[#This Row],[ProductID]],Products!A:A,Products!D:D,,0)</f>
        <v>140</v>
      </c>
      <c r="I1422">
        <v>499</v>
      </c>
      <c r="J1422">
        <v>449</v>
      </c>
      <c r="K1422" t="s">
        <v>1107</v>
      </c>
      <c r="L1422">
        <v>898</v>
      </c>
      <c r="M1422" t="s">
        <v>1093</v>
      </c>
      <c r="N1422" t="s">
        <v>1099</v>
      </c>
      <c r="O1422">
        <f>Table1[[#This Row],[Unit_Price]]*Table1[[#This Row],[Quantity]]</f>
        <v>280</v>
      </c>
    </row>
    <row r="1423" spans="1:15" x14ac:dyDescent="0.3">
      <c r="A1423" t="s">
        <v>3146</v>
      </c>
      <c r="B1423" t="s">
        <v>2586</v>
      </c>
      <c r="C1423" t="s">
        <v>69</v>
      </c>
      <c r="D1423" t="s">
        <v>1078</v>
      </c>
      <c r="E1423">
        <v>2</v>
      </c>
      <c r="F1423">
        <f>_xlfn.XLOOKUP(Table1[[#This Row],[ProductID]],Products!A:A,Products!D:D,,0)</f>
        <v>80</v>
      </c>
      <c r="I1423">
        <v>499</v>
      </c>
      <c r="J1423">
        <v>424</v>
      </c>
      <c r="K1423" t="s">
        <v>1092</v>
      </c>
      <c r="L1423">
        <v>848</v>
      </c>
      <c r="M1423" t="s">
        <v>1093</v>
      </c>
      <c r="N1423" t="s">
        <v>1099</v>
      </c>
      <c r="O1423">
        <f>Table1[[#This Row],[Unit_Price]]*Table1[[#This Row],[Quantity]]</f>
        <v>160</v>
      </c>
    </row>
    <row r="1424" spans="1:15" x14ac:dyDescent="0.3">
      <c r="A1424" t="s">
        <v>3147</v>
      </c>
      <c r="B1424" t="s">
        <v>1347</v>
      </c>
      <c r="C1424" t="s">
        <v>979</v>
      </c>
      <c r="D1424" t="s">
        <v>1078</v>
      </c>
      <c r="E1424">
        <v>1</v>
      </c>
      <c r="F1424">
        <f>_xlfn.XLOOKUP(Table1[[#This Row],[ProductID]],Products!A:A,Products!D:D,,0)</f>
        <v>80</v>
      </c>
      <c r="I1424">
        <v>499</v>
      </c>
      <c r="J1424">
        <v>424</v>
      </c>
      <c r="K1424" t="s">
        <v>1092</v>
      </c>
      <c r="L1424">
        <v>424</v>
      </c>
      <c r="M1424" t="s">
        <v>1098</v>
      </c>
      <c r="N1424" t="s">
        <v>1099</v>
      </c>
      <c r="O1424">
        <f>Table1[[#This Row],[Unit_Price]]*Table1[[#This Row],[Quantity]]</f>
        <v>80</v>
      </c>
    </row>
    <row r="1425" spans="1:15" x14ac:dyDescent="0.3">
      <c r="A1425" t="s">
        <v>3148</v>
      </c>
      <c r="B1425" t="s">
        <v>2805</v>
      </c>
      <c r="C1425" t="s">
        <v>837</v>
      </c>
      <c r="D1425" t="s">
        <v>1075</v>
      </c>
      <c r="E1425">
        <v>1</v>
      </c>
      <c r="F1425">
        <f>_xlfn.XLOOKUP(Table1[[#This Row],[ProductID]],Products!A:A,Products!D:D,,0)</f>
        <v>80</v>
      </c>
      <c r="I1425">
        <v>499</v>
      </c>
      <c r="J1425">
        <v>449</v>
      </c>
      <c r="K1425" t="s">
        <v>1107</v>
      </c>
      <c r="L1425">
        <v>449</v>
      </c>
      <c r="M1425" t="s">
        <v>1093</v>
      </c>
      <c r="N1425" t="s">
        <v>1094</v>
      </c>
      <c r="O1425">
        <f>Table1[[#This Row],[Unit_Price]]*Table1[[#This Row],[Quantity]]</f>
        <v>80</v>
      </c>
    </row>
    <row r="1426" spans="1:15" x14ac:dyDescent="0.3">
      <c r="A1426" t="s">
        <v>3149</v>
      </c>
      <c r="B1426" t="s">
        <v>2749</v>
      </c>
      <c r="C1426" t="s">
        <v>615</v>
      </c>
      <c r="D1426" t="s">
        <v>1071</v>
      </c>
      <c r="E1426">
        <v>1</v>
      </c>
      <c r="F1426">
        <f>_xlfn.XLOOKUP(Table1[[#This Row],[ProductID]],Products!A:A,Products!D:D,,0)</f>
        <v>125</v>
      </c>
      <c r="I1426">
        <v>399</v>
      </c>
      <c r="J1426">
        <v>399</v>
      </c>
      <c r="K1426" t="s">
        <v>1102</v>
      </c>
      <c r="L1426">
        <v>399</v>
      </c>
      <c r="M1426" t="s">
        <v>1093</v>
      </c>
      <c r="N1426" t="s">
        <v>1099</v>
      </c>
      <c r="O1426">
        <f>Table1[[#This Row],[Unit_Price]]*Table1[[#This Row],[Quantity]]</f>
        <v>125</v>
      </c>
    </row>
    <row r="1427" spans="1:15" x14ac:dyDescent="0.3">
      <c r="A1427" t="s">
        <v>3150</v>
      </c>
      <c r="B1427" t="s">
        <v>2993</v>
      </c>
      <c r="C1427" t="s">
        <v>118</v>
      </c>
      <c r="D1427" t="s">
        <v>1059</v>
      </c>
      <c r="E1427">
        <v>1</v>
      </c>
      <c r="F1427">
        <f>_xlfn.XLOOKUP(Table1[[#This Row],[ProductID]],Products!A:A,Products!D:D,,0)</f>
        <v>110</v>
      </c>
      <c r="I1427">
        <v>399</v>
      </c>
      <c r="J1427">
        <v>359</v>
      </c>
      <c r="K1427" t="s">
        <v>1107</v>
      </c>
      <c r="L1427">
        <v>359</v>
      </c>
      <c r="M1427" t="s">
        <v>1126</v>
      </c>
      <c r="N1427" t="s">
        <v>1099</v>
      </c>
      <c r="O1427">
        <f>Table1[[#This Row],[Unit_Price]]*Table1[[#This Row],[Quantity]]</f>
        <v>110</v>
      </c>
    </row>
    <row r="1428" spans="1:15" x14ac:dyDescent="0.3">
      <c r="A1428" t="s">
        <v>3151</v>
      </c>
      <c r="B1428" t="s">
        <v>1372</v>
      </c>
      <c r="C1428" t="s">
        <v>983</v>
      </c>
      <c r="D1428" t="s">
        <v>1059</v>
      </c>
      <c r="E1428">
        <v>1</v>
      </c>
      <c r="F1428">
        <f>_xlfn.XLOOKUP(Table1[[#This Row],[ProductID]],Products!A:A,Products!D:D,,0)</f>
        <v>110</v>
      </c>
      <c r="I1428">
        <v>399</v>
      </c>
      <c r="J1428">
        <v>399</v>
      </c>
      <c r="K1428" t="s">
        <v>1102</v>
      </c>
      <c r="L1428">
        <v>399</v>
      </c>
      <c r="M1428" t="s">
        <v>1098</v>
      </c>
      <c r="N1428" t="s">
        <v>1099</v>
      </c>
      <c r="O1428">
        <f>Table1[[#This Row],[Unit_Price]]*Table1[[#This Row],[Quantity]]</f>
        <v>110</v>
      </c>
    </row>
    <row r="1429" spans="1:15" x14ac:dyDescent="0.3">
      <c r="A1429" t="s">
        <v>3152</v>
      </c>
      <c r="B1429" t="s">
        <v>1770</v>
      </c>
      <c r="C1429" t="s">
        <v>453</v>
      </c>
      <c r="D1429" t="s">
        <v>1048</v>
      </c>
      <c r="E1429">
        <v>2</v>
      </c>
      <c r="F1429">
        <f>_xlfn.XLOOKUP(Table1[[#This Row],[ProductID]],Products!A:A,Products!D:D,,0)</f>
        <v>120</v>
      </c>
      <c r="I1429">
        <v>599</v>
      </c>
      <c r="J1429">
        <v>509</v>
      </c>
      <c r="K1429" t="s">
        <v>1092</v>
      </c>
      <c r="L1429">
        <v>1018</v>
      </c>
      <c r="M1429" t="s">
        <v>1098</v>
      </c>
      <c r="N1429" t="s">
        <v>1099</v>
      </c>
      <c r="O1429">
        <f>Table1[[#This Row],[Unit_Price]]*Table1[[#This Row],[Quantity]]</f>
        <v>240</v>
      </c>
    </row>
    <row r="1430" spans="1:15" x14ac:dyDescent="0.3">
      <c r="A1430" t="s">
        <v>3153</v>
      </c>
      <c r="B1430" t="s">
        <v>2583</v>
      </c>
      <c r="C1430" t="s">
        <v>34</v>
      </c>
      <c r="D1430" t="s">
        <v>1062</v>
      </c>
      <c r="E1430">
        <v>1</v>
      </c>
      <c r="F1430">
        <f>_xlfn.XLOOKUP(Table1[[#This Row],[ProductID]],Products!A:A,Products!D:D,,0)</f>
        <v>95</v>
      </c>
      <c r="I1430">
        <v>349</v>
      </c>
      <c r="J1430">
        <v>279</v>
      </c>
      <c r="K1430" t="s">
        <v>1097</v>
      </c>
      <c r="L1430">
        <v>279</v>
      </c>
      <c r="M1430" t="s">
        <v>1098</v>
      </c>
      <c r="N1430" t="s">
        <v>1099</v>
      </c>
      <c r="O1430">
        <f>Table1[[#This Row],[Unit_Price]]*Table1[[#This Row],[Quantity]]</f>
        <v>95</v>
      </c>
    </row>
    <row r="1431" spans="1:15" x14ac:dyDescent="0.3">
      <c r="A1431" t="s">
        <v>3154</v>
      </c>
      <c r="B1431" t="s">
        <v>1115</v>
      </c>
      <c r="C1431" t="s">
        <v>585</v>
      </c>
      <c r="D1431" t="s">
        <v>1073</v>
      </c>
      <c r="E1431">
        <v>1</v>
      </c>
      <c r="F1431">
        <f>_xlfn.XLOOKUP(Table1[[#This Row],[ProductID]],Products!A:A,Products!D:D,,0)</f>
        <v>100</v>
      </c>
      <c r="I1431">
        <v>349</v>
      </c>
      <c r="J1431">
        <v>349</v>
      </c>
      <c r="K1431" t="s">
        <v>1102</v>
      </c>
      <c r="L1431">
        <v>349</v>
      </c>
      <c r="M1431" t="s">
        <v>1118</v>
      </c>
      <c r="N1431" t="s">
        <v>1099</v>
      </c>
      <c r="O1431">
        <f>Table1[[#This Row],[Unit_Price]]*Table1[[#This Row],[Quantity]]</f>
        <v>100</v>
      </c>
    </row>
    <row r="1432" spans="1:15" x14ac:dyDescent="0.3">
      <c r="A1432" t="s">
        <v>3155</v>
      </c>
      <c r="B1432" t="s">
        <v>1558</v>
      </c>
      <c r="C1432" t="s">
        <v>651</v>
      </c>
      <c r="D1432" t="s">
        <v>1055</v>
      </c>
      <c r="E1432">
        <v>1</v>
      </c>
      <c r="F1432">
        <f>_xlfn.XLOOKUP(Table1[[#This Row],[ProductID]],Products!A:A,Products!D:D,,0)</f>
        <v>75</v>
      </c>
      <c r="I1432">
        <v>299</v>
      </c>
      <c r="J1432">
        <v>299</v>
      </c>
      <c r="K1432" t="s">
        <v>1102</v>
      </c>
      <c r="L1432">
        <v>299</v>
      </c>
      <c r="M1432" t="s">
        <v>1093</v>
      </c>
      <c r="N1432" t="s">
        <v>1099</v>
      </c>
      <c r="O1432">
        <f>Table1[[#This Row],[Unit_Price]]*Table1[[#This Row],[Quantity]]</f>
        <v>75</v>
      </c>
    </row>
    <row r="1433" spans="1:15" x14ac:dyDescent="0.3">
      <c r="A1433" t="s">
        <v>3156</v>
      </c>
      <c r="B1433" t="s">
        <v>2180</v>
      </c>
      <c r="C1433" t="s">
        <v>383</v>
      </c>
      <c r="D1433" t="s">
        <v>1080</v>
      </c>
      <c r="E1433">
        <v>2</v>
      </c>
      <c r="F1433">
        <f>_xlfn.XLOOKUP(Table1[[#This Row],[ProductID]],Products!A:A,Products!D:D,,0)</f>
        <v>45</v>
      </c>
      <c r="I1433">
        <v>249</v>
      </c>
      <c r="J1433">
        <v>212</v>
      </c>
      <c r="K1433" t="s">
        <v>1092</v>
      </c>
      <c r="L1433">
        <v>424</v>
      </c>
      <c r="M1433" t="s">
        <v>1093</v>
      </c>
      <c r="N1433" t="s">
        <v>1094</v>
      </c>
      <c r="O1433">
        <f>Table1[[#This Row],[Unit_Price]]*Table1[[#This Row],[Quantity]]</f>
        <v>90</v>
      </c>
    </row>
    <row r="1434" spans="1:15" x14ac:dyDescent="0.3">
      <c r="A1434" t="s">
        <v>3157</v>
      </c>
      <c r="B1434" t="s">
        <v>1475</v>
      </c>
      <c r="C1434" t="s">
        <v>871</v>
      </c>
      <c r="D1434" t="s">
        <v>1078</v>
      </c>
      <c r="E1434">
        <v>1</v>
      </c>
      <c r="F1434">
        <f>_xlfn.XLOOKUP(Table1[[#This Row],[ProductID]],Products!A:A,Products!D:D,,0)</f>
        <v>80</v>
      </c>
      <c r="I1434">
        <v>499</v>
      </c>
      <c r="J1434">
        <v>449</v>
      </c>
      <c r="K1434" t="s">
        <v>1107</v>
      </c>
      <c r="L1434">
        <v>449</v>
      </c>
      <c r="M1434" t="s">
        <v>1098</v>
      </c>
      <c r="N1434" t="s">
        <v>1099</v>
      </c>
      <c r="O1434">
        <f>Table1[[#This Row],[Unit_Price]]*Table1[[#This Row],[Quantity]]</f>
        <v>80</v>
      </c>
    </row>
    <row r="1435" spans="1:15" x14ac:dyDescent="0.3">
      <c r="A1435" t="s">
        <v>3158</v>
      </c>
      <c r="B1435" t="s">
        <v>2304</v>
      </c>
      <c r="C1435" t="s">
        <v>447</v>
      </c>
      <c r="D1435" t="s">
        <v>1048</v>
      </c>
      <c r="E1435">
        <v>2</v>
      </c>
      <c r="F1435">
        <f>_xlfn.XLOOKUP(Table1[[#This Row],[ProductID]],Products!A:A,Products!D:D,,0)</f>
        <v>120</v>
      </c>
      <c r="I1435">
        <v>599</v>
      </c>
      <c r="J1435">
        <v>509</v>
      </c>
      <c r="K1435" t="s">
        <v>1092</v>
      </c>
      <c r="L1435">
        <v>1018</v>
      </c>
      <c r="M1435" t="s">
        <v>1098</v>
      </c>
      <c r="N1435" t="s">
        <v>1099</v>
      </c>
      <c r="O1435">
        <f>Table1[[#This Row],[Unit_Price]]*Table1[[#This Row],[Quantity]]</f>
        <v>240</v>
      </c>
    </row>
    <row r="1436" spans="1:15" x14ac:dyDescent="0.3">
      <c r="A1436" t="s">
        <v>3159</v>
      </c>
      <c r="B1436" t="s">
        <v>2983</v>
      </c>
      <c r="C1436" t="s">
        <v>801</v>
      </c>
      <c r="D1436" t="s">
        <v>1066</v>
      </c>
      <c r="E1436">
        <v>1</v>
      </c>
      <c r="F1436">
        <f>_xlfn.XLOOKUP(Table1[[#This Row],[ProductID]],Products!A:A,Products!D:D,,0)</f>
        <v>140</v>
      </c>
      <c r="I1436">
        <v>499</v>
      </c>
      <c r="J1436">
        <v>449</v>
      </c>
      <c r="K1436" t="s">
        <v>1107</v>
      </c>
      <c r="L1436">
        <v>449</v>
      </c>
      <c r="M1436" t="s">
        <v>1093</v>
      </c>
      <c r="N1436" t="s">
        <v>1099</v>
      </c>
      <c r="O1436">
        <f>Table1[[#This Row],[Unit_Price]]*Table1[[#This Row],[Quantity]]</f>
        <v>140</v>
      </c>
    </row>
    <row r="1437" spans="1:15" x14ac:dyDescent="0.3">
      <c r="A1437" t="s">
        <v>3160</v>
      </c>
      <c r="B1437" t="s">
        <v>1591</v>
      </c>
      <c r="C1437" t="s">
        <v>114</v>
      </c>
      <c r="D1437" t="s">
        <v>1057</v>
      </c>
      <c r="E1437">
        <v>1</v>
      </c>
      <c r="F1437">
        <f>_xlfn.XLOOKUP(Table1[[#This Row],[ProductID]],Products!A:A,Products!D:D,,0)</f>
        <v>130</v>
      </c>
      <c r="I1437">
        <v>549</v>
      </c>
      <c r="J1437">
        <v>439</v>
      </c>
      <c r="K1437" t="s">
        <v>1097</v>
      </c>
      <c r="L1437">
        <v>439</v>
      </c>
      <c r="M1437" t="s">
        <v>1098</v>
      </c>
      <c r="N1437" t="s">
        <v>1099</v>
      </c>
      <c r="O1437">
        <f>Table1[[#This Row],[Unit_Price]]*Table1[[#This Row],[Quantity]]</f>
        <v>130</v>
      </c>
    </row>
    <row r="1438" spans="1:15" x14ac:dyDescent="0.3">
      <c r="A1438" t="s">
        <v>3161</v>
      </c>
      <c r="B1438" t="s">
        <v>2859</v>
      </c>
      <c r="C1438" t="s">
        <v>693</v>
      </c>
      <c r="D1438" t="s">
        <v>1080</v>
      </c>
      <c r="E1438">
        <v>2</v>
      </c>
      <c r="F1438">
        <f>_xlfn.XLOOKUP(Table1[[#This Row],[ProductID]],Products!A:A,Products!D:D,,0)</f>
        <v>45</v>
      </c>
      <c r="I1438">
        <v>249</v>
      </c>
      <c r="J1438">
        <v>224</v>
      </c>
      <c r="K1438" t="s">
        <v>1107</v>
      </c>
      <c r="L1438">
        <v>448</v>
      </c>
      <c r="M1438" t="s">
        <v>1098</v>
      </c>
      <c r="N1438" t="s">
        <v>1099</v>
      </c>
      <c r="O1438">
        <f>Table1[[#This Row],[Unit_Price]]*Table1[[#This Row],[Quantity]]</f>
        <v>90</v>
      </c>
    </row>
    <row r="1439" spans="1:15" x14ac:dyDescent="0.3">
      <c r="A1439" t="s">
        <v>3162</v>
      </c>
      <c r="B1439" t="s">
        <v>1219</v>
      </c>
      <c r="C1439" t="s">
        <v>587</v>
      </c>
      <c r="D1439" t="s">
        <v>1073</v>
      </c>
      <c r="E1439">
        <v>1</v>
      </c>
      <c r="F1439">
        <f>_xlfn.XLOOKUP(Table1[[#This Row],[ProductID]],Products!A:A,Products!D:D,,0)</f>
        <v>100</v>
      </c>
      <c r="I1439">
        <v>349</v>
      </c>
      <c r="J1439">
        <v>279</v>
      </c>
      <c r="K1439" t="s">
        <v>1097</v>
      </c>
      <c r="L1439">
        <v>279</v>
      </c>
      <c r="M1439" t="s">
        <v>1098</v>
      </c>
      <c r="N1439" t="s">
        <v>1099</v>
      </c>
      <c r="O1439">
        <f>Table1[[#This Row],[Unit_Price]]*Table1[[#This Row],[Quantity]]</f>
        <v>100</v>
      </c>
    </row>
    <row r="1440" spans="1:15" x14ac:dyDescent="0.3">
      <c r="A1440" t="s">
        <v>3163</v>
      </c>
      <c r="B1440" t="s">
        <v>1455</v>
      </c>
      <c r="C1440" t="s">
        <v>501</v>
      </c>
      <c r="D1440" t="s">
        <v>1066</v>
      </c>
      <c r="E1440">
        <v>1</v>
      </c>
      <c r="F1440">
        <f>_xlfn.XLOOKUP(Table1[[#This Row],[ProductID]],Products!A:A,Products!D:D,,0)</f>
        <v>140</v>
      </c>
      <c r="I1440">
        <v>499</v>
      </c>
      <c r="J1440">
        <v>399</v>
      </c>
      <c r="K1440" t="s">
        <v>1097</v>
      </c>
      <c r="L1440">
        <v>399</v>
      </c>
      <c r="M1440" t="s">
        <v>1118</v>
      </c>
      <c r="N1440" t="s">
        <v>1099</v>
      </c>
      <c r="O1440">
        <f>Table1[[#This Row],[Unit_Price]]*Table1[[#This Row],[Quantity]]</f>
        <v>140</v>
      </c>
    </row>
    <row r="1441" spans="1:15" x14ac:dyDescent="0.3">
      <c r="A1441" t="s">
        <v>3164</v>
      </c>
      <c r="B1441" t="s">
        <v>1606</v>
      </c>
      <c r="C1441" t="s">
        <v>74</v>
      </c>
      <c r="D1441" t="s">
        <v>1064</v>
      </c>
      <c r="E1441">
        <v>1</v>
      </c>
      <c r="F1441">
        <f>_xlfn.XLOOKUP(Table1[[#This Row],[ProductID]],Products!A:A,Products!D:D,,0)</f>
        <v>160</v>
      </c>
      <c r="I1441">
        <v>699</v>
      </c>
      <c r="J1441">
        <v>699</v>
      </c>
      <c r="K1441" t="s">
        <v>1102</v>
      </c>
      <c r="L1441">
        <v>699</v>
      </c>
      <c r="M1441" t="s">
        <v>1093</v>
      </c>
      <c r="N1441" t="s">
        <v>1099</v>
      </c>
      <c r="O1441">
        <f>Table1[[#This Row],[Unit_Price]]*Table1[[#This Row],[Quantity]]</f>
        <v>160</v>
      </c>
    </row>
    <row r="1442" spans="1:15" x14ac:dyDescent="0.3">
      <c r="A1442" t="s">
        <v>3165</v>
      </c>
      <c r="B1442" t="s">
        <v>1818</v>
      </c>
      <c r="C1442" t="s">
        <v>110</v>
      </c>
      <c r="D1442" t="s">
        <v>1048</v>
      </c>
      <c r="E1442">
        <v>1</v>
      </c>
      <c r="F1442">
        <f>_xlfn.XLOOKUP(Table1[[#This Row],[ProductID]],Products!A:A,Products!D:D,,0)</f>
        <v>120</v>
      </c>
      <c r="I1442">
        <v>599</v>
      </c>
      <c r="J1442">
        <v>539</v>
      </c>
      <c r="K1442" t="s">
        <v>1107</v>
      </c>
      <c r="L1442">
        <v>539</v>
      </c>
      <c r="M1442" t="s">
        <v>1098</v>
      </c>
      <c r="N1442" t="s">
        <v>1099</v>
      </c>
      <c r="O1442">
        <f>Table1[[#This Row],[Unit_Price]]*Table1[[#This Row],[Quantity]]</f>
        <v>120</v>
      </c>
    </row>
    <row r="1443" spans="1:15" x14ac:dyDescent="0.3">
      <c r="A1443" t="s">
        <v>3166</v>
      </c>
      <c r="B1443" t="s">
        <v>1741</v>
      </c>
      <c r="C1443" t="s">
        <v>143</v>
      </c>
      <c r="D1443" t="s">
        <v>1057</v>
      </c>
      <c r="E1443">
        <v>1</v>
      </c>
      <c r="F1443">
        <f>_xlfn.XLOOKUP(Table1[[#This Row],[ProductID]],Products!A:A,Products!D:D,,0)</f>
        <v>130</v>
      </c>
      <c r="I1443">
        <v>549</v>
      </c>
      <c r="J1443">
        <v>439</v>
      </c>
      <c r="K1443" t="s">
        <v>1097</v>
      </c>
      <c r="L1443">
        <v>439</v>
      </c>
      <c r="M1443" t="s">
        <v>1098</v>
      </c>
      <c r="N1443" t="s">
        <v>1099</v>
      </c>
      <c r="O1443">
        <f>Table1[[#This Row],[Unit_Price]]*Table1[[#This Row],[Quantity]]</f>
        <v>130</v>
      </c>
    </row>
    <row r="1444" spans="1:15" x14ac:dyDescent="0.3">
      <c r="A1444" t="s">
        <v>3167</v>
      </c>
      <c r="B1444" t="s">
        <v>2605</v>
      </c>
      <c r="C1444" t="s">
        <v>727</v>
      </c>
      <c r="D1444" t="s">
        <v>1057</v>
      </c>
      <c r="E1444">
        <v>1</v>
      </c>
      <c r="F1444">
        <f>_xlfn.XLOOKUP(Table1[[#This Row],[ProductID]],Products!A:A,Products!D:D,,0)</f>
        <v>130</v>
      </c>
      <c r="I1444">
        <v>549</v>
      </c>
      <c r="J1444">
        <v>439</v>
      </c>
      <c r="K1444" t="s">
        <v>1097</v>
      </c>
      <c r="L1444">
        <v>439</v>
      </c>
      <c r="M1444" t="s">
        <v>1098</v>
      </c>
      <c r="N1444" t="s">
        <v>1099</v>
      </c>
      <c r="O1444">
        <f>Table1[[#This Row],[Unit_Price]]*Table1[[#This Row],[Quantity]]</f>
        <v>130</v>
      </c>
    </row>
    <row r="1445" spans="1:15" x14ac:dyDescent="0.3">
      <c r="A1445" t="s">
        <v>3168</v>
      </c>
      <c r="B1445" t="s">
        <v>1882</v>
      </c>
      <c r="C1445" t="s">
        <v>789</v>
      </c>
      <c r="D1445" t="s">
        <v>1080</v>
      </c>
      <c r="E1445">
        <v>3</v>
      </c>
      <c r="F1445">
        <f>_xlfn.XLOOKUP(Table1[[#This Row],[ProductID]],Products!A:A,Products!D:D,,0)</f>
        <v>45</v>
      </c>
      <c r="I1445">
        <v>249</v>
      </c>
      <c r="J1445">
        <v>212</v>
      </c>
      <c r="K1445" t="s">
        <v>1092</v>
      </c>
      <c r="L1445">
        <v>636</v>
      </c>
      <c r="M1445" t="s">
        <v>1098</v>
      </c>
      <c r="N1445" t="s">
        <v>1099</v>
      </c>
      <c r="O1445">
        <f>Table1[[#This Row],[Unit_Price]]*Table1[[#This Row],[Quantity]]</f>
        <v>135</v>
      </c>
    </row>
    <row r="1446" spans="1:15" x14ac:dyDescent="0.3">
      <c r="A1446" t="s">
        <v>3169</v>
      </c>
      <c r="B1446" t="s">
        <v>1238</v>
      </c>
      <c r="C1446" t="s">
        <v>785</v>
      </c>
      <c r="D1446" t="s">
        <v>1062</v>
      </c>
      <c r="E1446">
        <v>1</v>
      </c>
      <c r="F1446">
        <f>_xlfn.XLOOKUP(Table1[[#This Row],[ProductID]],Products!A:A,Products!D:D,,0)</f>
        <v>95</v>
      </c>
      <c r="I1446">
        <v>349</v>
      </c>
      <c r="J1446">
        <v>297</v>
      </c>
      <c r="K1446" t="s">
        <v>1092</v>
      </c>
      <c r="L1446">
        <v>297</v>
      </c>
      <c r="M1446" t="s">
        <v>1093</v>
      </c>
      <c r="N1446" t="s">
        <v>1123</v>
      </c>
      <c r="O1446">
        <f>Table1[[#This Row],[Unit_Price]]*Table1[[#This Row],[Quantity]]</f>
        <v>95</v>
      </c>
    </row>
    <row r="1447" spans="1:15" x14ac:dyDescent="0.3">
      <c r="A1447" t="s">
        <v>3170</v>
      </c>
      <c r="B1447" t="s">
        <v>1451</v>
      </c>
      <c r="C1447" t="s">
        <v>873</v>
      </c>
      <c r="D1447" t="s">
        <v>1053</v>
      </c>
      <c r="E1447">
        <v>1</v>
      </c>
      <c r="F1447">
        <f>_xlfn.XLOOKUP(Table1[[#This Row],[ProductID]],Products!A:A,Products!D:D,,0)</f>
        <v>200</v>
      </c>
      <c r="I1447">
        <v>899</v>
      </c>
      <c r="J1447">
        <v>899</v>
      </c>
      <c r="K1447" t="s">
        <v>1102</v>
      </c>
      <c r="L1447">
        <v>899</v>
      </c>
      <c r="M1447" t="s">
        <v>1098</v>
      </c>
      <c r="N1447" t="s">
        <v>1123</v>
      </c>
      <c r="O1447">
        <f>Table1[[#This Row],[Unit_Price]]*Table1[[#This Row],[Quantity]]</f>
        <v>200</v>
      </c>
    </row>
    <row r="1448" spans="1:15" x14ac:dyDescent="0.3">
      <c r="A1448" t="s">
        <v>3171</v>
      </c>
      <c r="B1448" t="s">
        <v>2563</v>
      </c>
      <c r="C1448" t="s">
        <v>231</v>
      </c>
      <c r="D1448" t="s">
        <v>1064</v>
      </c>
      <c r="E1448">
        <v>1</v>
      </c>
      <c r="F1448">
        <f>_xlfn.XLOOKUP(Table1[[#This Row],[ProductID]],Products!A:A,Products!D:D,,0)</f>
        <v>160</v>
      </c>
      <c r="I1448">
        <v>699</v>
      </c>
      <c r="J1448">
        <v>699</v>
      </c>
      <c r="K1448" t="s">
        <v>1102</v>
      </c>
      <c r="L1448">
        <v>699</v>
      </c>
      <c r="M1448" t="s">
        <v>1098</v>
      </c>
      <c r="N1448" t="s">
        <v>1099</v>
      </c>
      <c r="O1448">
        <f>Table1[[#This Row],[Unit_Price]]*Table1[[#This Row],[Quantity]]</f>
        <v>160</v>
      </c>
    </row>
    <row r="1449" spans="1:15" x14ac:dyDescent="0.3">
      <c r="A1449" t="s">
        <v>3172</v>
      </c>
      <c r="B1449" t="s">
        <v>2160</v>
      </c>
      <c r="C1449" t="s">
        <v>42</v>
      </c>
      <c r="D1449" t="s">
        <v>1066</v>
      </c>
      <c r="E1449">
        <v>4</v>
      </c>
      <c r="F1449">
        <f>_xlfn.XLOOKUP(Table1[[#This Row],[ProductID]],Products!A:A,Products!D:D,,0)</f>
        <v>140</v>
      </c>
      <c r="I1449">
        <v>499</v>
      </c>
      <c r="J1449">
        <v>499</v>
      </c>
      <c r="K1449" t="s">
        <v>1102</v>
      </c>
      <c r="L1449">
        <v>1996</v>
      </c>
      <c r="M1449" t="s">
        <v>1093</v>
      </c>
      <c r="N1449" t="s">
        <v>1094</v>
      </c>
      <c r="O1449">
        <f>Table1[[#This Row],[Unit_Price]]*Table1[[#This Row],[Quantity]]</f>
        <v>560</v>
      </c>
    </row>
    <row r="1450" spans="1:15" x14ac:dyDescent="0.3">
      <c r="A1450" t="s">
        <v>3173</v>
      </c>
      <c r="B1450" t="s">
        <v>1561</v>
      </c>
      <c r="C1450" t="s">
        <v>621</v>
      </c>
      <c r="D1450" t="s">
        <v>1080</v>
      </c>
      <c r="E1450">
        <v>1</v>
      </c>
      <c r="F1450">
        <f>_xlfn.XLOOKUP(Table1[[#This Row],[ProductID]],Products!A:A,Products!D:D,,0)</f>
        <v>45</v>
      </c>
      <c r="I1450">
        <v>249</v>
      </c>
      <c r="J1450">
        <v>212</v>
      </c>
      <c r="K1450" t="s">
        <v>1092</v>
      </c>
      <c r="L1450">
        <v>212</v>
      </c>
      <c r="M1450" t="s">
        <v>1098</v>
      </c>
      <c r="N1450" t="s">
        <v>1099</v>
      </c>
      <c r="O1450">
        <f>Table1[[#This Row],[Unit_Price]]*Table1[[#This Row],[Quantity]]</f>
        <v>45</v>
      </c>
    </row>
    <row r="1451" spans="1:15" x14ac:dyDescent="0.3">
      <c r="A1451" t="s">
        <v>3174</v>
      </c>
      <c r="B1451" t="s">
        <v>2576</v>
      </c>
      <c r="C1451" t="s">
        <v>627</v>
      </c>
      <c r="D1451" t="s">
        <v>1055</v>
      </c>
      <c r="E1451">
        <v>4</v>
      </c>
      <c r="F1451">
        <f>_xlfn.XLOOKUP(Table1[[#This Row],[ProductID]],Products!A:A,Products!D:D,,0)</f>
        <v>75</v>
      </c>
      <c r="I1451">
        <v>299</v>
      </c>
      <c r="J1451">
        <v>239</v>
      </c>
      <c r="K1451" t="s">
        <v>1097</v>
      </c>
      <c r="L1451">
        <v>956</v>
      </c>
      <c r="M1451" t="s">
        <v>1093</v>
      </c>
      <c r="N1451" t="s">
        <v>1099</v>
      </c>
      <c r="O1451">
        <f>Table1[[#This Row],[Unit_Price]]*Table1[[#This Row],[Quantity]]</f>
        <v>300</v>
      </c>
    </row>
    <row r="1452" spans="1:15" x14ac:dyDescent="0.3">
      <c r="A1452" t="s">
        <v>3175</v>
      </c>
      <c r="B1452" t="s">
        <v>2257</v>
      </c>
      <c r="C1452" t="s">
        <v>156</v>
      </c>
      <c r="D1452" t="s">
        <v>1071</v>
      </c>
      <c r="E1452">
        <v>1</v>
      </c>
      <c r="F1452">
        <f>_xlfn.XLOOKUP(Table1[[#This Row],[ProductID]],Products!A:A,Products!D:D,,0)</f>
        <v>125</v>
      </c>
      <c r="I1452">
        <v>399</v>
      </c>
      <c r="J1452">
        <v>399</v>
      </c>
      <c r="K1452" t="s">
        <v>1102</v>
      </c>
      <c r="L1452">
        <v>399</v>
      </c>
      <c r="M1452" t="s">
        <v>1093</v>
      </c>
      <c r="N1452" t="s">
        <v>1099</v>
      </c>
      <c r="O1452">
        <f>Table1[[#This Row],[Unit_Price]]*Table1[[#This Row],[Quantity]]</f>
        <v>125</v>
      </c>
    </row>
    <row r="1453" spans="1:15" x14ac:dyDescent="0.3">
      <c r="A1453" t="s">
        <v>3176</v>
      </c>
      <c r="B1453" t="s">
        <v>1246</v>
      </c>
      <c r="C1453" t="s">
        <v>381</v>
      </c>
      <c r="D1453" t="s">
        <v>1080</v>
      </c>
      <c r="E1453">
        <v>1</v>
      </c>
      <c r="F1453">
        <f>_xlfn.XLOOKUP(Table1[[#This Row],[ProductID]],Products!A:A,Products!D:D,,0)</f>
        <v>45</v>
      </c>
      <c r="I1453">
        <v>249</v>
      </c>
      <c r="J1453">
        <v>212</v>
      </c>
      <c r="K1453" t="s">
        <v>1092</v>
      </c>
      <c r="L1453">
        <v>212</v>
      </c>
      <c r="M1453" t="s">
        <v>1118</v>
      </c>
      <c r="N1453" t="s">
        <v>1099</v>
      </c>
      <c r="O1453">
        <f>Table1[[#This Row],[Unit_Price]]*Table1[[#This Row],[Quantity]]</f>
        <v>45</v>
      </c>
    </row>
    <row r="1454" spans="1:15" x14ac:dyDescent="0.3">
      <c r="A1454" t="s">
        <v>3177</v>
      </c>
      <c r="B1454" t="s">
        <v>1668</v>
      </c>
      <c r="C1454" t="s">
        <v>487</v>
      </c>
      <c r="D1454" t="s">
        <v>1078</v>
      </c>
      <c r="E1454">
        <v>1</v>
      </c>
      <c r="F1454">
        <f>_xlfn.XLOOKUP(Table1[[#This Row],[ProductID]],Products!A:A,Products!D:D,,0)</f>
        <v>80</v>
      </c>
      <c r="I1454">
        <v>499</v>
      </c>
      <c r="J1454">
        <v>499</v>
      </c>
      <c r="K1454" t="s">
        <v>1102</v>
      </c>
      <c r="L1454">
        <v>499</v>
      </c>
      <c r="M1454" t="s">
        <v>1093</v>
      </c>
      <c r="N1454" t="s">
        <v>1099</v>
      </c>
      <c r="O1454">
        <f>Table1[[#This Row],[Unit_Price]]*Table1[[#This Row],[Quantity]]</f>
        <v>80</v>
      </c>
    </row>
    <row r="1455" spans="1:15" x14ac:dyDescent="0.3">
      <c r="A1455" t="s">
        <v>3178</v>
      </c>
      <c r="B1455" t="s">
        <v>3179</v>
      </c>
      <c r="C1455" t="s">
        <v>237</v>
      </c>
      <c r="D1455" t="s">
        <v>1075</v>
      </c>
      <c r="E1455">
        <v>1</v>
      </c>
      <c r="F1455">
        <f>_xlfn.XLOOKUP(Table1[[#This Row],[ProductID]],Products!A:A,Products!D:D,,0)</f>
        <v>80</v>
      </c>
      <c r="I1455">
        <v>499</v>
      </c>
      <c r="J1455">
        <v>449</v>
      </c>
      <c r="K1455" t="s">
        <v>1107</v>
      </c>
      <c r="L1455">
        <v>449</v>
      </c>
      <c r="M1455" t="s">
        <v>1093</v>
      </c>
      <c r="N1455" t="s">
        <v>1099</v>
      </c>
      <c r="O1455">
        <f>Table1[[#This Row],[Unit_Price]]*Table1[[#This Row],[Quantity]]</f>
        <v>80</v>
      </c>
    </row>
    <row r="1456" spans="1:15" x14ac:dyDescent="0.3">
      <c r="A1456" t="s">
        <v>3180</v>
      </c>
      <c r="B1456" t="s">
        <v>2563</v>
      </c>
      <c r="C1456" t="s">
        <v>899</v>
      </c>
      <c r="D1456" t="s">
        <v>1078</v>
      </c>
      <c r="E1456">
        <v>1</v>
      </c>
      <c r="F1456">
        <f>_xlfn.XLOOKUP(Table1[[#This Row],[ProductID]],Products!A:A,Products!D:D,,0)</f>
        <v>80</v>
      </c>
      <c r="I1456">
        <v>499</v>
      </c>
      <c r="J1456">
        <v>399</v>
      </c>
      <c r="K1456" t="s">
        <v>1097</v>
      </c>
      <c r="L1456">
        <v>399</v>
      </c>
      <c r="M1456" t="s">
        <v>1098</v>
      </c>
      <c r="N1456" t="s">
        <v>1099</v>
      </c>
      <c r="O1456">
        <f>Table1[[#This Row],[Unit_Price]]*Table1[[#This Row],[Quantity]]</f>
        <v>80</v>
      </c>
    </row>
    <row r="1457" spans="1:15" x14ac:dyDescent="0.3">
      <c r="A1457" t="s">
        <v>3181</v>
      </c>
      <c r="B1457" t="s">
        <v>1597</v>
      </c>
      <c r="C1457" t="s">
        <v>697</v>
      </c>
      <c r="D1457" t="s">
        <v>1051</v>
      </c>
      <c r="E1457">
        <v>1</v>
      </c>
      <c r="F1457">
        <f>_xlfn.XLOOKUP(Table1[[#This Row],[ProductID]],Products!A:A,Products!D:D,,0)</f>
        <v>150</v>
      </c>
      <c r="I1457">
        <v>499</v>
      </c>
      <c r="J1457">
        <v>399</v>
      </c>
      <c r="K1457" t="s">
        <v>1097</v>
      </c>
      <c r="L1457">
        <v>399</v>
      </c>
      <c r="M1457" t="s">
        <v>1093</v>
      </c>
      <c r="N1457" t="s">
        <v>1099</v>
      </c>
      <c r="O1457">
        <f>Table1[[#This Row],[Unit_Price]]*Table1[[#This Row],[Quantity]]</f>
        <v>150</v>
      </c>
    </row>
    <row r="1458" spans="1:15" x14ac:dyDescent="0.3">
      <c r="A1458" t="s">
        <v>3182</v>
      </c>
      <c r="B1458" t="s">
        <v>1359</v>
      </c>
      <c r="C1458" t="s">
        <v>44</v>
      </c>
      <c r="D1458" t="s">
        <v>1053</v>
      </c>
      <c r="E1458">
        <v>1</v>
      </c>
      <c r="F1458">
        <f>_xlfn.XLOOKUP(Table1[[#This Row],[ProductID]],Products!A:A,Products!D:D,,0)</f>
        <v>200</v>
      </c>
      <c r="I1458">
        <v>899</v>
      </c>
      <c r="J1458">
        <v>719</v>
      </c>
      <c r="K1458" t="s">
        <v>1097</v>
      </c>
      <c r="L1458">
        <v>719</v>
      </c>
      <c r="M1458" t="s">
        <v>1098</v>
      </c>
      <c r="N1458" t="s">
        <v>1099</v>
      </c>
      <c r="O1458">
        <f>Table1[[#This Row],[Unit_Price]]*Table1[[#This Row],[Quantity]]</f>
        <v>200</v>
      </c>
    </row>
    <row r="1459" spans="1:15" x14ac:dyDescent="0.3">
      <c r="A1459" t="s">
        <v>3183</v>
      </c>
      <c r="B1459" t="s">
        <v>1420</v>
      </c>
      <c r="C1459" t="s">
        <v>923</v>
      </c>
      <c r="D1459" t="s">
        <v>1059</v>
      </c>
      <c r="E1459">
        <v>1</v>
      </c>
      <c r="F1459">
        <f>_xlfn.XLOOKUP(Table1[[#This Row],[ProductID]],Products!A:A,Products!D:D,,0)</f>
        <v>110</v>
      </c>
      <c r="I1459">
        <v>399</v>
      </c>
      <c r="J1459">
        <v>339</v>
      </c>
      <c r="K1459" t="s">
        <v>1092</v>
      </c>
      <c r="L1459">
        <v>339</v>
      </c>
      <c r="M1459" t="s">
        <v>1093</v>
      </c>
      <c r="N1459" t="s">
        <v>1094</v>
      </c>
      <c r="O1459">
        <f>Table1[[#This Row],[Unit_Price]]*Table1[[#This Row],[Quantity]]</f>
        <v>110</v>
      </c>
    </row>
    <row r="1460" spans="1:15" x14ac:dyDescent="0.3">
      <c r="A1460" t="s">
        <v>3184</v>
      </c>
      <c r="B1460" t="s">
        <v>1565</v>
      </c>
      <c r="C1460" t="s">
        <v>1025</v>
      </c>
      <c r="D1460" t="s">
        <v>1066</v>
      </c>
      <c r="E1460">
        <v>1</v>
      </c>
      <c r="F1460">
        <f>_xlfn.XLOOKUP(Table1[[#This Row],[ProductID]],Products!A:A,Products!D:D,,0)</f>
        <v>140</v>
      </c>
      <c r="I1460">
        <v>499</v>
      </c>
      <c r="J1460">
        <v>449</v>
      </c>
      <c r="K1460" t="s">
        <v>1107</v>
      </c>
      <c r="L1460">
        <v>449</v>
      </c>
      <c r="M1460" t="s">
        <v>1118</v>
      </c>
      <c r="N1460" t="s">
        <v>1099</v>
      </c>
      <c r="O1460">
        <f>Table1[[#This Row],[Unit_Price]]*Table1[[#This Row],[Quantity]]</f>
        <v>140</v>
      </c>
    </row>
    <row r="1461" spans="1:15" x14ac:dyDescent="0.3">
      <c r="A1461" t="s">
        <v>3185</v>
      </c>
      <c r="B1461" t="s">
        <v>1359</v>
      </c>
      <c r="C1461" t="s">
        <v>877</v>
      </c>
      <c r="D1461" t="s">
        <v>1080</v>
      </c>
      <c r="E1461">
        <v>2</v>
      </c>
      <c r="F1461">
        <f>_xlfn.XLOOKUP(Table1[[#This Row],[ProductID]],Products!A:A,Products!D:D,,0)</f>
        <v>45</v>
      </c>
      <c r="I1461">
        <v>249</v>
      </c>
      <c r="J1461">
        <v>199</v>
      </c>
      <c r="K1461" t="s">
        <v>1097</v>
      </c>
      <c r="L1461">
        <v>398</v>
      </c>
      <c r="M1461" t="s">
        <v>1098</v>
      </c>
      <c r="N1461" t="s">
        <v>1099</v>
      </c>
      <c r="O1461">
        <f>Table1[[#This Row],[Unit_Price]]*Table1[[#This Row],[Quantity]]</f>
        <v>90</v>
      </c>
    </row>
    <row r="1462" spans="1:15" x14ac:dyDescent="0.3">
      <c r="A1462" t="s">
        <v>3186</v>
      </c>
      <c r="B1462" t="s">
        <v>3045</v>
      </c>
      <c r="C1462" t="s">
        <v>585</v>
      </c>
      <c r="D1462" t="s">
        <v>1080</v>
      </c>
      <c r="E1462">
        <v>1</v>
      </c>
      <c r="F1462">
        <f>_xlfn.XLOOKUP(Table1[[#This Row],[ProductID]],Products!A:A,Products!D:D,,0)</f>
        <v>45</v>
      </c>
      <c r="I1462">
        <v>249</v>
      </c>
      <c r="J1462">
        <v>199</v>
      </c>
      <c r="K1462" t="s">
        <v>1097</v>
      </c>
      <c r="L1462">
        <v>199</v>
      </c>
      <c r="M1462" t="s">
        <v>1098</v>
      </c>
      <c r="N1462" t="s">
        <v>1099</v>
      </c>
      <c r="O1462">
        <f>Table1[[#This Row],[Unit_Price]]*Table1[[#This Row],[Quantity]]</f>
        <v>45</v>
      </c>
    </row>
    <row r="1463" spans="1:15" x14ac:dyDescent="0.3">
      <c r="A1463" t="s">
        <v>3187</v>
      </c>
      <c r="B1463" t="s">
        <v>1648</v>
      </c>
      <c r="C1463" t="s">
        <v>589</v>
      </c>
      <c r="D1463" t="s">
        <v>1066</v>
      </c>
      <c r="E1463">
        <v>3</v>
      </c>
      <c r="F1463">
        <f>_xlfn.XLOOKUP(Table1[[#This Row],[ProductID]],Products!A:A,Products!D:D,,0)</f>
        <v>140</v>
      </c>
      <c r="I1463">
        <v>499</v>
      </c>
      <c r="J1463">
        <v>449</v>
      </c>
      <c r="K1463" t="s">
        <v>1107</v>
      </c>
      <c r="L1463">
        <v>1347</v>
      </c>
      <c r="M1463" t="s">
        <v>1126</v>
      </c>
      <c r="N1463" t="s">
        <v>1099</v>
      </c>
      <c r="O1463">
        <f>Table1[[#This Row],[Unit_Price]]*Table1[[#This Row],[Quantity]]</f>
        <v>420</v>
      </c>
    </row>
    <row r="1464" spans="1:15" x14ac:dyDescent="0.3">
      <c r="A1464" t="s">
        <v>3188</v>
      </c>
      <c r="B1464" t="s">
        <v>2947</v>
      </c>
      <c r="C1464" t="s">
        <v>911</v>
      </c>
      <c r="D1464" t="s">
        <v>1057</v>
      </c>
      <c r="E1464">
        <v>2</v>
      </c>
      <c r="F1464">
        <f>_xlfn.XLOOKUP(Table1[[#This Row],[ProductID]],Products!A:A,Products!D:D,,0)</f>
        <v>130</v>
      </c>
      <c r="I1464">
        <v>549</v>
      </c>
      <c r="J1464">
        <v>494</v>
      </c>
      <c r="K1464" t="s">
        <v>1107</v>
      </c>
      <c r="L1464">
        <v>988</v>
      </c>
      <c r="M1464" t="s">
        <v>1098</v>
      </c>
      <c r="N1464" t="s">
        <v>1099</v>
      </c>
      <c r="O1464">
        <f>Table1[[#This Row],[Unit_Price]]*Table1[[#This Row],[Quantity]]</f>
        <v>260</v>
      </c>
    </row>
    <row r="1465" spans="1:15" x14ac:dyDescent="0.3">
      <c r="A1465" t="s">
        <v>3189</v>
      </c>
      <c r="B1465" t="s">
        <v>1278</v>
      </c>
      <c r="C1465" t="s">
        <v>361</v>
      </c>
      <c r="D1465" t="s">
        <v>1062</v>
      </c>
      <c r="E1465">
        <v>1</v>
      </c>
      <c r="F1465">
        <f>_xlfn.XLOOKUP(Table1[[#This Row],[ProductID]],Products!A:A,Products!D:D,,0)</f>
        <v>95</v>
      </c>
      <c r="I1465">
        <v>349</v>
      </c>
      <c r="J1465">
        <v>297</v>
      </c>
      <c r="K1465" t="s">
        <v>1092</v>
      </c>
      <c r="L1465">
        <v>297</v>
      </c>
      <c r="M1465" t="s">
        <v>1093</v>
      </c>
      <c r="N1465" t="s">
        <v>1123</v>
      </c>
      <c r="O1465">
        <f>Table1[[#This Row],[Unit_Price]]*Table1[[#This Row],[Quantity]]</f>
        <v>95</v>
      </c>
    </row>
    <row r="1466" spans="1:15" x14ac:dyDescent="0.3">
      <c r="A1466" t="s">
        <v>3190</v>
      </c>
      <c r="B1466" t="s">
        <v>3191</v>
      </c>
      <c r="C1466" t="s">
        <v>777</v>
      </c>
      <c r="D1466" t="s">
        <v>1053</v>
      </c>
      <c r="E1466">
        <v>1</v>
      </c>
      <c r="F1466">
        <f>_xlfn.XLOOKUP(Table1[[#This Row],[ProductID]],Products!A:A,Products!D:D,,0)</f>
        <v>200</v>
      </c>
      <c r="I1466">
        <v>899</v>
      </c>
      <c r="J1466">
        <v>899</v>
      </c>
      <c r="K1466" t="s">
        <v>1102</v>
      </c>
      <c r="L1466">
        <v>899</v>
      </c>
      <c r="M1466" t="s">
        <v>1093</v>
      </c>
      <c r="N1466" t="s">
        <v>1099</v>
      </c>
      <c r="O1466">
        <f>Table1[[#This Row],[Unit_Price]]*Table1[[#This Row],[Quantity]]</f>
        <v>200</v>
      </c>
    </row>
    <row r="1467" spans="1:15" x14ac:dyDescent="0.3">
      <c r="A1467" t="s">
        <v>3192</v>
      </c>
      <c r="B1467" t="s">
        <v>1422</v>
      </c>
      <c r="C1467" t="s">
        <v>247</v>
      </c>
      <c r="D1467" t="s">
        <v>1062</v>
      </c>
      <c r="E1467">
        <v>1</v>
      </c>
      <c r="F1467">
        <f>_xlfn.XLOOKUP(Table1[[#This Row],[ProductID]],Products!A:A,Products!D:D,,0)</f>
        <v>95</v>
      </c>
      <c r="I1467">
        <v>349</v>
      </c>
      <c r="J1467">
        <v>314</v>
      </c>
      <c r="K1467" t="s">
        <v>1107</v>
      </c>
      <c r="L1467">
        <v>314</v>
      </c>
      <c r="M1467" t="s">
        <v>1093</v>
      </c>
      <c r="N1467" t="s">
        <v>1099</v>
      </c>
      <c r="O1467">
        <f>Table1[[#This Row],[Unit_Price]]*Table1[[#This Row],[Quantity]]</f>
        <v>95</v>
      </c>
    </row>
    <row r="1468" spans="1:15" x14ac:dyDescent="0.3">
      <c r="A1468" t="s">
        <v>3193</v>
      </c>
      <c r="B1468" t="s">
        <v>2586</v>
      </c>
      <c r="C1468" t="s">
        <v>919</v>
      </c>
      <c r="D1468" t="s">
        <v>1078</v>
      </c>
      <c r="E1468">
        <v>2</v>
      </c>
      <c r="F1468">
        <f>_xlfn.XLOOKUP(Table1[[#This Row],[ProductID]],Products!A:A,Products!D:D,,0)</f>
        <v>80</v>
      </c>
      <c r="I1468">
        <v>499</v>
      </c>
      <c r="J1468">
        <v>449</v>
      </c>
      <c r="K1468" t="s">
        <v>1107</v>
      </c>
      <c r="L1468">
        <v>898</v>
      </c>
      <c r="M1468" t="s">
        <v>1098</v>
      </c>
      <c r="N1468" t="s">
        <v>1099</v>
      </c>
      <c r="O1468">
        <f>Table1[[#This Row],[Unit_Price]]*Table1[[#This Row],[Quantity]]</f>
        <v>160</v>
      </c>
    </row>
    <row r="1469" spans="1:15" x14ac:dyDescent="0.3">
      <c r="A1469" t="s">
        <v>3194</v>
      </c>
      <c r="B1469" t="s">
        <v>2102</v>
      </c>
      <c r="C1469" t="s">
        <v>427</v>
      </c>
      <c r="D1469" t="s">
        <v>1068</v>
      </c>
      <c r="E1469">
        <v>1</v>
      </c>
      <c r="F1469">
        <f>_xlfn.XLOOKUP(Table1[[#This Row],[ProductID]],Products!A:A,Products!D:D,,0)</f>
        <v>180</v>
      </c>
      <c r="I1469">
        <v>449</v>
      </c>
      <c r="J1469">
        <v>359</v>
      </c>
      <c r="K1469" t="s">
        <v>1097</v>
      </c>
      <c r="L1469">
        <v>359</v>
      </c>
      <c r="M1469" t="s">
        <v>1093</v>
      </c>
      <c r="N1469" t="s">
        <v>1123</v>
      </c>
      <c r="O1469">
        <f>Table1[[#This Row],[Unit_Price]]*Table1[[#This Row],[Quantity]]</f>
        <v>180</v>
      </c>
    </row>
    <row r="1470" spans="1:15" x14ac:dyDescent="0.3">
      <c r="A1470" t="s">
        <v>3195</v>
      </c>
      <c r="B1470" t="s">
        <v>3069</v>
      </c>
      <c r="C1470" t="s">
        <v>849</v>
      </c>
      <c r="D1470" t="s">
        <v>1048</v>
      </c>
      <c r="E1470">
        <v>1</v>
      </c>
      <c r="F1470">
        <f>_xlfn.XLOOKUP(Table1[[#This Row],[ProductID]],Products!A:A,Products!D:D,,0)</f>
        <v>120</v>
      </c>
      <c r="I1470">
        <v>599</v>
      </c>
      <c r="J1470">
        <v>539</v>
      </c>
      <c r="K1470" t="s">
        <v>1107</v>
      </c>
      <c r="L1470">
        <v>539</v>
      </c>
      <c r="M1470" t="s">
        <v>1098</v>
      </c>
      <c r="N1470" t="s">
        <v>1099</v>
      </c>
      <c r="O1470">
        <f>Table1[[#This Row],[Unit_Price]]*Table1[[#This Row],[Quantity]]</f>
        <v>120</v>
      </c>
    </row>
    <row r="1471" spans="1:15" x14ac:dyDescent="0.3">
      <c r="A1471" t="s">
        <v>3196</v>
      </c>
      <c r="B1471" t="s">
        <v>2243</v>
      </c>
      <c r="C1471" t="s">
        <v>575</v>
      </c>
      <c r="D1471" t="s">
        <v>1078</v>
      </c>
      <c r="E1471">
        <v>1</v>
      </c>
      <c r="F1471">
        <f>_xlfn.XLOOKUP(Table1[[#This Row],[ProductID]],Products!A:A,Products!D:D,,0)</f>
        <v>80</v>
      </c>
      <c r="I1471">
        <v>499</v>
      </c>
      <c r="J1471">
        <v>449</v>
      </c>
      <c r="K1471" t="s">
        <v>1107</v>
      </c>
      <c r="L1471">
        <v>449</v>
      </c>
      <c r="M1471" t="s">
        <v>1093</v>
      </c>
      <c r="N1471" t="s">
        <v>1099</v>
      </c>
      <c r="O1471">
        <f>Table1[[#This Row],[Unit_Price]]*Table1[[#This Row],[Quantity]]</f>
        <v>80</v>
      </c>
    </row>
    <row r="1472" spans="1:15" x14ac:dyDescent="0.3">
      <c r="A1472" t="s">
        <v>3197</v>
      </c>
      <c r="B1472" t="s">
        <v>3198</v>
      </c>
      <c r="C1472" t="s">
        <v>1025</v>
      </c>
      <c r="D1472" t="s">
        <v>1080</v>
      </c>
      <c r="E1472">
        <v>1</v>
      </c>
      <c r="F1472">
        <f>_xlfn.XLOOKUP(Table1[[#This Row],[ProductID]],Products!A:A,Products!D:D,,0)</f>
        <v>45</v>
      </c>
      <c r="I1472">
        <v>249</v>
      </c>
      <c r="J1472">
        <v>249</v>
      </c>
      <c r="K1472" t="s">
        <v>1102</v>
      </c>
      <c r="L1472">
        <v>249</v>
      </c>
      <c r="M1472" t="s">
        <v>1093</v>
      </c>
      <c r="N1472" t="s">
        <v>1094</v>
      </c>
      <c r="O1472">
        <f>Table1[[#This Row],[Unit_Price]]*Table1[[#This Row],[Quantity]]</f>
        <v>45</v>
      </c>
    </row>
    <row r="1473" spans="1:15" x14ac:dyDescent="0.3">
      <c r="A1473" t="s">
        <v>3199</v>
      </c>
      <c r="B1473" t="s">
        <v>2213</v>
      </c>
      <c r="C1473" t="s">
        <v>104</v>
      </c>
      <c r="D1473" t="s">
        <v>1075</v>
      </c>
      <c r="E1473">
        <v>2</v>
      </c>
      <c r="F1473">
        <f>_xlfn.XLOOKUP(Table1[[#This Row],[ProductID]],Products!A:A,Products!D:D,,0)</f>
        <v>80</v>
      </c>
      <c r="I1473">
        <v>499</v>
      </c>
      <c r="J1473">
        <v>399</v>
      </c>
      <c r="K1473" t="s">
        <v>1097</v>
      </c>
      <c r="L1473">
        <v>798</v>
      </c>
      <c r="M1473" t="s">
        <v>1098</v>
      </c>
      <c r="N1473" t="s">
        <v>1099</v>
      </c>
      <c r="O1473">
        <f>Table1[[#This Row],[Unit_Price]]*Table1[[#This Row],[Quantity]]</f>
        <v>160</v>
      </c>
    </row>
    <row r="1474" spans="1:15" x14ac:dyDescent="0.3">
      <c r="A1474" t="s">
        <v>3200</v>
      </c>
      <c r="B1474" t="s">
        <v>3201</v>
      </c>
      <c r="C1474" t="s">
        <v>773</v>
      </c>
      <c r="D1474" t="s">
        <v>1066</v>
      </c>
      <c r="E1474">
        <v>1</v>
      </c>
      <c r="F1474">
        <f>_xlfn.XLOOKUP(Table1[[#This Row],[ProductID]],Products!A:A,Products!D:D,,0)</f>
        <v>140</v>
      </c>
      <c r="I1474">
        <v>499</v>
      </c>
      <c r="J1474">
        <v>499</v>
      </c>
      <c r="K1474" t="s">
        <v>1102</v>
      </c>
      <c r="L1474">
        <v>499</v>
      </c>
      <c r="M1474" t="s">
        <v>1098</v>
      </c>
      <c r="N1474" t="s">
        <v>1099</v>
      </c>
      <c r="O1474">
        <f>Table1[[#This Row],[Unit_Price]]*Table1[[#This Row],[Quantity]]</f>
        <v>140</v>
      </c>
    </row>
    <row r="1475" spans="1:15" x14ac:dyDescent="0.3">
      <c r="A1475" t="s">
        <v>3202</v>
      </c>
      <c r="B1475" t="s">
        <v>1686</v>
      </c>
      <c r="C1475" t="s">
        <v>453</v>
      </c>
      <c r="D1475" t="s">
        <v>1075</v>
      </c>
      <c r="E1475">
        <v>1</v>
      </c>
      <c r="F1475">
        <f>_xlfn.XLOOKUP(Table1[[#This Row],[ProductID]],Products!A:A,Products!D:D,,0)</f>
        <v>80</v>
      </c>
      <c r="I1475">
        <v>499</v>
      </c>
      <c r="J1475">
        <v>449</v>
      </c>
      <c r="K1475" t="s">
        <v>1107</v>
      </c>
      <c r="L1475">
        <v>449</v>
      </c>
      <c r="M1475" t="s">
        <v>1093</v>
      </c>
      <c r="N1475" t="s">
        <v>1099</v>
      </c>
      <c r="O1475">
        <f>Table1[[#This Row],[Unit_Price]]*Table1[[#This Row],[Quantity]]</f>
        <v>80</v>
      </c>
    </row>
    <row r="1476" spans="1:15" x14ac:dyDescent="0.3">
      <c r="A1476" t="s">
        <v>3203</v>
      </c>
      <c r="B1476" t="s">
        <v>2999</v>
      </c>
      <c r="C1476" t="s">
        <v>845</v>
      </c>
      <c r="D1476" t="s">
        <v>1048</v>
      </c>
      <c r="E1476">
        <v>1</v>
      </c>
      <c r="F1476">
        <f>_xlfn.XLOOKUP(Table1[[#This Row],[ProductID]],Products!A:A,Products!D:D,,0)</f>
        <v>120</v>
      </c>
      <c r="I1476">
        <v>599</v>
      </c>
      <c r="J1476">
        <v>599</v>
      </c>
      <c r="K1476" t="s">
        <v>1102</v>
      </c>
      <c r="L1476">
        <v>599</v>
      </c>
      <c r="M1476" t="s">
        <v>1093</v>
      </c>
      <c r="N1476" t="s">
        <v>1094</v>
      </c>
      <c r="O1476">
        <f>Table1[[#This Row],[Unit_Price]]*Table1[[#This Row],[Quantity]]</f>
        <v>120</v>
      </c>
    </row>
    <row r="1477" spans="1:15" x14ac:dyDescent="0.3">
      <c r="A1477" t="s">
        <v>3204</v>
      </c>
      <c r="B1477" t="s">
        <v>2021</v>
      </c>
      <c r="C1477" t="s">
        <v>603</v>
      </c>
      <c r="D1477" t="s">
        <v>1068</v>
      </c>
      <c r="E1477">
        <v>4</v>
      </c>
      <c r="F1477">
        <f>_xlfn.XLOOKUP(Table1[[#This Row],[ProductID]],Products!A:A,Products!D:D,,0)</f>
        <v>180</v>
      </c>
      <c r="I1477">
        <v>449</v>
      </c>
      <c r="J1477">
        <v>404</v>
      </c>
      <c r="K1477" t="s">
        <v>1107</v>
      </c>
      <c r="L1477">
        <v>1616</v>
      </c>
      <c r="M1477" t="s">
        <v>1093</v>
      </c>
      <c r="N1477" t="s">
        <v>1099</v>
      </c>
      <c r="O1477">
        <f>Table1[[#This Row],[Unit_Price]]*Table1[[#This Row],[Quantity]]</f>
        <v>720</v>
      </c>
    </row>
    <row r="1478" spans="1:15" x14ac:dyDescent="0.3">
      <c r="A1478" t="s">
        <v>3205</v>
      </c>
      <c r="B1478" t="s">
        <v>3206</v>
      </c>
      <c r="C1478" t="s">
        <v>65</v>
      </c>
      <c r="D1478" t="s">
        <v>1053</v>
      </c>
      <c r="E1478">
        <v>4</v>
      </c>
      <c r="F1478">
        <f>_xlfn.XLOOKUP(Table1[[#This Row],[ProductID]],Products!A:A,Products!D:D,,0)</f>
        <v>200</v>
      </c>
      <c r="I1478">
        <v>899</v>
      </c>
      <c r="J1478">
        <v>809</v>
      </c>
      <c r="K1478" t="s">
        <v>1107</v>
      </c>
      <c r="L1478">
        <v>3236</v>
      </c>
      <c r="M1478" t="s">
        <v>1093</v>
      </c>
      <c r="N1478" t="s">
        <v>1099</v>
      </c>
      <c r="O1478">
        <f>Table1[[#This Row],[Unit_Price]]*Table1[[#This Row],[Quantity]]</f>
        <v>800</v>
      </c>
    </row>
    <row r="1479" spans="1:15" x14ac:dyDescent="0.3">
      <c r="A1479" t="s">
        <v>3207</v>
      </c>
      <c r="B1479" t="s">
        <v>1217</v>
      </c>
      <c r="C1479" t="s">
        <v>1009</v>
      </c>
      <c r="D1479" t="s">
        <v>1062</v>
      </c>
      <c r="E1479">
        <v>1</v>
      </c>
      <c r="F1479">
        <f>_xlfn.XLOOKUP(Table1[[#This Row],[ProductID]],Products!A:A,Products!D:D,,0)</f>
        <v>95</v>
      </c>
      <c r="I1479">
        <v>349</v>
      </c>
      <c r="J1479">
        <v>297</v>
      </c>
      <c r="K1479" t="s">
        <v>1092</v>
      </c>
      <c r="L1479">
        <v>297</v>
      </c>
      <c r="M1479" t="s">
        <v>1093</v>
      </c>
      <c r="N1479" t="s">
        <v>1094</v>
      </c>
      <c r="O1479">
        <f>Table1[[#This Row],[Unit_Price]]*Table1[[#This Row],[Quantity]]</f>
        <v>95</v>
      </c>
    </row>
    <row r="1480" spans="1:15" x14ac:dyDescent="0.3">
      <c r="A1480" t="s">
        <v>3208</v>
      </c>
      <c r="B1480" t="s">
        <v>1818</v>
      </c>
      <c r="C1480" t="s">
        <v>711</v>
      </c>
      <c r="D1480" t="s">
        <v>1066</v>
      </c>
      <c r="E1480">
        <v>2</v>
      </c>
      <c r="F1480">
        <f>_xlfn.XLOOKUP(Table1[[#This Row],[ProductID]],Products!A:A,Products!D:D,,0)</f>
        <v>140</v>
      </c>
      <c r="I1480">
        <v>499</v>
      </c>
      <c r="J1480">
        <v>499</v>
      </c>
      <c r="K1480" t="s">
        <v>1102</v>
      </c>
      <c r="L1480">
        <v>998</v>
      </c>
      <c r="M1480" t="s">
        <v>1126</v>
      </c>
      <c r="N1480" t="s">
        <v>1099</v>
      </c>
      <c r="O1480">
        <f>Table1[[#This Row],[Unit_Price]]*Table1[[#This Row],[Quantity]]</f>
        <v>280</v>
      </c>
    </row>
    <row r="1481" spans="1:15" x14ac:dyDescent="0.3">
      <c r="A1481" t="s">
        <v>3209</v>
      </c>
      <c r="B1481" t="s">
        <v>3210</v>
      </c>
      <c r="C1481" t="s">
        <v>279</v>
      </c>
      <c r="D1481" t="s">
        <v>1064</v>
      </c>
      <c r="E1481">
        <v>1</v>
      </c>
      <c r="F1481">
        <f>_xlfn.XLOOKUP(Table1[[#This Row],[ProductID]],Products!A:A,Products!D:D,,0)</f>
        <v>160</v>
      </c>
      <c r="I1481">
        <v>699</v>
      </c>
      <c r="J1481">
        <v>699</v>
      </c>
      <c r="K1481" t="s">
        <v>1102</v>
      </c>
      <c r="L1481">
        <v>699</v>
      </c>
      <c r="M1481" t="s">
        <v>1098</v>
      </c>
      <c r="N1481" t="s">
        <v>1099</v>
      </c>
      <c r="O1481">
        <f>Table1[[#This Row],[Unit_Price]]*Table1[[#This Row],[Quantity]]</f>
        <v>160</v>
      </c>
    </row>
    <row r="1482" spans="1:15" x14ac:dyDescent="0.3">
      <c r="A1482" t="s">
        <v>3211</v>
      </c>
      <c r="B1482" t="s">
        <v>1920</v>
      </c>
      <c r="C1482" t="s">
        <v>689</v>
      </c>
      <c r="D1482" t="s">
        <v>1068</v>
      </c>
      <c r="E1482">
        <v>1</v>
      </c>
      <c r="F1482">
        <f>_xlfn.XLOOKUP(Table1[[#This Row],[ProductID]],Products!A:A,Products!D:D,,0)</f>
        <v>180</v>
      </c>
      <c r="I1482">
        <v>449</v>
      </c>
      <c r="J1482">
        <v>449</v>
      </c>
      <c r="K1482" t="s">
        <v>1102</v>
      </c>
      <c r="L1482">
        <v>449</v>
      </c>
      <c r="M1482" t="s">
        <v>1098</v>
      </c>
      <c r="N1482" t="s">
        <v>1099</v>
      </c>
      <c r="O1482">
        <f>Table1[[#This Row],[Unit_Price]]*Table1[[#This Row],[Quantity]]</f>
        <v>180</v>
      </c>
    </row>
    <row r="1483" spans="1:15" x14ac:dyDescent="0.3">
      <c r="A1483" t="s">
        <v>3212</v>
      </c>
      <c r="B1483" t="s">
        <v>3213</v>
      </c>
      <c r="C1483" t="s">
        <v>229</v>
      </c>
      <c r="D1483" t="s">
        <v>1059</v>
      </c>
      <c r="E1483">
        <v>1</v>
      </c>
      <c r="F1483">
        <f>_xlfn.XLOOKUP(Table1[[#This Row],[ProductID]],Products!A:A,Products!D:D,,0)</f>
        <v>110</v>
      </c>
      <c r="I1483">
        <v>399</v>
      </c>
      <c r="J1483">
        <v>399</v>
      </c>
      <c r="K1483" t="s">
        <v>1102</v>
      </c>
      <c r="L1483">
        <v>399</v>
      </c>
      <c r="M1483" t="s">
        <v>1098</v>
      </c>
      <c r="N1483" t="s">
        <v>1099</v>
      </c>
      <c r="O1483">
        <f>Table1[[#This Row],[Unit_Price]]*Table1[[#This Row],[Quantity]]</f>
        <v>110</v>
      </c>
    </row>
    <row r="1484" spans="1:15" x14ac:dyDescent="0.3">
      <c r="A1484" t="s">
        <v>3214</v>
      </c>
      <c r="B1484" t="s">
        <v>3215</v>
      </c>
      <c r="C1484" t="s">
        <v>491</v>
      </c>
      <c r="D1484" t="s">
        <v>1055</v>
      </c>
      <c r="E1484">
        <v>3</v>
      </c>
      <c r="F1484">
        <f>_xlfn.XLOOKUP(Table1[[#This Row],[ProductID]],Products!A:A,Products!D:D,,0)</f>
        <v>75</v>
      </c>
      <c r="I1484">
        <v>299</v>
      </c>
      <c r="J1484">
        <v>269</v>
      </c>
      <c r="K1484" t="s">
        <v>1107</v>
      </c>
      <c r="L1484">
        <v>807</v>
      </c>
      <c r="M1484" t="s">
        <v>1098</v>
      </c>
      <c r="N1484" t="s">
        <v>1099</v>
      </c>
      <c r="O1484">
        <f>Table1[[#This Row],[Unit_Price]]*Table1[[#This Row],[Quantity]]</f>
        <v>225</v>
      </c>
    </row>
    <row r="1485" spans="1:15" x14ac:dyDescent="0.3">
      <c r="A1485" t="s">
        <v>3216</v>
      </c>
      <c r="B1485" t="s">
        <v>1268</v>
      </c>
      <c r="C1485" t="s">
        <v>110</v>
      </c>
      <c r="D1485" t="s">
        <v>1078</v>
      </c>
      <c r="E1485">
        <v>1</v>
      </c>
      <c r="F1485">
        <f>_xlfn.XLOOKUP(Table1[[#This Row],[ProductID]],Products!A:A,Products!D:D,,0)</f>
        <v>80</v>
      </c>
      <c r="I1485">
        <v>499</v>
      </c>
      <c r="J1485">
        <v>399</v>
      </c>
      <c r="K1485" t="s">
        <v>1097</v>
      </c>
      <c r="L1485">
        <v>399</v>
      </c>
      <c r="M1485" t="s">
        <v>1098</v>
      </c>
      <c r="N1485" t="s">
        <v>1099</v>
      </c>
      <c r="O1485">
        <f>Table1[[#This Row],[Unit_Price]]*Table1[[#This Row],[Quantity]]</f>
        <v>80</v>
      </c>
    </row>
    <row r="1486" spans="1:15" x14ac:dyDescent="0.3">
      <c r="A1486" t="s">
        <v>3217</v>
      </c>
      <c r="B1486" t="s">
        <v>1696</v>
      </c>
      <c r="C1486" t="s">
        <v>267</v>
      </c>
      <c r="D1486" t="s">
        <v>1048</v>
      </c>
      <c r="E1486">
        <v>1</v>
      </c>
      <c r="F1486">
        <f>_xlfn.XLOOKUP(Table1[[#This Row],[ProductID]],Products!A:A,Products!D:D,,0)</f>
        <v>120</v>
      </c>
      <c r="I1486">
        <v>599</v>
      </c>
      <c r="J1486">
        <v>479</v>
      </c>
      <c r="K1486" t="s">
        <v>1097</v>
      </c>
      <c r="L1486">
        <v>479</v>
      </c>
      <c r="M1486" t="s">
        <v>1098</v>
      </c>
      <c r="N1486" t="s">
        <v>1099</v>
      </c>
      <c r="O1486">
        <f>Table1[[#This Row],[Unit_Price]]*Table1[[#This Row],[Quantity]]</f>
        <v>120</v>
      </c>
    </row>
    <row r="1487" spans="1:15" x14ac:dyDescent="0.3">
      <c r="A1487" t="s">
        <v>3218</v>
      </c>
      <c r="B1487" t="s">
        <v>1902</v>
      </c>
      <c r="C1487" t="s">
        <v>383</v>
      </c>
      <c r="D1487" t="s">
        <v>1057</v>
      </c>
      <c r="E1487">
        <v>1</v>
      </c>
      <c r="F1487">
        <f>_xlfn.XLOOKUP(Table1[[#This Row],[ProductID]],Products!A:A,Products!D:D,,0)</f>
        <v>130</v>
      </c>
      <c r="I1487">
        <v>549</v>
      </c>
      <c r="J1487">
        <v>494</v>
      </c>
      <c r="K1487" t="s">
        <v>1107</v>
      </c>
      <c r="L1487">
        <v>494</v>
      </c>
      <c r="M1487" t="s">
        <v>1093</v>
      </c>
      <c r="N1487" t="s">
        <v>1099</v>
      </c>
      <c r="O1487">
        <f>Table1[[#This Row],[Unit_Price]]*Table1[[#This Row],[Quantity]]</f>
        <v>130</v>
      </c>
    </row>
    <row r="1488" spans="1:15" x14ac:dyDescent="0.3">
      <c r="A1488" t="s">
        <v>3219</v>
      </c>
      <c r="B1488" t="s">
        <v>3220</v>
      </c>
      <c r="C1488" t="s">
        <v>323</v>
      </c>
      <c r="D1488" t="s">
        <v>1059</v>
      </c>
      <c r="E1488">
        <v>1</v>
      </c>
      <c r="F1488">
        <f>_xlfn.XLOOKUP(Table1[[#This Row],[ProductID]],Products!A:A,Products!D:D,,0)</f>
        <v>110</v>
      </c>
      <c r="I1488">
        <v>399</v>
      </c>
      <c r="J1488">
        <v>399</v>
      </c>
      <c r="K1488" t="s">
        <v>1102</v>
      </c>
      <c r="L1488">
        <v>399</v>
      </c>
      <c r="M1488" t="s">
        <v>1093</v>
      </c>
      <c r="N1488" t="s">
        <v>1094</v>
      </c>
      <c r="O1488">
        <f>Table1[[#This Row],[Unit_Price]]*Table1[[#This Row],[Quantity]]</f>
        <v>110</v>
      </c>
    </row>
    <row r="1489" spans="1:15" x14ac:dyDescent="0.3">
      <c r="A1489" t="s">
        <v>3221</v>
      </c>
      <c r="B1489" t="s">
        <v>1880</v>
      </c>
      <c r="C1489" t="s">
        <v>729</v>
      </c>
      <c r="D1489" t="s">
        <v>1064</v>
      </c>
      <c r="E1489">
        <v>1</v>
      </c>
      <c r="F1489">
        <f>_xlfn.XLOOKUP(Table1[[#This Row],[ProductID]],Products!A:A,Products!D:D,,0)</f>
        <v>160</v>
      </c>
      <c r="I1489">
        <v>699</v>
      </c>
      <c r="J1489">
        <v>629</v>
      </c>
      <c r="K1489" t="s">
        <v>1107</v>
      </c>
      <c r="L1489">
        <v>629</v>
      </c>
      <c r="M1489" t="s">
        <v>1093</v>
      </c>
      <c r="N1489" t="s">
        <v>1099</v>
      </c>
      <c r="O1489">
        <f>Table1[[#This Row],[Unit_Price]]*Table1[[#This Row],[Quantity]]</f>
        <v>160</v>
      </c>
    </row>
    <row r="1490" spans="1:15" x14ac:dyDescent="0.3">
      <c r="A1490" t="s">
        <v>3222</v>
      </c>
      <c r="B1490" t="s">
        <v>1298</v>
      </c>
      <c r="C1490" t="s">
        <v>371</v>
      </c>
      <c r="D1490" t="s">
        <v>1075</v>
      </c>
      <c r="E1490">
        <v>2</v>
      </c>
      <c r="F1490">
        <f>_xlfn.XLOOKUP(Table1[[#This Row],[ProductID]],Products!A:A,Products!D:D,,0)</f>
        <v>80</v>
      </c>
      <c r="I1490">
        <v>499</v>
      </c>
      <c r="J1490">
        <v>449</v>
      </c>
      <c r="K1490" t="s">
        <v>1107</v>
      </c>
      <c r="L1490">
        <v>898</v>
      </c>
      <c r="M1490" t="s">
        <v>1093</v>
      </c>
      <c r="N1490" t="s">
        <v>1099</v>
      </c>
      <c r="O1490">
        <f>Table1[[#This Row],[Unit_Price]]*Table1[[#This Row],[Quantity]]</f>
        <v>160</v>
      </c>
    </row>
    <row r="1491" spans="1:15" x14ac:dyDescent="0.3">
      <c r="A1491" t="s">
        <v>3223</v>
      </c>
      <c r="B1491" t="s">
        <v>1591</v>
      </c>
      <c r="C1491" t="s">
        <v>733</v>
      </c>
      <c r="D1491" t="s">
        <v>1053</v>
      </c>
      <c r="E1491">
        <v>1</v>
      </c>
      <c r="F1491">
        <f>_xlfn.XLOOKUP(Table1[[#This Row],[ProductID]],Products!A:A,Products!D:D,,0)</f>
        <v>200</v>
      </c>
      <c r="I1491">
        <v>899</v>
      </c>
      <c r="J1491">
        <v>764</v>
      </c>
      <c r="K1491" t="s">
        <v>1092</v>
      </c>
      <c r="L1491">
        <v>764</v>
      </c>
      <c r="M1491" t="s">
        <v>1093</v>
      </c>
      <c r="N1491" t="s">
        <v>1094</v>
      </c>
      <c r="O1491">
        <f>Table1[[#This Row],[Unit_Price]]*Table1[[#This Row],[Quantity]]</f>
        <v>200</v>
      </c>
    </row>
    <row r="1492" spans="1:15" x14ac:dyDescent="0.3">
      <c r="A1492" t="s">
        <v>3224</v>
      </c>
      <c r="B1492" t="s">
        <v>3215</v>
      </c>
      <c r="C1492" t="s">
        <v>231</v>
      </c>
      <c r="D1492" t="s">
        <v>1064</v>
      </c>
      <c r="E1492">
        <v>1</v>
      </c>
      <c r="F1492">
        <f>_xlfn.XLOOKUP(Table1[[#This Row],[ProductID]],Products!A:A,Products!D:D,,0)</f>
        <v>160</v>
      </c>
      <c r="I1492">
        <v>699</v>
      </c>
      <c r="J1492">
        <v>699</v>
      </c>
      <c r="K1492" t="s">
        <v>1102</v>
      </c>
      <c r="L1492">
        <v>699</v>
      </c>
      <c r="M1492" t="s">
        <v>1126</v>
      </c>
      <c r="N1492" t="s">
        <v>1094</v>
      </c>
      <c r="O1492">
        <f>Table1[[#This Row],[Unit_Price]]*Table1[[#This Row],[Quantity]]</f>
        <v>160</v>
      </c>
    </row>
    <row r="1493" spans="1:15" x14ac:dyDescent="0.3">
      <c r="A1493" t="s">
        <v>3225</v>
      </c>
      <c r="B1493" t="s">
        <v>2924</v>
      </c>
      <c r="C1493" t="s">
        <v>87</v>
      </c>
      <c r="D1493" t="s">
        <v>1055</v>
      </c>
      <c r="E1493">
        <v>1</v>
      </c>
      <c r="F1493">
        <f>_xlfn.XLOOKUP(Table1[[#This Row],[ProductID]],Products!A:A,Products!D:D,,0)</f>
        <v>75</v>
      </c>
      <c r="I1493">
        <v>299</v>
      </c>
      <c r="J1493">
        <v>239</v>
      </c>
      <c r="K1493" t="s">
        <v>1097</v>
      </c>
      <c r="L1493">
        <v>239</v>
      </c>
      <c r="M1493" t="s">
        <v>1093</v>
      </c>
      <c r="N1493" t="s">
        <v>1099</v>
      </c>
      <c r="O1493">
        <f>Table1[[#This Row],[Unit_Price]]*Table1[[#This Row],[Quantity]]</f>
        <v>75</v>
      </c>
    </row>
    <row r="1494" spans="1:15" x14ac:dyDescent="0.3">
      <c r="A1494" t="s">
        <v>3226</v>
      </c>
      <c r="B1494" t="s">
        <v>1612</v>
      </c>
      <c r="C1494" t="s">
        <v>895</v>
      </c>
      <c r="D1494" t="s">
        <v>1062</v>
      </c>
      <c r="E1494">
        <v>1</v>
      </c>
      <c r="F1494">
        <f>_xlfn.XLOOKUP(Table1[[#This Row],[ProductID]],Products!A:A,Products!D:D,,0)</f>
        <v>95</v>
      </c>
      <c r="I1494">
        <v>349</v>
      </c>
      <c r="J1494">
        <v>279</v>
      </c>
      <c r="K1494" t="s">
        <v>1097</v>
      </c>
      <c r="L1494">
        <v>279</v>
      </c>
      <c r="M1494" t="s">
        <v>1093</v>
      </c>
      <c r="N1494" t="s">
        <v>1099</v>
      </c>
      <c r="O1494">
        <f>Table1[[#This Row],[Unit_Price]]*Table1[[#This Row],[Quantity]]</f>
        <v>95</v>
      </c>
    </row>
    <row r="1495" spans="1:15" x14ac:dyDescent="0.3">
      <c r="A1495" t="s">
        <v>3227</v>
      </c>
      <c r="B1495" t="s">
        <v>3228</v>
      </c>
      <c r="C1495" t="s">
        <v>271</v>
      </c>
      <c r="D1495" t="s">
        <v>1075</v>
      </c>
      <c r="E1495">
        <v>1</v>
      </c>
      <c r="F1495">
        <f>_xlfn.XLOOKUP(Table1[[#This Row],[ProductID]],Products!A:A,Products!D:D,,0)</f>
        <v>80</v>
      </c>
      <c r="I1495">
        <v>499</v>
      </c>
      <c r="J1495">
        <v>399</v>
      </c>
      <c r="K1495" t="s">
        <v>1097</v>
      </c>
      <c r="L1495">
        <v>399</v>
      </c>
      <c r="M1495" t="s">
        <v>1093</v>
      </c>
      <c r="N1495" t="s">
        <v>1099</v>
      </c>
      <c r="O1495">
        <f>Table1[[#This Row],[Unit_Price]]*Table1[[#This Row],[Quantity]]</f>
        <v>80</v>
      </c>
    </row>
    <row r="1496" spans="1:15" x14ac:dyDescent="0.3">
      <c r="A1496" t="s">
        <v>3229</v>
      </c>
      <c r="B1496" t="s">
        <v>3230</v>
      </c>
      <c r="C1496" t="s">
        <v>148</v>
      </c>
      <c r="D1496" t="s">
        <v>1055</v>
      </c>
      <c r="E1496">
        <v>1</v>
      </c>
      <c r="F1496">
        <f>_xlfn.XLOOKUP(Table1[[#This Row],[ProductID]],Products!A:A,Products!D:D,,0)</f>
        <v>75</v>
      </c>
      <c r="I1496">
        <v>299</v>
      </c>
      <c r="J1496">
        <v>269</v>
      </c>
      <c r="K1496" t="s">
        <v>1107</v>
      </c>
      <c r="L1496">
        <v>269</v>
      </c>
      <c r="M1496" t="s">
        <v>1098</v>
      </c>
      <c r="N1496" t="s">
        <v>1099</v>
      </c>
      <c r="O1496">
        <f>Table1[[#This Row],[Unit_Price]]*Table1[[#This Row],[Quantity]]</f>
        <v>75</v>
      </c>
    </row>
    <row r="1497" spans="1:15" x14ac:dyDescent="0.3">
      <c r="A1497" t="s">
        <v>3231</v>
      </c>
      <c r="B1497" t="s">
        <v>3201</v>
      </c>
      <c r="C1497" t="s">
        <v>1007</v>
      </c>
      <c r="D1497" t="s">
        <v>1066</v>
      </c>
      <c r="E1497">
        <v>2</v>
      </c>
      <c r="F1497">
        <f>_xlfn.XLOOKUP(Table1[[#This Row],[ProductID]],Products!A:A,Products!D:D,,0)</f>
        <v>140</v>
      </c>
      <c r="I1497">
        <v>499</v>
      </c>
      <c r="J1497">
        <v>499</v>
      </c>
      <c r="K1497" t="s">
        <v>1102</v>
      </c>
      <c r="L1497">
        <v>998</v>
      </c>
      <c r="M1497" t="s">
        <v>1093</v>
      </c>
      <c r="N1497" t="s">
        <v>1094</v>
      </c>
      <c r="O1497">
        <f>Table1[[#This Row],[Unit_Price]]*Table1[[#This Row],[Quantity]]</f>
        <v>280</v>
      </c>
    </row>
    <row r="1498" spans="1:15" x14ac:dyDescent="0.3">
      <c r="A1498" t="s">
        <v>3232</v>
      </c>
      <c r="B1498" t="s">
        <v>1674</v>
      </c>
      <c r="C1498" t="s">
        <v>189</v>
      </c>
      <c r="D1498" t="s">
        <v>1051</v>
      </c>
      <c r="E1498">
        <v>1</v>
      </c>
      <c r="F1498">
        <f>_xlfn.XLOOKUP(Table1[[#This Row],[ProductID]],Products!A:A,Products!D:D,,0)</f>
        <v>150</v>
      </c>
      <c r="I1498">
        <v>499</v>
      </c>
      <c r="J1498">
        <v>499</v>
      </c>
      <c r="K1498" t="s">
        <v>1102</v>
      </c>
      <c r="L1498">
        <v>499</v>
      </c>
      <c r="M1498" t="s">
        <v>1093</v>
      </c>
      <c r="N1498" t="s">
        <v>1123</v>
      </c>
      <c r="O1498">
        <f>Table1[[#This Row],[Unit_Price]]*Table1[[#This Row],[Quantity]]</f>
        <v>150</v>
      </c>
    </row>
    <row r="1499" spans="1:15" x14ac:dyDescent="0.3">
      <c r="A1499" t="s">
        <v>3233</v>
      </c>
      <c r="B1499" t="s">
        <v>2628</v>
      </c>
      <c r="C1499" t="s">
        <v>59</v>
      </c>
      <c r="D1499" t="s">
        <v>1048</v>
      </c>
      <c r="E1499">
        <v>1</v>
      </c>
      <c r="F1499">
        <f>_xlfn.XLOOKUP(Table1[[#This Row],[ProductID]],Products!A:A,Products!D:D,,0)</f>
        <v>120</v>
      </c>
      <c r="I1499">
        <v>599</v>
      </c>
      <c r="J1499">
        <v>509</v>
      </c>
      <c r="K1499" t="s">
        <v>1092</v>
      </c>
      <c r="L1499">
        <v>509</v>
      </c>
      <c r="M1499" t="s">
        <v>1093</v>
      </c>
      <c r="N1499" t="s">
        <v>1094</v>
      </c>
      <c r="O1499">
        <f>Table1[[#This Row],[Unit_Price]]*Table1[[#This Row],[Quantity]]</f>
        <v>120</v>
      </c>
    </row>
    <row r="1500" spans="1:15" x14ac:dyDescent="0.3">
      <c r="A1500" t="s">
        <v>3234</v>
      </c>
      <c r="B1500" t="s">
        <v>3235</v>
      </c>
      <c r="C1500" t="s">
        <v>160</v>
      </c>
      <c r="D1500" t="s">
        <v>1053</v>
      </c>
      <c r="E1500">
        <v>2</v>
      </c>
      <c r="F1500">
        <f>_xlfn.XLOOKUP(Table1[[#This Row],[ProductID]],Products!A:A,Products!D:D,,0)</f>
        <v>200</v>
      </c>
      <c r="I1500">
        <v>899</v>
      </c>
      <c r="J1500">
        <v>809</v>
      </c>
      <c r="K1500" t="s">
        <v>1107</v>
      </c>
      <c r="L1500">
        <v>1618</v>
      </c>
      <c r="M1500" t="s">
        <v>1098</v>
      </c>
      <c r="N1500" t="s">
        <v>1099</v>
      </c>
      <c r="O1500">
        <f>Table1[[#This Row],[Unit_Price]]*Table1[[#This Row],[Quantity]]</f>
        <v>400</v>
      </c>
    </row>
    <row r="1501" spans="1:15" x14ac:dyDescent="0.3">
      <c r="A1501" t="s">
        <v>3236</v>
      </c>
      <c r="B1501" t="s">
        <v>2172</v>
      </c>
      <c r="C1501" t="s">
        <v>691</v>
      </c>
      <c r="D1501" t="s">
        <v>1073</v>
      </c>
      <c r="E1501">
        <v>1</v>
      </c>
      <c r="F1501">
        <f>_xlfn.XLOOKUP(Table1[[#This Row],[ProductID]],Products!A:A,Products!D:D,,0)</f>
        <v>100</v>
      </c>
      <c r="I1501">
        <v>349</v>
      </c>
      <c r="J1501">
        <v>314</v>
      </c>
      <c r="K1501" t="s">
        <v>1107</v>
      </c>
      <c r="L1501">
        <v>314</v>
      </c>
      <c r="M1501" t="s">
        <v>1098</v>
      </c>
      <c r="N1501" t="s">
        <v>1099</v>
      </c>
      <c r="O1501">
        <f>Table1[[#This Row],[Unit_Price]]*Table1[[#This Row],[Quantity]]</f>
        <v>100</v>
      </c>
    </row>
    <row r="1502" spans="1:15" x14ac:dyDescent="0.3">
      <c r="A1502" t="s">
        <v>3237</v>
      </c>
      <c r="B1502" t="s">
        <v>2544</v>
      </c>
      <c r="C1502" t="s">
        <v>491</v>
      </c>
      <c r="D1502" t="s">
        <v>1053</v>
      </c>
      <c r="E1502">
        <v>1</v>
      </c>
      <c r="F1502">
        <f>_xlfn.XLOOKUP(Table1[[#This Row],[ProductID]],Products!A:A,Products!D:D,,0)</f>
        <v>200</v>
      </c>
      <c r="I1502">
        <v>899</v>
      </c>
      <c r="J1502">
        <v>899</v>
      </c>
      <c r="K1502" t="s">
        <v>1102</v>
      </c>
      <c r="L1502">
        <v>899</v>
      </c>
      <c r="M1502" t="s">
        <v>1098</v>
      </c>
      <c r="N1502" t="s">
        <v>1099</v>
      </c>
      <c r="O1502">
        <f>Table1[[#This Row],[Unit_Price]]*Table1[[#This Row],[Quantity]]</f>
        <v>200</v>
      </c>
    </row>
    <row r="1503" spans="1:15" x14ac:dyDescent="0.3">
      <c r="A1503" t="s">
        <v>3238</v>
      </c>
      <c r="B1503" t="s">
        <v>2535</v>
      </c>
      <c r="C1503" t="s">
        <v>275</v>
      </c>
      <c r="D1503" t="s">
        <v>1066</v>
      </c>
      <c r="E1503">
        <v>1</v>
      </c>
      <c r="F1503">
        <f>_xlfn.XLOOKUP(Table1[[#This Row],[ProductID]],Products!A:A,Products!D:D,,0)</f>
        <v>140</v>
      </c>
      <c r="I1503">
        <v>499</v>
      </c>
      <c r="J1503">
        <v>499</v>
      </c>
      <c r="K1503" t="s">
        <v>1102</v>
      </c>
      <c r="L1503">
        <v>499</v>
      </c>
      <c r="M1503" t="s">
        <v>1098</v>
      </c>
      <c r="N1503" t="s">
        <v>1099</v>
      </c>
      <c r="O1503">
        <f>Table1[[#This Row],[Unit_Price]]*Table1[[#This Row],[Quantity]]</f>
        <v>140</v>
      </c>
    </row>
    <row r="1504" spans="1:15" x14ac:dyDescent="0.3">
      <c r="A1504" t="s">
        <v>3239</v>
      </c>
      <c r="B1504" t="s">
        <v>3240</v>
      </c>
      <c r="C1504" t="s">
        <v>1003</v>
      </c>
      <c r="D1504" t="s">
        <v>1048</v>
      </c>
      <c r="E1504">
        <v>1</v>
      </c>
      <c r="F1504">
        <f>_xlfn.XLOOKUP(Table1[[#This Row],[ProductID]],Products!A:A,Products!D:D,,0)</f>
        <v>120</v>
      </c>
      <c r="I1504">
        <v>599</v>
      </c>
      <c r="J1504">
        <v>599</v>
      </c>
      <c r="K1504" t="s">
        <v>1102</v>
      </c>
      <c r="L1504">
        <v>599</v>
      </c>
      <c r="M1504" t="s">
        <v>1093</v>
      </c>
      <c r="N1504" t="s">
        <v>1094</v>
      </c>
      <c r="O1504">
        <f>Table1[[#This Row],[Unit_Price]]*Table1[[#This Row],[Quantity]]</f>
        <v>120</v>
      </c>
    </row>
    <row r="1505" spans="1:15" x14ac:dyDescent="0.3">
      <c r="A1505" t="s">
        <v>3241</v>
      </c>
      <c r="B1505" t="s">
        <v>2865</v>
      </c>
      <c r="C1505" t="s">
        <v>136</v>
      </c>
      <c r="D1505" t="s">
        <v>1057</v>
      </c>
      <c r="E1505">
        <v>3</v>
      </c>
      <c r="F1505">
        <f>_xlfn.XLOOKUP(Table1[[#This Row],[ProductID]],Products!A:A,Products!D:D,,0)</f>
        <v>130</v>
      </c>
      <c r="I1505">
        <v>549</v>
      </c>
      <c r="J1505">
        <v>494</v>
      </c>
      <c r="K1505" t="s">
        <v>1107</v>
      </c>
      <c r="L1505">
        <v>1482</v>
      </c>
      <c r="M1505" t="s">
        <v>1098</v>
      </c>
      <c r="N1505" t="s">
        <v>1099</v>
      </c>
      <c r="O1505">
        <f>Table1[[#This Row],[Unit_Price]]*Table1[[#This Row],[Quantity]]</f>
        <v>390</v>
      </c>
    </row>
    <row r="1506" spans="1:15" x14ac:dyDescent="0.3">
      <c r="A1506" t="s">
        <v>3242</v>
      </c>
      <c r="B1506" t="s">
        <v>3243</v>
      </c>
      <c r="C1506" t="s">
        <v>925</v>
      </c>
      <c r="D1506" t="s">
        <v>1066</v>
      </c>
      <c r="E1506">
        <v>1</v>
      </c>
      <c r="F1506">
        <f>_xlfn.XLOOKUP(Table1[[#This Row],[ProductID]],Products!A:A,Products!D:D,,0)</f>
        <v>140</v>
      </c>
      <c r="I1506">
        <v>499</v>
      </c>
      <c r="J1506">
        <v>399</v>
      </c>
      <c r="K1506" t="s">
        <v>1097</v>
      </c>
      <c r="L1506">
        <v>399</v>
      </c>
      <c r="M1506" t="s">
        <v>1093</v>
      </c>
      <c r="N1506" t="s">
        <v>1099</v>
      </c>
      <c r="O1506">
        <f>Table1[[#This Row],[Unit_Price]]*Table1[[#This Row],[Quantity]]</f>
        <v>140</v>
      </c>
    </row>
    <row r="1507" spans="1:15" x14ac:dyDescent="0.3">
      <c r="A1507" t="s">
        <v>3244</v>
      </c>
      <c r="B1507" t="s">
        <v>1493</v>
      </c>
      <c r="C1507" t="s">
        <v>183</v>
      </c>
      <c r="D1507" t="s">
        <v>1051</v>
      </c>
      <c r="E1507">
        <v>2</v>
      </c>
      <c r="F1507">
        <f>_xlfn.XLOOKUP(Table1[[#This Row],[ProductID]],Products!A:A,Products!D:D,,0)</f>
        <v>150</v>
      </c>
      <c r="I1507">
        <v>499</v>
      </c>
      <c r="J1507">
        <v>449</v>
      </c>
      <c r="K1507" t="s">
        <v>1107</v>
      </c>
      <c r="L1507">
        <v>898</v>
      </c>
      <c r="M1507" t="s">
        <v>1093</v>
      </c>
      <c r="N1507" t="s">
        <v>1099</v>
      </c>
      <c r="O1507">
        <f>Table1[[#This Row],[Unit_Price]]*Table1[[#This Row],[Quantity]]</f>
        <v>300</v>
      </c>
    </row>
    <row r="1508" spans="1:15" x14ac:dyDescent="0.3">
      <c r="A1508" t="s">
        <v>3245</v>
      </c>
      <c r="B1508" t="s">
        <v>2441</v>
      </c>
      <c r="C1508" t="s">
        <v>597</v>
      </c>
      <c r="D1508" t="s">
        <v>1068</v>
      </c>
      <c r="E1508">
        <v>1</v>
      </c>
      <c r="F1508">
        <f>_xlfn.XLOOKUP(Table1[[#This Row],[ProductID]],Products!A:A,Products!D:D,,0)</f>
        <v>180</v>
      </c>
      <c r="I1508">
        <v>449</v>
      </c>
      <c r="J1508">
        <v>449</v>
      </c>
      <c r="K1508" t="s">
        <v>1102</v>
      </c>
      <c r="L1508">
        <v>449</v>
      </c>
      <c r="M1508" t="s">
        <v>1098</v>
      </c>
      <c r="N1508" t="s">
        <v>1099</v>
      </c>
      <c r="O1508">
        <f>Table1[[#This Row],[Unit_Price]]*Table1[[#This Row],[Quantity]]</f>
        <v>180</v>
      </c>
    </row>
    <row r="1509" spans="1:15" x14ac:dyDescent="0.3">
      <c r="A1509" t="s">
        <v>3246</v>
      </c>
      <c r="B1509" t="s">
        <v>1575</v>
      </c>
      <c r="C1509" t="s">
        <v>44</v>
      </c>
      <c r="D1509" t="s">
        <v>1059</v>
      </c>
      <c r="E1509">
        <v>2</v>
      </c>
      <c r="F1509">
        <f>_xlfn.XLOOKUP(Table1[[#This Row],[ProductID]],Products!A:A,Products!D:D,,0)</f>
        <v>110</v>
      </c>
      <c r="I1509">
        <v>399</v>
      </c>
      <c r="J1509">
        <v>359</v>
      </c>
      <c r="K1509" t="s">
        <v>1107</v>
      </c>
      <c r="L1509">
        <v>718</v>
      </c>
      <c r="M1509" t="s">
        <v>1098</v>
      </c>
      <c r="N1509" t="s">
        <v>1099</v>
      </c>
      <c r="O1509">
        <f>Table1[[#This Row],[Unit_Price]]*Table1[[#This Row],[Quantity]]</f>
        <v>220</v>
      </c>
    </row>
    <row r="1510" spans="1:15" x14ac:dyDescent="0.3">
      <c r="A1510" t="s">
        <v>3247</v>
      </c>
      <c r="B1510" t="s">
        <v>2322</v>
      </c>
      <c r="C1510" t="s">
        <v>112</v>
      </c>
      <c r="D1510" t="s">
        <v>1066</v>
      </c>
      <c r="E1510">
        <v>1</v>
      </c>
      <c r="F1510">
        <f>_xlfn.XLOOKUP(Table1[[#This Row],[ProductID]],Products!A:A,Products!D:D,,0)</f>
        <v>140</v>
      </c>
      <c r="I1510">
        <v>499</v>
      </c>
      <c r="J1510">
        <v>399</v>
      </c>
      <c r="K1510" t="s">
        <v>1097</v>
      </c>
      <c r="L1510">
        <v>399</v>
      </c>
      <c r="M1510" t="s">
        <v>1098</v>
      </c>
      <c r="N1510" t="s">
        <v>1099</v>
      </c>
      <c r="O1510">
        <f>Table1[[#This Row],[Unit_Price]]*Table1[[#This Row],[Quantity]]</f>
        <v>140</v>
      </c>
    </row>
    <row r="1511" spans="1:15" x14ac:dyDescent="0.3">
      <c r="A1511" t="s">
        <v>3248</v>
      </c>
      <c r="B1511" t="s">
        <v>2316</v>
      </c>
      <c r="C1511" t="s">
        <v>57</v>
      </c>
      <c r="D1511" t="s">
        <v>1048</v>
      </c>
      <c r="E1511">
        <v>1</v>
      </c>
      <c r="F1511">
        <f>_xlfn.XLOOKUP(Table1[[#This Row],[ProductID]],Products!A:A,Products!D:D,,0)</f>
        <v>120</v>
      </c>
      <c r="I1511">
        <v>599</v>
      </c>
      <c r="J1511">
        <v>479</v>
      </c>
      <c r="K1511" t="s">
        <v>1097</v>
      </c>
      <c r="L1511">
        <v>479</v>
      </c>
      <c r="M1511" t="s">
        <v>1098</v>
      </c>
      <c r="N1511" t="s">
        <v>1099</v>
      </c>
      <c r="O1511">
        <f>Table1[[#This Row],[Unit_Price]]*Table1[[#This Row],[Quantity]]</f>
        <v>120</v>
      </c>
    </row>
    <row r="1512" spans="1:15" x14ac:dyDescent="0.3">
      <c r="A1512" t="s">
        <v>3249</v>
      </c>
      <c r="B1512" t="s">
        <v>3250</v>
      </c>
      <c r="C1512" t="s">
        <v>134</v>
      </c>
      <c r="D1512" t="s">
        <v>1068</v>
      </c>
      <c r="E1512">
        <v>1</v>
      </c>
      <c r="F1512">
        <f>_xlfn.XLOOKUP(Table1[[#This Row],[ProductID]],Products!A:A,Products!D:D,,0)</f>
        <v>180</v>
      </c>
      <c r="I1512">
        <v>449</v>
      </c>
      <c r="J1512">
        <v>382</v>
      </c>
      <c r="K1512" t="s">
        <v>1092</v>
      </c>
      <c r="L1512">
        <v>382</v>
      </c>
      <c r="M1512" t="s">
        <v>1093</v>
      </c>
      <c r="N1512" t="s">
        <v>1094</v>
      </c>
      <c r="O1512">
        <f>Table1[[#This Row],[Unit_Price]]*Table1[[#This Row],[Quantity]]</f>
        <v>180</v>
      </c>
    </row>
    <row r="1513" spans="1:15" x14ac:dyDescent="0.3">
      <c r="A1513" t="s">
        <v>3251</v>
      </c>
      <c r="B1513" t="s">
        <v>2213</v>
      </c>
      <c r="C1513" t="s">
        <v>18</v>
      </c>
      <c r="D1513" t="s">
        <v>1066</v>
      </c>
      <c r="E1513">
        <v>2</v>
      </c>
      <c r="F1513">
        <f>_xlfn.XLOOKUP(Table1[[#This Row],[ProductID]],Products!A:A,Products!D:D,,0)</f>
        <v>140</v>
      </c>
      <c r="I1513">
        <v>499</v>
      </c>
      <c r="J1513">
        <v>449</v>
      </c>
      <c r="K1513" t="s">
        <v>1107</v>
      </c>
      <c r="L1513">
        <v>898</v>
      </c>
      <c r="M1513" t="s">
        <v>1093</v>
      </c>
      <c r="N1513" t="s">
        <v>1099</v>
      </c>
      <c r="O1513">
        <f>Table1[[#This Row],[Unit_Price]]*Table1[[#This Row],[Quantity]]</f>
        <v>280</v>
      </c>
    </row>
    <row r="1514" spans="1:15" x14ac:dyDescent="0.3">
      <c r="A1514" t="s">
        <v>3252</v>
      </c>
      <c r="B1514" t="s">
        <v>1296</v>
      </c>
      <c r="C1514" t="s">
        <v>267</v>
      </c>
      <c r="D1514" t="s">
        <v>1059</v>
      </c>
      <c r="E1514">
        <v>1</v>
      </c>
      <c r="F1514">
        <f>_xlfn.XLOOKUP(Table1[[#This Row],[ProductID]],Products!A:A,Products!D:D,,0)</f>
        <v>110</v>
      </c>
      <c r="I1514">
        <v>399</v>
      </c>
      <c r="J1514">
        <v>319</v>
      </c>
      <c r="K1514" t="s">
        <v>1097</v>
      </c>
      <c r="L1514">
        <v>319</v>
      </c>
      <c r="M1514" t="s">
        <v>1093</v>
      </c>
      <c r="N1514" t="s">
        <v>1094</v>
      </c>
      <c r="O1514">
        <f>Table1[[#This Row],[Unit_Price]]*Table1[[#This Row],[Quantity]]</f>
        <v>110</v>
      </c>
    </row>
    <row r="1515" spans="1:15" x14ac:dyDescent="0.3">
      <c r="A1515" t="s">
        <v>3253</v>
      </c>
      <c r="B1515" t="s">
        <v>3220</v>
      </c>
      <c r="C1515" t="s">
        <v>663</v>
      </c>
      <c r="D1515" t="s">
        <v>1075</v>
      </c>
      <c r="E1515">
        <v>1</v>
      </c>
      <c r="F1515">
        <f>_xlfn.XLOOKUP(Table1[[#This Row],[ProductID]],Products!A:A,Products!D:D,,0)</f>
        <v>80</v>
      </c>
      <c r="I1515">
        <v>499</v>
      </c>
      <c r="J1515">
        <v>399</v>
      </c>
      <c r="K1515" t="s">
        <v>1097</v>
      </c>
      <c r="L1515">
        <v>399</v>
      </c>
      <c r="M1515" t="s">
        <v>1098</v>
      </c>
      <c r="N1515" t="s">
        <v>1123</v>
      </c>
      <c r="O1515">
        <f>Table1[[#This Row],[Unit_Price]]*Table1[[#This Row],[Quantity]]</f>
        <v>80</v>
      </c>
    </row>
    <row r="1516" spans="1:15" x14ac:dyDescent="0.3">
      <c r="A1516" t="s">
        <v>3254</v>
      </c>
      <c r="B1516" t="s">
        <v>1859</v>
      </c>
      <c r="C1516" t="s">
        <v>959</v>
      </c>
      <c r="D1516" t="s">
        <v>1073</v>
      </c>
      <c r="E1516">
        <v>1</v>
      </c>
      <c r="F1516">
        <f>_xlfn.XLOOKUP(Table1[[#This Row],[ProductID]],Products!A:A,Products!D:D,,0)</f>
        <v>100</v>
      </c>
      <c r="I1516">
        <v>349</v>
      </c>
      <c r="J1516">
        <v>279</v>
      </c>
      <c r="K1516" t="s">
        <v>1097</v>
      </c>
      <c r="L1516">
        <v>279</v>
      </c>
      <c r="M1516" t="s">
        <v>1126</v>
      </c>
      <c r="N1516" t="s">
        <v>1099</v>
      </c>
      <c r="O1516">
        <f>Table1[[#This Row],[Unit_Price]]*Table1[[#This Row],[Quantity]]</f>
        <v>100</v>
      </c>
    </row>
    <row r="1517" spans="1:15" x14ac:dyDescent="0.3">
      <c r="A1517" t="s">
        <v>3255</v>
      </c>
      <c r="B1517" t="s">
        <v>2654</v>
      </c>
      <c r="C1517" t="s">
        <v>187</v>
      </c>
      <c r="D1517" t="s">
        <v>1057</v>
      </c>
      <c r="E1517">
        <v>3</v>
      </c>
      <c r="F1517">
        <f>_xlfn.XLOOKUP(Table1[[#This Row],[ProductID]],Products!A:A,Products!D:D,,0)</f>
        <v>130</v>
      </c>
      <c r="I1517">
        <v>549</v>
      </c>
      <c r="J1517">
        <v>549</v>
      </c>
      <c r="K1517" t="s">
        <v>1102</v>
      </c>
      <c r="L1517">
        <v>1647</v>
      </c>
      <c r="M1517" t="s">
        <v>1093</v>
      </c>
      <c r="N1517" t="s">
        <v>1123</v>
      </c>
      <c r="O1517">
        <f>Table1[[#This Row],[Unit_Price]]*Table1[[#This Row],[Quantity]]</f>
        <v>390</v>
      </c>
    </row>
    <row r="1518" spans="1:15" x14ac:dyDescent="0.3">
      <c r="A1518" t="s">
        <v>3256</v>
      </c>
      <c r="B1518" t="s">
        <v>3198</v>
      </c>
      <c r="C1518" t="s">
        <v>152</v>
      </c>
      <c r="D1518" t="s">
        <v>1080</v>
      </c>
      <c r="E1518">
        <v>1</v>
      </c>
      <c r="F1518">
        <f>_xlfn.XLOOKUP(Table1[[#This Row],[ProductID]],Products!A:A,Products!D:D,,0)</f>
        <v>45</v>
      </c>
      <c r="I1518">
        <v>249</v>
      </c>
      <c r="J1518">
        <v>249</v>
      </c>
      <c r="K1518" t="s">
        <v>1102</v>
      </c>
      <c r="L1518">
        <v>249</v>
      </c>
      <c r="M1518" t="s">
        <v>1098</v>
      </c>
      <c r="N1518" t="s">
        <v>1099</v>
      </c>
      <c r="O1518">
        <f>Table1[[#This Row],[Unit_Price]]*Table1[[#This Row],[Quantity]]</f>
        <v>45</v>
      </c>
    </row>
    <row r="1519" spans="1:15" x14ac:dyDescent="0.3">
      <c r="A1519" t="s">
        <v>3257</v>
      </c>
      <c r="B1519" t="s">
        <v>2025</v>
      </c>
      <c r="C1519" t="s">
        <v>1013</v>
      </c>
      <c r="D1519" t="s">
        <v>1075</v>
      </c>
      <c r="E1519">
        <v>1</v>
      </c>
      <c r="F1519">
        <f>_xlfn.XLOOKUP(Table1[[#This Row],[ProductID]],Products!A:A,Products!D:D,,0)</f>
        <v>80</v>
      </c>
      <c r="I1519">
        <v>499</v>
      </c>
      <c r="J1519">
        <v>449</v>
      </c>
      <c r="K1519" t="s">
        <v>1107</v>
      </c>
      <c r="L1519">
        <v>449</v>
      </c>
      <c r="M1519" t="s">
        <v>1093</v>
      </c>
      <c r="N1519" t="s">
        <v>1099</v>
      </c>
      <c r="O1519">
        <f>Table1[[#This Row],[Unit_Price]]*Table1[[#This Row],[Quantity]]</f>
        <v>80</v>
      </c>
    </row>
    <row r="1520" spans="1:15" x14ac:dyDescent="0.3">
      <c r="A1520" t="s">
        <v>3258</v>
      </c>
      <c r="B1520" t="s">
        <v>2622</v>
      </c>
      <c r="C1520" t="s">
        <v>329</v>
      </c>
      <c r="D1520" t="s">
        <v>1080</v>
      </c>
      <c r="E1520">
        <v>2</v>
      </c>
      <c r="F1520">
        <f>_xlfn.XLOOKUP(Table1[[#This Row],[ProductID]],Products!A:A,Products!D:D,,0)</f>
        <v>45</v>
      </c>
      <c r="I1520">
        <v>249</v>
      </c>
      <c r="J1520">
        <v>224</v>
      </c>
      <c r="K1520" t="s">
        <v>1107</v>
      </c>
      <c r="L1520">
        <v>448</v>
      </c>
      <c r="M1520" t="s">
        <v>1098</v>
      </c>
      <c r="N1520" t="s">
        <v>1099</v>
      </c>
      <c r="O1520">
        <f>Table1[[#This Row],[Unit_Price]]*Table1[[#This Row],[Quantity]]</f>
        <v>90</v>
      </c>
    </row>
    <row r="1521" spans="1:15" x14ac:dyDescent="0.3">
      <c r="A1521" t="s">
        <v>3259</v>
      </c>
      <c r="B1521" t="s">
        <v>1361</v>
      </c>
      <c r="C1521" t="s">
        <v>47</v>
      </c>
      <c r="D1521" t="s">
        <v>1059</v>
      </c>
      <c r="E1521">
        <v>1</v>
      </c>
      <c r="F1521">
        <f>_xlfn.XLOOKUP(Table1[[#This Row],[ProductID]],Products!A:A,Products!D:D,,0)</f>
        <v>110</v>
      </c>
      <c r="I1521">
        <v>399</v>
      </c>
      <c r="J1521">
        <v>399</v>
      </c>
      <c r="K1521" t="s">
        <v>1102</v>
      </c>
      <c r="L1521">
        <v>399</v>
      </c>
      <c r="M1521" t="s">
        <v>1093</v>
      </c>
      <c r="N1521" t="s">
        <v>1099</v>
      </c>
      <c r="O1521">
        <f>Table1[[#This Row],[Unit_Price]]*Table1[[#This Row],[Quantity]]</f>
        <v>110</v>
      </c>
    </row>
    <row r="1522" spans="1:15" x14ac:dyDescent="0.3">
      <c r="A1522" t="s">
        <v>3260</v>
      </c>
      <c r="B1522" t="s">
        <v>2267</v>
      </c>
      <c r="C1522" t="s">
        <v>437</v>
      </c>
      <c r="D1522" t="s">
        <v>1066</v>
      </c>
      <c r="E1522">
        <v>1</v>
      </c>
      <c r="F1522">
        <f>_xlfn.XLOOKUP(Table1[[#This Row],[ProductID]],Products!A:A,Products!D:D,,0)</f>
        <v>140</v>
      </c>
      <c r="I1522">
        <v>499</v>
      </c>
      <c r="J1522">
        <v>449</v>
      </c>
      <c r="K1522" t="s">
        <v>1107</v>
      </c>
      <c r="L1522">
        <v>449</v>
      </c>
      <c r="M1522" t="s">
        <v>1093</v>
      </c>
      <c r="N1522" t="s">
        <v>1099</v>
      </c>
      <c r="O1522">
        <f>Table1[[#This Row],[Unit_Price]]*Table1[[#This Row],[Quantity]]</f>
        <v>140</v>
      </c>
    </row>
    <row r="1523" spans="1:15" x14ac:dyDescent="0.3">
      <c r="A1523" t="s">
        <v>3261</v>
      </c>
      <c r="B1523" t="s">
        <v>1830</v>
      </c>
      <c r="C1523" t="s">
        <v>747</v>
      </c>
      <c r="D1523" t="s">
        <v>1055</v>
      </c>
      <c r="E1523">
        <v>1</v>
      </c>
      <c r="F1523">
        <f>_xlfn.XLOOKUP(Table1[[#This Row],[ProductID]],Products!A:A,Products!D:D,,0)</f>
        <v>75</v>
      </c>
      <c r="I1523">
        <v>299</v>
      </c>
      <c r="J1523">
        <v>269</v>
      </c>
      <c r="K1523" t="s">
        <v>1107</v>
      </c>
      <c r="L1523">
        <v>269</v>
      </c>
      <c r="M1523" t="s">
        <v>1093</v>
      </c>
      <c r="N1523" t="s">
        <v>1099</v>
      </c>
      <c r="O1523">
        <f>Table1[[#This Row],[Unit_Price]]*Table1[[#This Row],[Quantity]]</f>
        <v>75</v>
      </c>
    </row>
    <row r="1524" spans="1:15" x14ac:dyDescent="0.3">
      <c r="A1524" t="s">
        <v>3262</v>
      </c>
      <c r="B1524" t="s">
        <v>3263</v>
      </c>
      <c r="C1524" t="s">
        <v>273</v>
      </c>
      <c r="D1524" t="s">
        <v>1048</v>
      </c>
      <c r="E1524">
        <v>2</v>
      </c>
      <c r="F1524">
        <f>_xlfn.XLOOKUP(Table1[[#This Row],[ProductID]],Products!A:A,Products!D:D,,0)</f>
        <v>120</v>
      </c>
      <c r="I1524">
        <v>599</v>
      </c>
      <c r="J1524">
        <v>539</v>
      </c>
      <c r="K1524" t="s">
        <v>1107</v>
      </c>
      <c r="L1524">
        <v>1078</v>
      </c>
      <c r="M1524" t="s">
        <v>1093</v>
      </c>
      <c r="N1524" t="s">
        <v>1094</v>
      </c>
      <c r="O1524">
        <f>Table1[[#This Row],[Unit_Price]]*Table1[[#This Row],[Quantity]]</f>
        <v>240</v>
      </c>
    </row>
    <row r="1525" spans="1:15" x14ac:dyDescent="0.3">
      <c r="A1525" t="s">
        <v>3264</v>
      </c>
      <c r="B1525" t="s">
        <v>3265</v>
      </c>
      <c r="C1525" t="s">
        <v>201</v>
      </c>
      <c r="D1525" t="s">
        <v>1064</v>
      </c>
      <c r="E1525">
        <v>1</v>
      </c>
      <c r="F1525">
        <f>_xlfn.XLOOKUP(Table1[[#This Row],[ProductID]],Products!A:A,Products!D:D,,0)</f>
        <v>160</v>
      </c>
      <c r="I1525">
        <v>699</v>
      </c>
      <c r="J1525">
        <v>629</v>
      </c>
      <c r="K1525" t="s">
        <v>1107</v>
      </c>
      <c r="L1525">
        <v>629</v>
      </c>
      <c r="M1525" t="s">
        <v>1093</v>
      </c>
      <c r="N1525" t="s">
        <v>1099</v>
      </c>
      <c r="O1525">
        <f>Table1[[#This Row],[Unit_Price]]*Table1[[#This Row],[Quantity]]</f>
        <v>160</v>
      </c>
    </row>
    <row r="1526" spans="1:15" x14ac:dyDescent="0.3">
      <c r="A1526" t="s">
        <v>3266</v>
      </c>
      <c r="B1526" t="s">
        <v>2342</v>
      </c>
      <c r="C1526" t="s">
        <v>253</v>
      </c>
      <c r="D1526" t="s">
        <v>1057</v>
      </c>
      <c r="E1526">
        <v>1</v>
      </c>
      <c r="F1526">
        <f>_xlfn.XLOOKUP(Table1[[#This Row],[ProductID]],Products!A:A,Products!D:D,,0)</f>
        <v>130</v>
      </c>
      <c r="I1526">
        <v>549</v>
      </c>
      <c r="J1526">
        <v>439</v>
      </c>
      <c r="K1526" t="s">
        <v>1097</v>
      </c>
      <c r="L1526">
        <v>439</v>
      </c>
      <c r="M1526" t="s">
        <v>1126</v>
      </c>
      <c r="N1526" t="s">
        <v>1099</v>
      </c>
      <c r="O1526">
        <f>Table1[[#This Row],[Unit_Price]]*Table1[[#This Row],[Quantity]]</f>
        <v>130</v>
      </c>
    </row>
    <row r="1527" spans="1:15" x14ac:dyDescent="0.3">
      <c r="A1527" t="s">
        <v>3267</v>
      </c>
      <c r="B1527" t="s">
        <v>3243</v>
      </c>
      <c r="C1527" t="s">
        <v>124</v>
      </c>
      <c r="D1527" t="s">
        <v>1068</v>
      </c>
      <c r="E1527">
        <v>1</v>
      </c>
      <c r="F1527">
        <f>_xlfn.XLOOKUP(Table1[[#This Row],[ProductID]],Products!A:A,Products!D:D,,0)</f>
        <v>180</v>
      </c>
      <c r="I1527">
        <v>449</v>
      </c>
      <c r="J1527">
        <v>382</v>
      </c>
      <c r="K1527" t="s">
        <v>1092</v>
      </c>
      <c r="L1527">
        <v>382</v>
      </c>
      <c r="M1527" t="s">
        <v>1118</v>
      </c>
      <c r="N1527" t="s">
        <v>1099</v>
      </c>
      <c r="O1527">
        <f>Table1[[#This Row],[Unit_Price]]*Table1[[#This Row],[Quantity]]</f>
        <v>180</v>
      </c>
    </row>
    <row r="1528" spans="1:15" x14ac:dyDescent="0.3">
      <c r="A1528" t="s">
        <v>3268</v>
      </c>
      <c r="B1528" t="s">
        <v>2210</v>
      </c>
      <c r="C1528" t="s">
        <v>42</v>
      </c>
      <c r="D1528" t="s">
        <v>1062</v>
      </c>
      <c r="E1528">
        <v>1</v>
      </c>
      <c r="F1528">
        <f>_xlfn.XLOOKUP(Table1[[#This Row],[ProductID]],Products!A:A,Products!D:D,,0)</f>
        <v>95</v>
      </c>
      <c r="I1528">
        <v>349</v>
      </c>
      <c r="J1528">
        <v>297</v>
      </c>
      <c r="K1528" t="s">
        <v>1092</v>
      </c>
      <c r="L1528">
        <v>297</v>
      </c>
      <c r="M1528" t="s">
        <v>1093</v>
      </c>
      <c r="N1528" t="s">
        <v>1123</v>
      </c>
      <c r="O1528">
        <f>Table1[[#This Row],[Unit_Price]]*Table1[[#This Row],[Quantity]]</f>
        <v>95</v>
      </c>
    </row>
    <row r="1529" spans="1:15" x14ac:dyDescent="0.3">
      <c r="A1529" t="s">
        <v>3269</v>
      </c>
      <c r="B1529" t="s">
        <v>2167</v>
      </c>
      <c r="C1529" t="s">
        <v>145</v>
      </c>
      <c r="D1529" t="s">
        <v>1053</v>
      </c>
      <c r="E1529">
        <v>3</v>
      </c>
      <c r="F1529">
        <f>_xlfn.XLOOKUP(Table1[[#This Row],[ProductID]],Products!A:A,Products!D:D,,0)</f>
        <v>200</v>
      </c>
      <c r="I1529">
        <v>899</v>
      </c>
      <c r="J1529">
        <v>809</v>
      </c>
      <c r="K1529" t="s">
        <v>1107</v>
      </c>
      <c r="L1529">
        <v>2427</v>
      </c>
      <c r="M1529" t="s">
        <v>1098</v>
      </c>
      <c r="N1529" t="s">
        <v>1099</v>
      </c>
      <c r="O1529">
        <f>Table1[[#This Row],[Unit_Price]]*Table1[[#This Row],[Quantity]]</f>
        <v>600</v>
      </c>
    </row>
    <row r="1530" spans="1:15" x14ac:dyDescent="0.3">
      <c r="A1530" t="s">
        <v>3270</v>
      </c>
      <c r="B1530" t="s">
        <v>2856</v>
      </c>
      <c r="C1530" t="s">
        <v>985</v>
      </c>
      <c r="D1530" t="s">
        <v>1051</v>
      </c>
      <c r="E1530">
        <v>1</v>
      </c>
      <c r="F1530">
        <f>_xlfn.XLOOKUP(Table1[[#This Row],[ProductID]],Products!A:A,Products!D:D,,0)</f>
        <v>150</v>
      </c>
      <c r="I1530">
        <v>499</v>
      </c>
      <c r="J1530">
        <v>449</v>
      </c>
      <c r="K1530" t="s">
        <v>1107</v>
      </c>
      <c r="L1530">
        <v>449</v>
      </c>
      <c r="M1530" t="s">
        <v>1093</v>
      </c>
      <c r="N1530" t="s">
        <v>1099</v>
      </c>
      <c r="O1530">
        <f>Table1[[#This Row],[Unit_Price]]*Table1[[#This Row],[Quantity]]</f>
        <v>150</v>
      </c>
    </row>
    <row r="1531" spans="1:15" x14ac:dyDescent="0.3">
      <c r="A1531" t="s">
        <v>3271</v>
      </c>
      <c r="B1531" t="s">
        <v>3272</v>
      </c>
      <c r="C1531" t="s">
        <v>93</v>
      </c>
      <c r="D1531" t="s">
        <v>1048</v>
      </c>
      <c r="E1531">
        <v>2</v>
      </c>
      <c r="F1531">
        <f>_xlfn.XLOOKUP(Table1[[#This Row],[ProductID]],Products!A:A,Products!D:D,,0)</f>
        <v>120</v>
      </c>
      <c r="I1531">
        <v>599</v>
      </c>
      <c r="J1531">
        <v>539</v>
      </c>
      <c r="K1531" t="s">
        <v>1107</v>
      </c>
      <c r="L1531">
        <v>1078</v>
      </c>
      <c r="M1531" t="s">
        <v>1098</v>
      </c>
      <c r="N1531" t="s">
        <v>1094</v>
      </c>
      <c r="O1531">
        <f>Table1[[#This Row],[Unit_Price]]*Table1[[#This Row],[Quantity]]</f>
        <v>240</v>
      </c>
    </row>
    <row r="1532" spans="1:15" x14ac:dyDescent="0.3">
      <c r="A1532" t="s">
        <v>3273</v>
      </c>
      <c r="B1532" t="s">
        <v>1799</v>
      </c>
      <c r="C1532" t="s">
        <v>160</v>
      </c>
      <c r="D1532" t="s">
        <v>1066</v>
      </c>
      <c r="E1532">
        <v>3</v>
      </c>
      <c r="F1532">
        <f>_xlfn.XLOOKUP(Table1[[#This Row],[ProductID]],Products!A:A,Products!D:D,,0)</f>
        <v>140</v>
      </c>
      <c r="I1532">
        <v>499</v>
      </c>
      <c r="J1532">
        <v>399</v>
      </c>
      <c r="K1532" t="s">
        <v>1097</v>
      </c>
      <c r="L1532">
        <v>1197</v>
      </c>
      <c r="M1532" t="s">
        <v>1093</v>
      </c>
      <c r="N1532" t="s">
        <v>1099</v>
      </c>
      <c r="O1532">
        <f>Table1[[#This Row],[Unit_Price]]*Table1[[#This Row],[Quantity]]</f>
        <v>420</v>
      </c>
    </row>
    <row r="1533" spans="1:15" x14ac:dyDescent="0.3">
      <c r="A1533" t="s">
        <v>3274</v>
      </c>
      <c r="B1533" t="s">
        <v>2947</v>
      </c>
      <c r="C1533" t="s">
        <v>160</v>
      </c>
      <c r="D1533" t="s">
        <v>1078</v>
      </c>
      <c r="E1533">
        <v>1</v>
      </c>
      <c r="F1533">
        <f>_xlfn.XLOOKUP(Table1[[#This Row],[ProductID]],Products!A:A,Products!D:D,,0)</f>
        <v>80</v>
      </c>
      <c r="I1533">
        <v>499</v>
      </c>
      <c r="J1533">
        <v>449</v>
      </c>
      <c r="K1533" t="s">
        <v>1107</v>
      </c>
      <c r="L1533">
        <v>449</v>
      </c>
      <c r="M1533" t="s">
        <v>1093</v>
      </c>
      <c r="N1533" t="s">
        <v>1099</v>
      </c>
      <c r="O1533">
        <f>Table1[[#This Row],[Unit_Price]]*Table1[[#This Row],[Quantity]]</f>
        <v>80</v>
      </c>
    </row>
    <row r="1534" spans="1:15" x14ac:dyDescent="0.3">
      <c r="A1534" t="s">
        <v>3275</v>
      </c>
      <c r="B1534" t="s">
        <v>1248</v>
      </c>
      <c r="C1534" t="s">
        <v>591</v>
      </c>
      <c r="D1534" t="s">
        <v>1068</v>
      </c>
      <c r="E1534">
        <v>3</v>
      </c>
      <c r="F1534">
        <f>_xlfn.XLOOKUP(Table1[[#This Row],[ProductID]],Products!A:A,Products!D:D,,0)</f>
        <v>180</v>
      </c>
      <c r="I1534">
        <v>449</v>
      </c>
      <c r="J1534">
        <v>359</v>
      </c>
      <c r="K1534" t="s">
        <v>1097</v>
      </c>
      <c r="L1534">
        <v>1077</v>
      </c>
      <c r="M1534" t="s">
        <v>1093</v>
      </c>
      <c r="N1534" t="s">
        <v>1099</v>
      </c>
      <c r="O1534">
        <f>Table1[[#This Row],[Unit_Price]]*Table1[[#This Row],[Quantity]]</f>
        <v>540</v>
      </c>
    </row>
    <row r="1535" spans="1:15" x14ac:dyDescent="0.3">
      <c r="A1535" t="s">
        <v>3276</v>
      </c>
      <c r="B1535" t="s">
        <v>2206</v>
      </c>
      <c r="C1535" t="s">
        <v>965</v>
      </c>
      <c r="D1535" t="s">
        <v>1059</v>
      </c>
      <c r="E1535">
        <v>1</v>
      </c>
      <c r="F1535">
        <f>_xlfn.XLOOKUP(Table1[[#This Row],[ProductID]],Products!A:A,Products!D:D,,0)</f>
        <v>110</v>
      </c>
      <c r="I1535">
        <v>399</v>
      </c>
      <c r="J1535">
        <v>319</v>
      </c>
      <c r="K1535" t="s">
        <v>1097</v>
      </c>
      <c r="L1535">
        <v>319</v>
      </c>
      <c r="M1535" t="s">
        <v>1093</v>
      </c>
      <c r="N1535" t="s">
        <v>1099</v>
      </c>
      <c r="O1535">
        <f>Table1[[#This Row],[Unit_Price]]*Table1[[#This Row],[Quantity]]</f>
        <v>110</v>
      </c>
    </row>
    <row r="1536" spans="1:15" x14ac:dyDescent="0.3">
      <c r="A1536" t="s">
        <v>3277</v>
      </c>
      <c r="B1536" t="s">
        <v>2333</v>
      </c>
      <c r="C1536" t="s">
        <v>445</v>
      </c>
      <c r="D1536" t="s">
        <v>1051</v>
      </c>
      <c r="E1536">
        <v>2</v>
      </c>
      <c r="F1536">
        <f>_xlfn.XLOOKUP(Table1[[#This Row],[ProductID]],Products!A:A,Products!D:D,,0)</f>
        <v>150</v>
      </c>
      <c r="I1536">
        <v>499</v>
      </c>
      <c r="J1536">
        <v>449</v>
      </c>
      <c r="K1536" t="s">
        <v>1107</v>
      </c>
      <c r="L1536">
        <v>898</v>
      </c>
      <c r="M1536" t="s">
        <v>1098</v>
      </c>
      <c r="N1536" t="s">
        <v>1099</v>
      </c>
      <c r="O1536">
        <f>Table1[[#This Row],[Unit_Price]]*Table1[[#This Row],[Quantity]]</f>
        <v>300</v>
      </c>
    </row>
    <row r="1537" spans="1:15" x14ac:dyDescent="0.3">
      <c r="A1537" t="s">
        <v>3278</v>
      </c>
      <c r="B1537" t="s">
        <v>1851</v>
      </c>
      <c r="C1537" t="s">
        <v>723</v>
      </c>
      <c r="D1537" t="s">
        <v>1051</v>
      </c>
      <c r="E1537">
        <v>2</v>
      </c>
      <c r="F1537">
        <f>_xlfn.XLOOKUP(Table1[[#This Row],[ProductID]],Products!A:A,Products!D:D,,0)</f>
        <v>150</v>
      </c>
      <c r="I1537">
        <v>499</v>
      </c>
      <c r="J1537">
        <v>449</v>
      </c>
      <c r="K1537" t="s">
        <v>1107</v>
      </c>
      <c r="L1537">
        <v>898</v>
      </c>
      <c r="M1537" t="s">
        <v>1093</v>
      </c>
      <c r="N1537" t="s">
        <v>1094</v>
      </c>
      <c r="O1537">
        <f>Table1[[#This Row],[Unit_Price]]*Table1[[#This Row],[Quantity]]</f>
        <v>300</v>
      </c>
    </row>
    <row r="1538" spans="1:15" x14ac:dyDescent="0.3">
      <c r="A1538" t="s">
        <v>3279</v>
      </c>
      <c r="B1538" t="s">
        <v>3280</v>
      </c>
      <c r="C1538" t="s">
        <v>199</v>
      </c>
      <c r="D1538" t="s">
        <v>1062</v>
      </c>
      <c r="E1538">
        <v>1</v>
      </c>
      <c r="F1538">
        <f>_xlfn.XLOOKUP(Table1[[#This Row],[ProductID]],Products!A:A,Products!D:D,,0)</f>
        <v>95</v>
      </c>
      <c r="I1538">
        <v>349</v>
      </c>
      <c r="J1538">
        <v>297</v>
      </c>
      <c r="K1538" t="s">
        <v>1092</v>
      </c>
      <c r="L1538">
        <v>297</v>
      </c>
      <c r="M1538" t="s">
        <v>1098</v>
      </c>
      <c r="N1538" t="s">
        <v>1099</v>
      </c>
      <c r="O1538">
        <f>Table1[[#This Row],[Unit_Price]]*Table1[[#This Row],[Quantity]]</f>
        <v>95</v>
      </c>
    </row>
    <row r="1539" spans="1:15" x14ac:dyDescent="0.3">
      <c r="A1539" t="s">
        <v>3281</v>
      </c>
      <c r="B1539" t="s">
        <v>1770</v>
      </c>
      <c r="C1539" t="s">
        <v>493</v>
      </c>
      <c r="D1539" t="s">
        <v>1075</v>
      </c>
      <c r="E1539">
        <v>2</v>
      </c>
      <c r="F1539">
        <f>_xlfn.XLOOKUP(Table1[[#This Row],[ProductID]],Products!A:A,Products!D:D,,0)</f>
        <v>80</v>
      </c>
      <c r="I1539">
        <v>499</v>
      </c>
      <c r="J1539">
        <v>449</v>
      </c>
      <c r="K1539" t="s">
        <v>1107</v>
      </c>
      <c r="L1539">
        <v>898</v>
      </c>
      <c r="M1539" t="s">
        <v>1126</v>
      </c>
      <c r="N1539" t="s">
        <v>1099</v>
      </c>
      <c r="O1539">
        <f>Table1[[#This Row],[Unit_Price]]*Table1[[#This Row],[Quantity]]</f>
        <v>160</v>
      </c>
    </row>
    <row r="1540" spans="1:15" x14ac:dyDescent="0.3">
      <c r="A1540" t="s">
        <v>3282</v>
      </c>
      <c r="B1540" t="s">
        <v>1895</v>
      </c>
      <c r="C1540" t="s">
        <v>124</v>
      </c>
      <c r="D1540" t="s">
        <v>1053</v>
      </c>
      <c r="E1540">
        <v>2</v>
      </c>
      <c r="F1540">
        <f>_xlfn.XLOOKUP(Table1[[#This Row],[ProductID]],Products!A:A,Products!D:D,,0)</f>
        <v>200</v>
      </c>
      <c r="I1540">
        <v>899</v>
      </c>
      <c r="J1540">
        <v>719</v>
      </c>
      <c r="K1540" t="s">
        <v>1097</v>
      </c>
      <c r="L1540">
        <v>1438</v>
      </c>
      <c r="M1540" t="s">
        <v>1098</v>
      </c>
      <c r="N1540" t="s">
        <v>1099</v>
      </c>
      <c r="O1540">
        <f>Table1[[#This Row],[Unit_Price]]*Table1[[#This Row],[Quantity]]</f>
        <v>400</v>
      </c>
    </row>
    <row r="1541" spans="1:15" x14ac:dyDescent="0.3">
      <c r="A1541" t="s">
        <v>3283</v>
      </c>
      <c r="B1541" t="s">
        <v>1765</v>
      </c>
      <c r="C1541" t="s">
        <v>233</v>
      </c>
      <c r="D1541" t="s">
        <v>1062</v>
      </c>
      <c r="E1541">
        <v>1</v>
      </c>
      <c r="F1541">
        <f>_xlfn.XLOOKUP(Table1[[#This Row],[ProductID]],Products!A:A,Products!D:D,,0)</f>
        <v>95</v>
      </c>
      <c r="I1541">
        <v>349</v>
      </c>
      <c r="J1541">
        <v>314</v>
      </c>
      <c r="K1541" t="s">
        <v>1107</v>
      </c>
      <c r="L1541">
        <v>314</v>
      </c>
      <c r="M1541" t="s">
        <v>1093</v>
      </c>
      <c r="N1541" t="s">
        <v>1099</v>
      </c>
      <c r="O1541">
        <f>Table1[[#This Row],[Unit_Price]]*Table1[[#This Row],[Quantity]]</f>
        <v>95</v>
      </c>
    </row>
    <row r="1542" spans="1:15" x14ac:dyDescent="0.3">
      <c r="A1542" t="s">
        <v>3284</v>
      </c>
      <c r="B1542" t="s">
        <v>2472</v>
      </c>
      <c r="C1542" t="s">
        <v>219</v>
      </c>
      <c r="D1542" t="s">
        <v>1068</v>
      </c>
      <c r="E1542">
        <v>1</v>
      </c>
      <c r="F1542">
        <f>_xlfn.XLOOKUP(Table1[[#This Row],[ProductID]],Products!A:A,Products!D:D,,0)</f>
        <v>180</v>
      </c>
      <c r="I1542">
        <v>449</v>
      </c>
      <c r="J1542">
        <v>359</v>
      </c>
      <c r="K1542" t="s">
        <v>1097</v>
      </c>
      <c r="L1542">
        <v>359</v>
      </c>
      <c r="M1542" t="s">
        <v>1098</v>
      </c>
      <c r="N1542" t="s">
        <v>1099</v>
      </c>
      <c r="O1542">
        <f>Table1[[#This Row],[Unit_Price]]*Table1[[#This Row],[Quantity]]</f>
        <v>180</v>
      </c>
    </row>
    <row r="1543" spans="1:15" x14ac:dyDescent="0.3">
      <c r="A1543" t="s">
        <v>3285</v>
      </c>
      <c r="B1543" t="s">
        <v>2924</v>
      </c>
      <c r="C1543" t="s">
        <v>655</v>
      </c>
      <c r="D1543" t="s">
        <v>1073</v>
      </c>
      <c r="E1543">
        <v>2</v>
      </c>
      <c r="F1543">
        <f>_xlfn.XLOOKUP(Table1[[#This Row],[ProductID]],Products!A:A,Products!D:D,,0)</f>
        <v>100</v>
      </c>
      <c r="I1543">
        <v>349</v>
      </c>
      <c r="J1543">
        <v>349</v>
      </c>
      <c r="K1543" t="s">
        <v>1102</v>
      </c>
      <c r="L1543">
        <v>698</v>
      </c>
      <c r="M1543" t="s">
        <v>1093</v>
      </c>
      <c r="N1543" t="s">
        <v>1099</v>
      </c>
      <c r="O1543">
        <f>Table1[[#This Row],[Unit_Price]]*Table1[[#This Row],[Quantity]]</f>
        <v>200</v>
      </c>
    </row>
    <row r="1544" spans="1:15" x14ac:dyDescent="0.3">
      <c r="A1544" t="s">
        <v>3286</v>
      </c>
      <c r="B1544" t="s">
        <v>2004</v>
      </c>
      <c r="C1544" t="s">
        <v>177</v>
      </c>
      <c r="D1544" t="s">
        <v>1068</v>
      </c>
      <c r="E1544">
        <v>1</v>
      </c>
      <c r="F1544">
        <f>_xlfn.XLOOKUP(Table1[[#This Row],[ProductID]],Products!A:A,Products!D:D,,0)</f>
        <v>180</v>
      </c>
      <c r="I1544">
        <v>449</v>
      </c>
      <c r="J1544">
        <v>382</v>
      </c>
      <c r="K1544" t="s">
        <v>1092</v>
      </c>
      <c r="L1544">
        <v>382</v>
      </c>
      <c r="M1544" t="s">
        <v>1098</v>
      </c>
      <c r="N1544" t="s">
        <v>1099</v>
      </c>
      <c r="O1544">
        <f>Table1[[#This Row],[Unit_Price]]*Table1[[#This Row],[Quantity]]</f>
        <v>180</v>
      </c>
    </row>
    <row r="1545" spans="1:15" x14ac:dyDescent="0.3">
      <c r="A1545" t="s">
        <v>3287</v>
      </c>
      <c r="B1545" t="s">
        <v>2251</v>
      </c>
      <c r="C1545" t="s">
        <v>162</v>
      </c>
      <c r="D1545" t="s">
        <v>1071</v>
      </c>
      <c r="E1545">
        <v>1</v>
      </c>
      <c r="F1545">
        <f>_xlfn.XLOOKUP(Table1[[#This Row],[ProductID]],Products!A:A,Products!D:D,,0)</f>
        <v>125</v>
      </c>
      <c r="I1545">
        <v>399</v>
      </c>
      <c r="J1545">
        <v>359</v>
      </c>
      <c r="K1545" t="s">
        <v>1107</v>
      </c>
      <c r="L1545">
        <v>359</v>
      </c>
      <c r="M1545" t="s">
        <v>1098</v>
      </c>
      <c r="N1545" t="s">
        <v>1099</v>
      </c>
      <c r="O1545">
        <f>Table1[[#This Row],[Unit_Price]]*Table1[[#This Row],[Quantity]]</f>
        <v>125</v>
      </c>
    </row>
    <row r="1546" spans="1:15" x14ac:dyDescent="0.3">
      <c r="A1546" t="s">
        <v>3288</v>
      </c>
      <c r="B1546" t="s">
        <v>3289</v>
      </c>
      <c r="C1546" t="s">
        <v>869</v>
      </c>
      <c r="D1546" t="s">
        <v>1075</v>
      </c>
      <c r="E1546">
        <v>2</v>
      </c>
      <c r="F1546">
        <f>_xlfn.XLOOKUP(Table1[[#This Row],[ProductID]],Products!A:A,Products!D:D,,0)</f>
        <v>80</v>
      </c>
      <c r="I1546">
        <v>499</v>
      </c>
      <c r="J1546">
        <v>399</v>
      </c>
      <c r="K1546" t="s">
        <v>1097</v>
      </c>
      <c r="L1546">
        <v>798</v>
      </c>
      <c r="M1546" t="s">
        <v>1098</v>
      </c>
      <c r="N1546" t="s">
        <v>1099</v>
      </c>
      <c r="O1546">
        <f>Table1[[#This Row],[Unit_Price]]*Table1[[#This Row],[Quantity]]</f>
        <v>160</v>
      </c>
    </row>
    <row r="1547" spans="1:15" x14ac:dyDescent="0.3">
      <c r="A1547" t="s">
        <v>3290</v>
      </c>
      <c r="B1547" t="s">
        <v>1572</v>
      </c>
      <c r="C1547" t="s">
        <v>165</v>
      </c>
      <c r="D1547" t="s">
        <v>1078</v>
      </c>
      <c r="E1547">
        <v>1</v>
      </c>
      <c r="F1547">
        <f>_xlfn.XLOOKUP(Table1[[#This Row],[ProductID]],Products!A:A,Products!D:D,,0)</f>
        <v>80</v>
      </c>
      <c r="I1547">
        <v>499</v>
      </c>
      <c r="J1547">
        <v>424</v>
      </c>
      <c r="K1547" t="s">
        <v>1092</v>
      </c>
      <c r="L1547">
        <v>424</v>
      </c>
      <c r="M1547" t="s">
        <v>1093</v>
      </c>
      <c r="N1547" t="s">
        <v>1094</v>
      </c>
      <c r="O1547">
        <f>Table1[[#This Row],[Unit_Price]]*Table1[[#This Row],[Quantity]]</f>
        <v>80</v>
      </c>
    </row>
    <row r="1548" spans="1:15" x14ac:dyDescent="0.3">
      <c r="A1548" t="s">
        <v>3291</v>
      </c>
      <c r="B1548" t="s">
        <v>1534</v>
      </c>
      <c r="C1548" t="s">
        <v>973</v>
      </c>
      <c r="D1548" t="s">
        <v>1073</v>
      </c>
      <c r="E1548">
        <v>2</v>
      </c>
      <c r="F1548">
        <f>_xlfn.XLOOKUP(Table1[[#This Row],[ProductID]],Products!A:A,Products!D:D,,0)</f>
        <v>100</v>
      </c>
      <c r="I1548">
        <v>349</v>
      </c>
      <c r="J1548">
        <v>314</v>
      </c>
      <c r="K1548" t="s">
        <v>1107</v>
      </c>
      <c r="L1548">
        <v>628</v>
      </c>
      <c r="M1548" t="s">
        <v>1126</v>
      </c>
      <c r="N1548" t="s">
        <v>1099</v>
      </c>
      <c r="O1548">
        <f>Table1[[#This Row],[Unit_Price]]*Table1[[#This Row],[Quantity]]</f>
        <v>200</v>
      </c>
    </row>
    <row r="1549" spans="1:15" x14ac:dyDescent="0.3">
      <c r="A1549" t="s">
        <v>3292</v>
      </c>
      <c r="B1549" t="s">
        <v>1563</v>
      </c>
      <c r="C1549" t="s">
        <v>173</v>
      </c>
      <c r="D1549" t="s">
        <v>1078</v>
      </c>
      <c r="E1549">
        <v>1</v>
      </c>
      <c r="F1549">
        <f>_xlfn.XLOOKUP(Table1[[#This Row],[ProductID]],Products!A:A,Products!D:D,,0)</f>
        <v>80</v>
      </c>
      <c r="I1549">
        <v>499</v>
      </c>
      <c r="J1549">
        <v>424</v>
      </c>
      <c r="K1549" t="s">
        <v>1092</v>
      </c>
      <c r="L1549">
        <v>424</v>
      </c>
      <c r="M1549" t="s">
        <v>1093</v>
      </c>
      <c r="N1549" t="s">
        <v>1094</v>
      </c>
      <c r="O1549">
        <f>Table1[[#This Row],[Unit_Price]]*Table1[[#This Row],[Quantity]]</f>
        <v>80</v>
      </c>
    </row>
    <row r="1550" spans="1:15" x14ac:dyDescent="0.3">
      <c r="A1550" t="s">
        <v>3293</v>
      </c>
      <c r="B1550" t="s">
        <v>2150</v>
      </c>
      <c r="C1550" t="s">
        <v>321</v>
      </c>
      <c r="D1550" t="s">
        <v>1062</v>
      </c>
      <c r="E1550">
        <v>1</v>
      </c>
      <c r="F1550">
        <f>_xlfn.XLOOKUP(Table1[[#This Row],[ProductID]],Products!A:A,Products!D:D,,0)</f>
        <v>95</v>
      </c>
      <c r="I1550">
        <v>349</v>
      </c>
      <c r="J1550">
        <v>314</v>
      </c>
      <c r="K1550" t="s">
        <v>1107</v>
      </c>
      <c r="L1550">
        <v>314</v>
      </c>
      <c r="M1550" t="s">
        <v>1098</v>
      </c>
      <c r="N1550" t="s">
        <v>1099</v>
      </c>
      <c r="O1550">
        <f>Table1[[#This Row],[Unit_Price]]*Table1[[#This Row],[Quantity]]</f>
        <v>95</v>
      </c>
    </row>
    <row r="1551" spans="1:15" x14ac:dyDescent="0.3">
      <c r="A1551" t="s">
        <v>3294</v>
      </c>
      <c r="B1551" t="s">
        <v>2688</v>
      </c>
      <c r="C1551" t="s">
        <v>297</v>
      </c>
      <c r="D1551" t="s">
        <v>1071</v>
      </c>
      <c r="E1551">
        <v>1</v>
      </c>
      <c r="F1551">
        <f>_xlfn.XLOOKUP(Table1[[#This Row],[ProductID]],Products!A:A,Products!D:D,,0)</f>
        <v>125</v>
      </c>
      <c r="I1551">
        <v>399</v>
      </c>
      <c r="J1551">
        <v>399</v>
      </c>
      <c r="K1551" t="s">
        <v>1102</v>
      </c>
      <c r="L1551">
        <v>399</v>
      </c>
      <c r="M1551" t="s">
        <v>1126</v>
      </c>
      <c r="N1551" t="s">
        <v>1099</v>
      </c>
      <c r="O1551">
        <f>Table1[[#This Row],[Unit_Price]]*Table1[[#This Row],[Quantity]]</f>
        <v>125</v>
      </c>
    </row>
    <row r="1552" spans="1:15" x14ac:dyDescent="0.3">
      <c r="A1552" t="s">
        <v>3295</v>
      </c>
      <c r="B1552" t="s">
        <v>1664</v>
      </c>
      <c r="C1552" t="s">
        <v>735</v>
      </c>
      <c r="D1552" t="s">
        <v>1080</v>
      </c>
      <c r="E1552">
        <v>1</v>
      </c>
      <c r="F1552">
        <f>_xlfn.XLOOKUP(Table1[[#This Row],[ProductID]],Products!A:A,Products!D:D,,0)</f>
        <v>45</v>
      </c>
      <c r="I1552">
        <v>249</v>
      </c>
      <c r="J1552">
        <v>224</v>
      </c>
      <c r="K1552" t="s">
        <v>1107</v>
      </c>
      <c r="L1552">
        <v>224</v>
      </c>
      <c r="M1552" t="s">
        <v>1093</v>
      </c>
      <c r="N1552" t="s">
        <v>1123</v>
      </c>
      <c r="O1552">
        <f>Table1[[#This Row],[Unit_Price]]*Table1[[#This Row],[Quantity]]</f>
        <v>45</v>
      </c>
    </row>
    <row r="1553" spans="1:15" x14ac:dyDescent="0.3">
      <c r="A1553" t="s">
        <v>3296</v>
      </c>
      <c r="B1553" t="s">
        <v>3026</v>
      </c>
      <c r="C1553" t="s">
        <v>423</v>
      </c>
      <c r="D1553" t="s">
        <v>1071</v>
      </c>
      <c r="E1553">
        <v>1</v>
      </c>
      <c r="F1553">
        <f>_xlfn.XLOOKUP(Table1[[#This Row],[ProductID]],Products!A:A,Products!D:D,,0)</f>
        <v>125</v>
      </c>
      <c r="I1553">
        <v>399</v>
      </c>
      <c r="J1553">
        <v>359</v>
      </c>
      <c r="K1553" t="s">
        <v>1107</v>
      </c>
      <c r="L1553">
        <v>359</v>
      </c>
      <c r="M1553" t="s">
        <v>1126</v>
      </c>
      <c r="N1553" t="s">
        <v>1099</v>
      </c>
      <c r="O1553">
        <f>Table1[[#This Row],[Unit_Price]]*Table1[[#This Row],[Quantity]]</f>
        <v>125</v>
      </c>
    </row>
    <row r="1554" spans="1:15" x14ac:dyDescent="0.3">
      <c r="A1554" t="s">
        <v>3297</v>
      </c>
      <c r="B1554" t="s">
        <v>2178</v>
      </c>
      <c r="C1554" t="s">
        <v>975</v>
      </c>
      <c r="D1554" t="s">
        <v>1053</v>
      </c>
      <c r="E1554">
        <v>1</v>
      </c>
      <c r="F1554">
        <f>_xlfn.XLOOKUP(Table1[[#This Row],[ProductID]],Products!A:A,Products!D:D,,0)</f>
        <v>200</v>
      </c>
      <c r="I1554">
        <v>899</v>
      </c>
      <c r="J1554">
        <v>899</v>
      </c>
      <c r="K1554" t="s">
        <v>1102</v>
      </c>
      <c r="L1554">
        <v>899</v>
      </c>
      <c r="M1554" t="s">
        <v>1126</v>
      </c>
      <c r="N1554" t="s">
        <v>1099</v>
      </c>
      <c r="O1554">
        <f>Table1[[#This Row],[Unit_Price]]*Table1[[#This Row],[Quantity]]</f>
        <v>200</v>
      </c>
    </row>
    <row r="1555" spans="1:15" x14ac:dyDescent="0.3">
      <c r="A1555" t="s">
        <v>3298</v>
      </c>
      <c r="B1555" t="s">
        <v>1228</v>
      </c>
      <c r="C1555" t="s">
        <v>49</v>
      </c>
      <c r="D1555" t="s">
        <v>1057</v>
      </c>
      <c r="E1555">
        <v>1</v>
      </c>
      <c r="F1555">
        <f>_xlfn.XLOOKUP(Table1[[#This Row],[ProductID]],Products!A:A,Products!D:D,,0)</f>
        <v>130</v>
      </c>
      <c r="I1555">
        <v>549</v>
      </c>
      <c r="J1555">
        <v>494</v>
      </c>
      <c r="K1555" t="s">
        <v>1107</v>
      </c>
      <c r="L1555">
        <v>494</v>
      </c>
      <c r="M1555" t="s">
        <v>1093</v>
      </c>
      <c r="N1555" t="s">
        <v>1123</v>
      </c>
      <c r="O1555">
        <f>Table1[[#This Row],[Unit_Price]]*Table1[[#This Row],[Quantity]]</f>
        <v>130</v>
      </c>
    </row>
    <row r="1556" spans="1:15" x14ac:dyDescent="0.3">
      <c r="A1556" t="s">
        <v>3299</v>
      </c>
      <c r="B1556" t="s">
        <v>1386</v>
      </c>
      <c r="C1556" t="s">
        <v>130</v>
      </c>
      <c r="D1556" t="s">
        <v>1048</v>
      </c>
      <c r="E1556">
        <v>2</v>
      </c>
      <c r="F1556">
        <f>_xlfn.XLOOKUP(Table1[[#This Row],[ProductID]],Products!A:A,Products!D:D,,0)</f>
        <v>120</v>
      </c>
      <c r="I1556">
        <v>599</v>
      </c>
      <c r="J1556">
        <v>479</v>
      </c>
      <c r="K1556" t="s">
        <v>1097</v>
      </c>
      <c r="L1556">
        <v>958</v>
      </c>
      <c r="M1556" t="s">
        <v>1093</v>
      </c>
      <c r="N1556" t="s">
        <v>1094</v>
      </c>
      <c r="O1556">
        <f>Table1[[#This Row],[Unit_Price]]*Table1[[#This Row],[Quantity]]</f>
        <v>240</v>
      </c>
    </row>
    <row r="1557" spans="1:15" x14ac:dyDescent="0.3">
      <c r="A1557" t="s">
        <v>3300</v>
      </c>
      <c r="B1557" t="s">
        <v>1684</v>
      </c>
      <c r="C1557" t="s">
        <v>233</v>
      </c>
      <c r="D1557" t="s">
        <v>1080</v>
      </c>
      <c r="E1557">
        <v>2</v>
      </c>
      <c r="F1557">
        <f>_xlfn.XLOOKUP(Table1[[#This Row],[ProductID]],Products!A:A,Products!D:D,,0)</f>
        <v>45</v>
      </c>
      <c r="I1557">
        <v>249</v>
      </c>
      <c r="J1557">
        <v>249</v>
      </c>
      <c r="K1557" t="s">
        <v>1102</v>
      </c>
      <c r="L1557">
        <v>498</v>
      </c>
      <c r="M1557" t="s">
        <v>1126</v>
      </c>
      <c r="N1557" t="s">
        <v>1123</v>
      </c>
      <c r="O1557">
        <f>Table1[[#This Row],[Unit_Price]]*Table1[[#This Row],[Quantity]]</f>
        <v>90</v>
      </c>
    </row>
    <row r="1558" spans="1:15" x14ac:dyDescent="0.3">
      <c r="A1558" t="s">
        <v>3301</v>
      </c>
      <c r="B1558" t="s">
        <v>1898</v>
      </c>
      <c r="C1558" t="s">
        <v>108</v>
      </c>
      <c r="D1558" t="s">
        <v>1075</v>
      </c>
      <c r="E1558">
        <v>1</v>
      </c>
      <c r="F1558">
        <f>_xlfn.XLOOKUP(Table1[[#This Row],[ProductID]],Products!A:A,Products!D:D,,0)</f>
        <v>80</v>
      </c>
      <c r="I1558">
        <v>499</v>
      </c>
      <c r="J1558">
        <v>424</v>
      </c>
      <c r="K1558" t="s">
        <v>1092</v>
      </c>
      <c r="L1558">
        <v>424</v>
      </c>
      <c r="M1558" t="s">
        <v>1126</v>
      </c>
      <c r="N1558" t="s">
        <v>1099</v>
      </c>
      <c r="O1558">
        <f>Table1[[#This Row],[Unit_Price]]*Table1[[#This Row],[Quantity]]</f>
        <v>80</v>
      </c>
    </row>
    <row r="1559" spans="1:15" x14ac:dyDescent="0.3">
      <c r="A1559" t="s">
        <v>3302</v>
      </c>
      <c r="B1559" t="s">
        <v>2441</v>
      </c>
      <c r="C1559" t="s">
        <v>647</v>
      </c>
      <c r="D1559" t="s">
        <v>1066</v>
      </c>
      <c r="E1559">
        <v>3</v>
      </c>
      <c r="F1559">
        <f>_xlfn.XLOOKUP(Table1[[#This Row],[ProductID]],Products!A:A,Products!D:D,,0)</f>
        <v>140</v>
      </c>
      <c r="I1559">
        <v>499</v>
      </c>
      <c r="J1559">
        <v>499</v>
      </c>
      <c r="K1559" t="s">
        <v>1102</v>
      </c>
      <c r="L1559">
        <v>1497</v>
      </c>
      <c r="M1559" t="s">
        <v>1098</v>
      </c>
      <c r="N1559" t="s">
        <v>1099</v>
      </c>
      <c r="O1559">
        <f>Table1[[#This Row],[Unit_Price]]*Table1[[#This Row],[Quantity]]</f>
        <v>420</v>
      </c>
    </row>
    <row r="1560" spans="1:15" x14ac:dyDescent="0.3">
      <c r="A1560" t="s">
        <v>3303</v>
      </c>
      <c r="B1560" t="s">
        <v>1467</v>
      </c>
      <c r="C1560" t="s">
        <v>437</v>
      </c>
      <c r="D1560" t="s">
        <v>1068</v>
      </c>
      <c r="E1560">
        <v>1</v>
      </c>
      <c r="F1560">
        <f>_xlfn.XLOOKUP(Table1[[#This Row],[ProductID]],Products!A:A,Products!D:D,,0)</f>
        <v>180</v>
      </c>
      <c r="I1560">
        <v>449</v>
      </c>
      <c r="J1560">
        <v>359</v>
      </c>
      <c r="K1560" t="s">
        <v>1097</v>
      </c>
      <c r="L1560">
        <v>359</v>
      </c>
      <c r="M1560" t="s">
        <v>1093</v>
      </c>
      <c r="N1560" t="s">
        <v>1123</v>
      </c>
      <c r="O1560">
        <f>Table1[[#This Row],[Unit_Price]]*Table1[[#This Row],[Quantity]]</f>
        <v>180</v>
      </c>
    </row>
    <row r="1561" spans="1:15" x14ac:dyDescent="0.3">
      <c r="A1561" t="s">
        <v>3304</v>
      </c>
      <c r="B1561" t="s">
        <v>1547</v>
      </c>
      <c r="C1561" t="s">
        <v>785</v>
      </c>
      <c r="D1561" t="s">
        <v>1075</v>
      </c>
      <c r="E1561">
        <v>2</v>
      </c>
      <c r="F1561">
        <f>_xlfn.XLOOKUP(Table1[[#This Row],[ProductID]],Products!A:A,Products!D:D,,0)</f>
        <v>80</v>
      </c>
      <c r="I1561">
        <v>499</v>
      </c>
      <c r="J1561">
        <v>399</v>
      </c>
      <c r="K1561" t="s">
        <v>1097</v>
      </c>
      <c r="L1561">
        <v>798</v>
      </c>
      <c r="M1561" t="s">
        <v>1093</v>
      </c>
      <c r="N1561" t="s">
        <v>1099</v>
      </c>
      <c r="O1561">
        <f>Table1[[#This Row],[Unit_Price]]*Table1[[#This Row],[Quantity]]</f>
        <v>160</v>
      </c>
    </row>
    <row r="1562" spans="1:15" x14ac:dyDescent="0.3">
      <c r="A1562" t="s">
        <v>3305</v>
      </c>
      <c r="B1562" t="s">
        <v>1875</v>
      </c>
      <c r="C1562" t="s">
        <v>417</v>
      </c>
      <c r="D1562" t="s">
        <v>1064</v>
      </c>
      <c r="E1562">
        <v>2</v>
      </c>
      <c r="F1562">
        <f>_xlfn.XLOOKUP(Table1[[#This Row],[ProductID]],Products!A:A,Products!D:D,,0)</f>
        <v>160</v>
      </c>
      <c r="I1562">
        <v>699</v>
      </c>
      <c r="J1562">
        <v>629</v>
      </c>
      <c r="K1562" t="s">
        <v>1107</v>
      </c>
      <c r="L1562">
        <v>1258</v>
      </c>
      <c r="M1562" t="s">
        <v>1093</v>
      </c>
      <c r="N1562" t="s">
        <v>1099</v>
      </c>
      <c r="O1562">
        <f>Table1[[#This Row],[Unit_Price]]*Table1[[#This Row],[Quantity]]</f>
        <v>320</v>
      </c>
    </row>
    <row r="1563" spans="1:15" x14ac:dyDescent="0.3">
      <c r="A1563" t="s">
        <v>3306</v>
      </c>
      <c r="B1563" t="s">
        <v>3307</v>
      </c>
      <c r="C1563" t="s">
        <v>309</v>
      </c>
      <c r="D1563" t="s">
        <v>1066</v>
      </c>
      <c r="E1563">
        <v>1</v>
      </c>
      <c r="F1563">
        <f>_xlfn.XLOOKUP(Table1[[#This Row],[ProductID]],Products!A:A,Products!D:D,,0)</f>
        <v>140</v>
      </c>
      <c r="I1563">
        <v>499</v>
      </c>
      <c r="J1563">
        <v>424</v>
      </c>
      <c r="K1563" t="s">
        <v>1092</v>
      </c>
      <c r="L1563">
        <v>424</v>
      </c>
      <c r="M1563" t="s">
        <v>1098</v>
      </c>
      <c r="N1563" t="s">
        <v>1099</v>
      </c>
      <c r="O1563">
        <f>Table1[[#This Row],[Unit_Price]]*Table1[[#This Row],[Quantity]]</f>
        <v>140</v>
      </c>
    </row>
    <row r="1564" spans="1:15" x14ac:dyDescent="0.3">
      <c r="A1564" t="s">
        <v>3308</v>
      </c>
      <c r="B1564" t="s">
        <v>1655</v>
      </c>
      <c r="C1564" t="s">
        <v>335</v>
      </c>
      <c r="D1564" t="s">
        <v>1053</v>
      </c>
      <c r="E1564">
        <v>1</v>
      </c>
      <c r="F1564">
        <f>_xlfn.XLOOKUP(Table1[[#This Row],[ProductID]],Products!A:A,Products!D:D,,0)</f>
        <v>200</v>
      </c>
      <c r="I1564">
        <v>899</v>
      </c>
      <c r="J1564">
        <v>899</v>
      </c>
      <c r="K1564" t="s">
        <v>1102</v>
      </c>
      <c r="L1564">
        <v>899</v>
      </c>
      <c r="M1564" t="s">
        <v>1098</v>
      </c>
      <c r="N1564" t="s">
        <v>1099</v>
      </c>
      <c r="O1564">
        <f>Table1[[#This Row],[Unit_Price]]*Table1[[#This Row],[Quantity]]</f>
        <v>200</v>
      </c>
    </row>
    <row r="1565" spans="1:15" x14ac:dyDescent="0.3">
      <c r="A1565" t="s">
        <v>3309</v>
      </c>
      <c r="B1565" t="s">
        <v>2856</v>
      </c>
      <c r="C1565" t="s">
        <v>44</v>
      </c>
      <c r="D1565" t="s">
        <v>1066</v>
      </c>
      <c r="E1565">
        <v>1</v>
      </c>
      <c r="F1565">
        <f>_xlfn.XLOOKUP(Table1[[#This Row],[ProductID]],Products!A:A,Products!D:D,,0)</f>
        <v>140</v>
      </c>
      <c r="I1565">
        <v>499</v>
      </c>
      <c r="J1565">
        <v>399</v>
      </c>
      <c r="K1565" t="s">
        <v>1097</v>
      </c>
      <c r="L1565">
        <v>399</v>
      </c>
      <c r="M1565" t="s">
        <v>1093</v>
      </c>
      <c r="N1565" t="s">
        <v>1094</v>
      </c>
      <c r="O1565">
        <f>Table1[[#This Row],[Unit_Price]]*Table1[[#This Row],[Quantity]]</f>
        <v>140</v>
      </c>
    </row>
    <row r="1566" spans="1:15" x14ac:dyDescent="0.3">
      <c r="A1566" t="s">
        <v>3310</v>
      </c>
      <c r="B1566" t="s">
        <v>1240</v>
      </c>
      <c r="C1566" t="s">
        <v>641</v>
      </c>
      <c r="D1566" t="s">
        <v>1062</v>
      </c>
      <c r="E1566">
        <v>1</v>
      </c>
      <c r="F1566">
        <f>_xlfn.XLOOKUP(Table1[[#This Row],[ProductID]],Products!A:A,Products!D:D,,0)</f>
        <v>95</v>
      </c>
      <c r="I1566">
        <v>349</v>
      </c>
      <c r="J1566">
        <v>279</v>
      </c>
      <c r="K1566" t="s">
        <v>1097</v>
      </c>
      <c r="L1566">
        <v>279</v>
      </c>
      <c r="M1566" t="s">
        <v>1093</v>
      </c>
      <c r="N1566" t="s">
        <v>1099</v>
      </c>
      <c r="O1566">
        <f>Table1[[#This Row],[Unit_Price]]*Table1[[#This Row],[Quantity]]</f>
        <v>95</v>
      </c>
    </row>
    <row r="1567" spans="1:15" x14ac:dyDescent="0.3">
      <c r="A1567" t="s">
        <v>3311</v>
      </c>
      <c r="B1567" t="s">
        <v>3312</v>
      </c>
      <c r="C1567" t="s">
        <v>769</v>
      </c>
      <c r="D1567" t="s">
        <v>1051</v>
      </c>
      <c r="E1567">
        <v>2</v>
      </c>
      <c r="F1567">
        <f>_xlfn.XLOOKUP(Table1[[#This Row],[ProductID]],Products!A:A,Products!D:D,,0)</f>
        <v>150</v>
      </c>
      <c r="I1567">
        <v>499</v>
      </c>
      <c r="J1567">
        <v>424</v>
      </c>
      <c r="K1567" t="s">
        <v>1092</v>
      </c>
      <c r="L1567">
        <v>848</v>
      </c>
      <c r="M1567" t="s">
        <v>1093</v>
      </c>
      <c r="N1567" t="s">
        <v>1099</v>
      </c>
      <c r="O1567">
        <f>Table1[[#This Row],[Unit_Price]]*Table1[[#This Row],[Quantity]]</f>
        <v>300</v>
      </c>
    </row>
    <row r="1568" spans="1:15" x14ac:dyDescent="0.3">
      <c r="A1568" t="s">
        <v>3313</v>
      </c>
      <c r="B1568" t="s">
        <v>3314</v>
      </c>
      <c r="C1568" t="s">
        <v>1015</v>
      </c>
      <c r="D1568" t="s">
        <v>1068</v>
      </c>
      <c r="E1568">
        <v>1</v>
      </c>
      <c r="F1568">
        <f>_xlfn.XLOOKUP(Table1[[#This Row],[ProductID]],Products!A:A,Products!D:D,,0)</f>
        <v>180</v>
      </c>
      <c r="I1568">
        <v>449</v>
      </c>
      <c r="J1568">
        <v>404</v>
      </c>
      <c r="K1568" t="s">
        <v>1107</v>
      </c>
      <c r="L1568">
        <v>404</v>
      </c>
      <c r="M1568" t="s">
        <v>1098</v>
      </c>
      <c r="N1568" t="s">
        <v>1099</v>
      </c>
      <c r="O1568">
        <f>Table1[[#This Row],[Unit_Price]]*Table1[[#This Row],[Quantity]]</f>
        <v>180</v>
      </c>
    </row>
    <row r="1569" spans="1:15" x14ac:dyDescent="0.3">
      <c r="A1569" t="s">
        <v>3315</v>
      </c>
      <c r="B1569" t="s">
        <v>3230</v>
      </c>
      <c r="C1569" t="s">
        <v>160</v>
      </c>
      <c r="D1569" t="s">
        <v>1075</v>
      </c>
      <c r="E1569">
        <v>3</v>
      </c>
      <c r="F1569">
        <f>_xlfn.XLOOKUP(Table1[[#This Row],[ProductID]],Products!A:A,Products!D:D,,0)</f>
        <v>80</v>
      </c>
      <c r="I1569">
        <v>499</v>
      </c>
      <c r="J1569">
        <v>499</v>
      </c>
      <c r="K1569" t="s">
        <v>1102</v>
      </c>
      <c r="L1569">
        <v>1497</v>
      </c>
      <c r="M1569" t="s">
        <v>1098</v>
      </c>
      <c r="N1569" t="s">
        <v>1099</v>
      </c>
      <c r="O1569">
        <f>Table1[[#This Row],[Unit_Price]]*Table1[[#This Row],[Quantity]]</f>
        <v>240</v>
      </c>
    </row>
    <row r="1570" spans="1:15" x14ac:dyDescent="0.3">
      <c r="A1570" t="s">
        <v>3316</v>
      </c>
      <c r="B1570" t="s">
        <v>1236</v>
      </c>
      <c r="C1570" t="s">
        <v>295</v>
      </c>
      <c r="D1570" t="s">
        <v>1062</v>
      </c>
      <c r="E1570">
        <v>1</v>
      </c>
      <c r="F1570">
        <f>_xlfn.XLOOKUP(Table1[[#This Row],[ProductID]],Products!A:A,Products!D:D,,0)</f>
        <v>95</v>
      </c>
      <c r="I1570">
        <v>349</v>
      </c>
      <c r="J1570">
        <v>314</v>
      </c>
      <c r="K1570" t="s">
        <v>1107</v>
      </c>
      <c r="L1570">
        <v>314</v>
      </c>
      <c r="M1570" t="s">
        <v>1126</v>
      </c>
      <c r="N1570" t="s">
        <v>1099</v>
      </c>
      <c r="O1570">
        <f>Table1[[#This Row],[Unit_Price]]*Table1[[#This Row],[Quantity]]</f>
        <v>95</v>
      </c>
    </row>
    <row r="1571" spans="1:15" x14ac:dyDescent="0.3">
      <c r="A1571" t="s">
        <v>3317</v>
      </c>
      <c r="B1571" t="s">
        <v>1490</v>
      </c>
      <c r="C1571" t="s">
        <v>651</v>
      </c>
      <c r="D1571" t="s">
        <v>1059</v>
      </c>
      <c r="E1571">
        <v>1</v>
      </c>
      <c r="F1571">
        <f>_xlfn.XLOOKUP(Table1[[#This Row],[ProductID]],Products!A:A,Products!D:D,,0)</f>
        <v>110</v>
      </c>
      <c r="I1571">
        <v>399</v>
      </c>
      <c r="J1571">
        <v>339</v>
      </c>
      <c r="K1571" t="s">
        <v>1092</v>
      </c>
      <c r="L1571">
        <v>339</v>
      </c>
      <c r="M1571" t="s">
        <v>1126</v>
      </c>
      <c r="N1571" t="s">
        <v>1123</v>
      </c>
      <c r="O1571">
        <f>Table1[[#This Row],[Unit_Price]]*Table1[[#This Row],[Quantity]]</f>
        <v>110</v>
      </c>
    </row>
    <row r="1572" spans="1:15" x14ac:dyDescent="0.3">
      <c r="A1572" t="s">
        <v>3318</v>
      </c>
      <c r="B1572" t="s">
        <v>1302</v>
      </c>
      <c r="C1572" t="s">
        <v>599</v>
      </c>
      <c r="D1572" t="s">
        <v>1059</v>
      </c>
      <c r="E1572">
        <v>1</v>
      </c>
      <c r="F1572">
        <f>_xlfn.XLOOKUP(Table1[[#This Row],[ProductID]],Products!A:A,Products!D:D,,0)</f>
        <v>110</v>
      </c>
      <c r="I1572">
        <v>399</v>
      </c>
      <c r="J1572">
        <v>399</v>
      </c>
      <c r="K1572" t="s">
        <v>1102</v>
      </c>
      <c r="L1572">
        <v>399</v>
      </c>
      <c r="M1572" t="s">
        <v>1098</v>
      </c>
      <c r="N1572" t="s">
        <v>1123</v>
      </c>
      <c r="O1572">
        <f>Table1[[#This Row],[Unit_Price]]*Table1[[#This Row],[Quantity]]</f>
        <v>110</v>
      </c>
    </row>
    <row r="1573" spans="1:15" x14ac:dyDescent="0.3">
      <c r="A1573" t="s">
        <v>3319</v>
      </c>
      <c r="B1573" t="s">
        <v>3320</v>
      </c>
      <c r="C1573" t="s">
        <v>961</v>
      </c>
      <c r="D1573" t="s">
        <v>1051</v>
      </c>
      <c r="E1573">
        <v>3</v>
      </c>
      <c r="F1573">
        <f>_xlfn.XLOOKUP(Table1[[#This Row],[ProductID]],Products!A:A,Products!D:D,,0)</f>
        <v>150</v>
      </c>
      <c r="I1573">
        <v>499</v>
      </c>
      <c r="J1573">
        <v>424</v>
      </c>
      <c r="K1573" t="s">
        <v>1092</v>
      </c>
      <c r="L1573">
        <v>1272</v>
      </c>
      <c r="M1573" t="s">
        <v>1098</v>
      </c>
      <c r="N1573" t="s">
        <v>1099</v>
      </c>
      <c r="O1573">
        <f>Table1[[#This Row],[Unit_Price]]*Table1[[#This Row],[Quantity]]</f>
        <v>450</v>
      </c>
    </row>
    <row r="1574" spans="1:15" x14ac:dyDescent="0.3">
      <c r="A1574" t="s">
        <v>3321</v>
      </c>
      <c r="B1574" t="s">
        <v>1674</v>
      </c>
      <c r="C1574" t="s">
        <v>869</v>
      </c>
      <c r="D1574" t="s">
        <v>1055</v>
      </c>
      <c r="E1574">
        <v>1</v>
      </c>
      <c r="F1574">
        <f>_xlfn.XLOOKUP(Table1[[#This Row],[ProductID]],Products!A:A,Products!D:D,,0)</f>
        <v>75</v>
      </c>
      <c r="I1574">
        <v>299</v>
      </c>
      <c r="J1574">
        <v>269</v>
      </c>
      <c r="K1574" t="s">
        <v>1107</v>
      </c>
      <c r="L1574">
        <v>269</v>
      </c>
      <c r="M1574" t="s">
        <v>1093</v>
      </c>
      <c r="N1574" t="s">
        <v>1123</v>
      </c>
      <c r="O1574">
        <f>Table1[[#This Row],[Unit_Price]]*Table1[[#This Row],[Quantity]]</f>
        <v>75</v>
      </c>
    </row>
    <row r="1575" spans="1:15" x14ac:dyDescent="0.3">
      <c r="A1575" t="s">
        <v>3322</v>
      </c>
      <c r="B1575" t="s">
        <v>3323</v>
      </c>
      <c r="C1575" t="s">
        <v>905</v>
      </c>
      <c r="D1575" t="s">
        <v>1064</v>
      </c>
      <c r="E1575">
        <v>1</v>
      </c>
      <c r="F1575">
        <f>_xlfn.XLOOKUP(Table1[[#This Row],[ProductID]],Products!A:A,Products!D:D,,0)</f>
        <v>160</v>
      </c>
      <c r="I1575">
        <v>699</v>
      </c>
      <c r="J1575">
        <v>629</v>
      </c>
      <c r="K1575" t="s">
        <v>1107</v>
      </c>
      <c r="L1575">
        <v>629</v>
      </c>
      <c r="M1575" t="s">
        <v>1098</v>
      </c>
      <c r="N1575" t="s">
        <v>1099</v>
      </c>
      <c r="O1575">
        <f>Table1[[#This Row],[Unit_Price]]*Table1[[#This Row],[Quantity]]</f>
        <v>160</v>
      </c>
    </row>
    <row r="1576" spans="1:15" x14ac:dyDescent="0.3">
      <c r="A1576" t="s">
        <v>3324</v>
      </c>
      <c r="B1576" t="s">
        <v>1768</v>
      </c>
      <c r="C1576" t="s">
        <v>183</v>
      </c>
      <c r="D1576" t="s">
        <v>1080</v>
      </c>
      <c r="E1576">
        <v>1</v>
      </c>
      <c r="F1576">
        <f>_xlfn.XLOOKUP(Table1[[#This Row],[ProductID]],Products!A:A,Products!D:D,,0)</f>
        <v>45</v>
      </c>
      <c r="I1576">
        <v>249</v>
      </c>
      <c r="J1576">
        <v>212</v>
      </c>
      <c r="K1576" t="s">
        <v>1092</v>
      </c>
      <c r="L1576">
        <v>212</v>
      </c>
      <c r="M1576" t="s">
        <v>1098</v>
      </c>
      <c r="N1576" t="s">
        <v>1099</v>
      </c>
      <c r="O1576">
        <f>Table1[[#This Row],[Unit_Price]]*Table1[[#This Row],[Quantity]]</f>
        <v>45</v>
      </c>
    </row>
    <row r="1577" spans="1:15" x14ac:dyDescent="0.3">
      <c r="A1577" t="s">
        <v>3325</v>
      </c>
      <c r="B1577" t="s">
        <v>1349</v>
      </c>
      <c r="C1577" t="s">
        <v>967</v>
      </c>
      <c r="D1577" t="s">
        <v>1064</v>
      </c>
      <c r="E1577">
        <v>2</v>
      </c>
      <c r="F1577">
        <f>_xlfn.XLOOKUP(Table1[[#This Row],[ProductID]],Products!A:A,Products!D:D,,0)</f>
        <v>160</v>
      </c>
      <c r="I1577">
        <v>699</v>
      </c>
      <c r="J1577">
        <v>629</v>
      </c>
      <c r="K1577" t="s">
        <v>1107</v>
      </c>
      <c r="L1577">
        <v>1258</v>
      </c>
      <c r="M1577" t="s">
        <v>1093</v>
      </c>
      <c r="N1577" t="s">
        <v>1099</v>
      </c>
      <c r="O1577">
        <f>Table1[[#This Row],[Unit_Price]]*Table1[[#This Row],[Quantity]]</f>
        <v>320</v>
      </c>
    </row>
    <row r="1578" spans="1:15" x14ac:dyDescent="0.3">
      <c r="A1578" t="s">
        <v>3326</v>
      </c>
      <c r="B1578" t="s">
        <v>1408</v>
      </c>
      <c r="C1578" t="s">
        <v>941</v>
      </c>
      <c r="D1578" t="s">
        <v>1048</v>
      </c>
      <c r="E1578">
        <v>1</v>
      </c>
      <c r="F1578">
        <f>_xlfn.XLOOKUP(Table1[[#This Row],[ProductID]],Products!A:A,Products!D:D,,0)</f>
        <v>120</v>
      </c>
      <c r="I1578">
        <v>599</v>
      </c>
      <c r="J1578">
        <v>599</v>
      </c>
      <c r="K1578" t="s">
        <v>1102</v>
      </c>
      <c r="L1578">
        <v>599</v>
      </c>
      <c r="M1578" t="s">
        <v>1098</v>
      </c>
      <c r="N1578" t="s">
        <v>1099</v>
      </c>
      <c r="O1578">
        <f>Table1[[#This Row],[Unit_Price]]*Table1[[#This Row],[Quantity]]</f>
        <v>120</v>
      </c>
    </row>
    <row r="1579" spans="1:15" x14ac:dyDescent="0.3">
      <c r="A1579" t="s">
        <v>3327</v>
      </c>
      <c r="B1579" t="s">
        <v>1993</v>
      </c>
      <c r="C1579" t="s">
        <v>355</v>
      </c>
      <c r="D1579" t="s">
        <v>1055</v>
      </c>
      <c r="E1579">
        <v>1</v>
      </c>
      <c r="F1579">
        <f>_xlfn.XLOOKUP(Table1[[#This Row],[ProductID]],Products!A:A,Products!D:D,,0)</f>
        <v>75</v>
      </c>
      <c r="I1579">
        <v>299</v>
      </c>
      <c r="J1579">
        <v>269</v>
      </c>
      <c r="K1579" t="s">
        <v>1107</v>
      </c>
      <c r="L1579">
        <v>269</v>
      </c>
      <c r="M1579" t="s">
        <v>1126</v>
      </c>
      <c r="N1579" t="s">
        <v>1099</v>
      </c>
      <c r="O1579">
        <f>Table1[[#This Row],[Unit_Price]]*Table1[[#This Row],[Quantity]]</f>
        <v>75</v>
      </c>
    </row>
    <row r="1580" spans="1:15" x14ac:dyDescent="0.3">
      <c r="A1580" t="s">
        <v>3328</v>
      </c>
      <c r="B1580" t="s">
        <v>3329</v>
      </c>
      <c r="C1580" t="s">
        <v>483</v>
      </c>
      <c r="D1580" t="s">
        <v>1073</v>
      </c>
      <c r="E1580">
        <v>1</v>
      </c>
      <c r="F1580">
        <f>_xlfn.XLOOKUP(Table1[[#This Row],[ProductID]],Products!A:A,Products!D:D,,0)</f>
        <v>100</v>
      </c>
      <c r="I1580">
        <v>349</v>
      </c>
      <c r="J1580">
        <v>349</v>
      </c>
      <c r="K1580" t="s">
        <v>1102</v>
      </c>
      <c r="L1580">
        <v>349</v>
      </c>
      <c r="M1580" t="s">
        <v>1093</v>
      </c>
      <c r="N1580" t="s">
        <v>1099</v>
      </c>
      <c r="O1580">
        <f>Table1[[#This Row],[Unit_Price]]*Table1[[#This Row],[Quantity]]</f>
        <v>100</v>
      </c>
    </row>
    <row r="1581" spans="1:15" x14ac:dyDescent="0.3">
      <c r="A1581" t="s">
        <v>3330</v>
      </c>
      <c r="B1581" t="s">
        <v>1392</v>
      </c>
      <c r="C1581" t="s">
        <v>255</v>
      </c>
      <c r="D1581" t="s">
        <v>1080</v>
      </c>
      <c r="E1581">
        <v>1</v>
      </c>
      <c r="F1581">
        <f>_xlfn.XLOOKUP(Table1[[#This Row],[ProductID]],Products!A:A,Products!D:D,,0)</f>
        <v>45</v>
      </c>
      <c r="I1581">
        <v>249</v>
      </c>
      <c r="J1581">
        <v>212</v>
      </c>
      <c r="K1581" t="s">
        <v>1092</v>
      </c>
      <c r="L1581">
        <v>212</v>
      </c>
      <c r="M1581" t="s">
        <v>1098</v>
      </c>
      <c r="N1581" t="s">
        <v>1099</v>
      </c>
      <c r="O1581">
        <f>Table1[[#This Row],[Unit_Price]]*Table1[[#This Row],[Quantity]]</f>
        <v>45</v>
      </c>
    </row>
    <row r="1582" spans="1:15" x14ac:dyDescent="0.3">
      <c r="A1582" t="s">
        <v>3331</v>
      </c>
      <c r="B1582" t="s">
        <v>2172</v>
      </c>
      <c r="C1582" t="s">
        <v>491</v>
      </c>
      <c r="D1582" t="s">
        <v>1075</v>
      </c>
      <c r="E1582">
        <v>1</v>
      </c>
      <c r="F1582">
        <f>_xlfn.XLOOKUP(Table1[[#This Row],[ProductID]],Products!A:A,Products!D:D,,0)</f>
        <v>80</v>
      </c>
      <c r="I1582">
        <v>499</v>
      </c>
      <c r="J1582">
        <v>399</v>
      </c>
      <c r="K1582" t="s">
        <v>1097</v>
      </c>
      <c r="L1582">
        <v>399</v>
      </c>
      <c r="M1582" t="s">
        <v>1093</v>
      </c>
      <c r="N1582" t="s">
        <v>1099</v>
      </c>
      <c r="O1582">
        <f>Table1[[#This Row],[Unit_Price]]*Table1[[#This Row],[Quantity]]</f>
        <v>80</v>
      </c>
    </row>
    <row r="1583" spans="1:15" x14ac:dyDescent="0.3">
      <c r="A1583" t="s">
        <v>3332</v>
      </c>
      <c r="B1583" t="s">
        <v>3333</v>
      </c>
      <c r="C1583" t="s">
        <v>929</v>
      </c>
      <c r="D1583" t="s">
        <v>1068</v>
      </c>
      <c r="E1583">
        <v>1</v>
      </c>
      <c r="F1583">
        <f>_xlfn.XLOOKUP(Table1[[#This Row],[ProductID]],Products!A:A,Products!D:D,,0)</f>
        <v>180</v>
      </c>
      <c r="I1583">
        <v>449</v>
      </c>
      <c r="J1583">
        <v>449</v>
      </c>
      <c r="K1583" t="s">
        <v>1102</v>
      </c>
      <c r="L1583">
        <v>449</v>
      </c>
      <c r="M1583" t="s">
        <v>1098</v>
      </c>
      <c r="N1583" t="s">
        <v>1099</v>
      </c>
      <c r="O1583">
        <f>Table1[[#This Row],[Unit_Price]]*Table1[[#This Row],[Quantity]]</f>
        <v>180</v>
      </c>
    </row>
    <row r="1584" spans="1:15" x14ac:dyDescent="0.3">
      <c r="A1584" t="s">
        <v>3334</v>
      </c>
      <c r="B1584" t="s">
        <v>1741</v>
      </c>
      <c r="C1584" t="s">
        <v>203</v>
      </c>
      <c r="D1584" t="s">
        <v>1055</v>
      </c>
      <c r="E1584">
        <v>1</v>
      </c>
      <c r="F1584">
        <f>_xlfn.XLOOKUP(Table1[[#This Row],[ProductID]],Products!A:A,Products!D:D,,0)</f>
        <v>75</v>
      </c>
      <c r="I1584">
        <v>299</v>
      </c>
      <c r="J1584">
        <v>254</v>
      </c>
      <c r="K1584" t="s">
        <v>1092</v>
      </c>
      <c r="L1584">
        <v>254</v>
      </c>
      <c r="M1584" t="s">
        <v>1098</v>
      </c>
      <c r="N1584" t="s">
        <v>1099</v>
      </c>
      <c r="O1584">
        <f>Table1[[#This Row],[Unit_Price]]*Table1[[#This Row],[Quantity]]</f>
        <v>75</v>
      </c>
    </row>
    <row r="1585" spans="1:15" x14ac:dyDescent="0.3">
      <c r="A1585" t="s">
        <v>3335</v>
      </c>
      <c r="B1585" t="s">
        <v>2229</v>
      </c>
      <c r="C1585" t="s">
        <v>749</v>
      </c>
      <c r="D1585" t="s">
        <v>1051</v>
      </c>
      <c r="E1585">
        <v>2</v>
      </c>
      <c r="F1585">
        <f>_xlfn.XLOOKUP(Table1[[#This Row],[ProductID]],Products!A:A,Products!D:D,,0)</f>
        <v>150</v>
      </c>
      <c r="I1585">
        <v>499</v>
      </c>
      <c r="J1585">
        <v>449</v>
      </c>
      <c r="K1585" t="s">
        <v>1107</v>
      </c>
      <c r="L1585">
        <v>898</v>
      </c>
      <c r="M1585" t="s">
        <v>1093</v>
      </c>
      <c r="N1585" t="s">
        <v>1094</v>
      </c>
      <c r="O1585">
        <f>Table1[[#This Row],[Unit_Price]]*Table1[[#This Row],[Quantity]]</f>
        <v>300</v>
      </c>
    </row>
    <row r="1586" spans="1:15" x14ac:dyDescent="0.3">
      <c r="A1586" t="s">
        <v>3336</v>
      </c>
      <c r="B1586" t="s">
        <v>2072</v>
      </c>
      <c r="C1586" t="s">
        <v>269</v>
      </c>
      <c r="D1586" t="s">
        <v>1057</v>
      </c>
      <c r="E1586">
        <v>4</v>
      </c>
      <c r="F1586">
        <f>_xlfn.XLOOKUP(Table1[[#This Row],[ProductID]],Products!A:A,Products!D:D,,0)</f>
        <v>130</v>
      </c>
      <c r="I1586">
        <v>549</v>
      </c>
      <c r="J1586">
        <v>549</v>
      </c>
      <c r="K1586" t="s">
        <v>1102</v>
      </c>
      <c r="L1586">
        <v>2196</v>
      </c>
      <c r="M1586" t="s">
        <v>1126</v>
      </c>
      <c r="N1586" t="s">
        <v>1099</v>
      </c>
      <c r="O1586">
        <f>Table1[[#This Row],[Unit_Price]]*Table1[[#This Row],[Quantity]]</f>
        <v>520</v>
      </c>
    </row>
    <row r="1587" spans="1:15" x14ac:dyDescent="0.3">
      <c r="A1587" t="s">
        <v>3337</v>
      </c>
      <c r="B1587" t="s">
        <v>1164</v>
      </c>
      <c r="C1587" t="s">
        <v>134</v>
      </c>
      <c r="D1587" t="s">
        <v>1066</v>
      </c>
      <c r="E1587">
        <v>1</v>
      </c>
      <c r="F1587">
        <f>_xlfn.XLOOKUP(Table1[[#This Row],[ProductID]],Products!A:A,Products!D:D,,0)</f>
        <v>140</v>
      </c>
      <c r="I1587">
        <v>499</v>
      </c>
      <c r="J1587">
        <v>449</v>
      </c>
      <c r="K1587" t="s">
        <v>1107</v>
      </c>
      <c r="L1587">
        <v>449</v>
      </c>
      <c r="M1587" t="s">
        <v>1098</v>
      </c>
      <c r="N1587" t="s">
        <v>1099</v>
      </c>
      <c r="O1587">
        <f>Table1[[#This Row],[Unit_Price]]*Table1[[#This Row],[Quantity]]</f>
        <v>140</v>
      </c>
    </row>
    <row r="1588" spans="1:15" x14ac:dyDescent="0.3">
      <c r="A1588" t="s">
        <v>3338</v>
      </c>
      <c r="B1588" t="s">
        <v>2581</v>
      </c>
      <c r="C1588" t="s">
        <v>791</v>
      </c>
      <c r="D1588" t="s">
        <v>1055</v>
      </c>
      <c r="E1588">
        <v>1</v>
      </c>
      <c r="F1588">
        <f>_xlfn.XLOOKUP(Table1[[#This Row],[ProductID]],Products!A:A,Products!D:D,,0)</f>
        <v>75</v>
      </c>
      <c r="I1588">
        <v>299</v>
      </c>
      <c r="J1588">
        <v>269</v>
      </c>
      <c r="K1588" t="s">
        <v>1107</v>
      </c>
      <c r="L1588">
        <v>269</v>
      </c>
      <c r="M1588" t="s">
        <v>1098</v>
      </c>
      <c r="N1588" t="s">
        <v>1099</v>
      </c>
      <c r="O1588">
        <f>Table1[[#This Row],[Unit_Price]]*Table1[[#This Row],[Quantity]]</f>
        <v>75</v>
      </c>
    </row>
    <row r="1589" spans="1:15" x14ac:dyDescent="0.3">
      <c r="A1589" t="s">
        <v>3339</v>
      </c>
      <c r="B1589" t="s">
        <v>2106</v>
      </c>
      <c r="C1589" t="s">
        <v>727</v>
      </c>
      <c r="D1589" t="s">
        <v>1048</v>
      </c>
      <c r="E1589">
        <v>1</v>
      </c>
      <c r="F1589">
        <f>_xlfn.XLOOKUP(Table1[[#This Row],[ProductID]],Products!A:A,Products!D:D,,0)</f>
        <v>120</v>
      </c>
      <c r="I1589">
        <v>599</v>
      </c>
      <c r="J1589">
        <v>599</v>
      </c>
      <c r="K1589" t="s">
        <v>1102</v>
      </c>
      <c r="L1589">
        <v>599</v>
      </c>
      <c r="M1589" t="s">
        <v>1118</v>
      </c>
      <c r="N1589" t="s">
        <v>1099</v>
      </c>
      <c r="O1589">
        <f>Table1[[#This Row],[Unit_Price]]*Table1[[#This Row],[Quantity]]</f>
        <v>120</v>
      </c>
    </row>
    <row r="1590" spans="1:15" x14ac:dyDescent="0.3">
      <c r="A1590" t="s">
        <v>3340</v>
      </c>
      <c r="B1590" t="s">
        <v>1553</v>
      </c>
      <c r="C1590" t="s">
        <v>549</v>
      </c>
      <c r="D1590" t="s">
        <v>1073</v>
      </c>
      <c r="E1590">
        <v>2</v>
      </c>
      <c r="F1590">
        <f>_xlfn.XLOOKUP(Table1[[#This Row],[ProductID]],Products!A:A,Products!D:D,,0)</f>
        <v>100</v>
      </c>
      <c r="I1590">
        <v>349</v>
      </c>
      <c r="J1590">
        <v>349</v>
      </c>
      <c r="K1590" t="s">
        <v>1102</v>
      </c>
      <c r="L1590">
        <v>698</v>
      </c>
      <c r="M1590" t="s">
        <v>1098</v>
      </c>
      <c r="N1590" t="s">
        <v>1099</v>
      </c>
      <c r="O1590">
        <f>Table1[[#This Row],[Unit_Price]]*Table1[[#This Row],[Quantity]]</f>
        <v>200</v>
      </c>
    </row>
    <row r="1591" spans="1:15" x14ac:dyDescent="0.3">
      <c r="A1591" t="s">
        <v>3341</v>
      </c>
      <c r="B1591" t="s">
        <v>1715</v>
      </c>
      <c r="C1591" t="s">
        <v>713</v>
      </c>
      <c r="D1591" t="s">
        <v>1075</v>
      </c>
      <c r="E1591">
        <v>1</v>
      </c>
      <c r="F1591">
        <f>_xlfn.XLOOKUP(Table1[[#This Row],[ProductID]],Products!A:A,Products!D:D,,0)</f>
        <v>80</v>
      </c>
      <c r="I1591">
        <v>499</v>
      </c>
      <c r="J1591">
        <v>424</v>
      </c>
      <c r="K1591" t="s">
        <v>1092</v>
      </c>
      <c r="L1591">
        <v>424</v>
      </c>
      <c r="M1591" t="s">
        <v>1118</v>
      </c>
      <c r="N1591" t="s">
        <v>1099</v>
      </c>
      <c r="O1591">
        <f>Table1[[#This Row],[Unit_Price]]*Table1[[#This Row],[Quantity]]</f>
        <v>80</v>
      </c>
    </row>
    <row r="1592" spans="1:15" x14ac:dyDescent="0.3">
      <c r="A1592" t="s">
        <v>3342</v>
      </c>
      <c r="B1592" t="s">
        <v>2354</v>
      </c>
      <c r="C1592" t="s">
        <v>221</v>
      </c>
      <c r="D1592" t="s">
        <v>1075</v>
      </c>
      <c r="E1592">
        <v>1</v>
      </c>
      <c r="F1592">
        <f>_xlfn.XLOOKUP(Table1[[#This Row],[ProductID]],Products!A:A,Products!D:D,,0)</f>
        <v>80</v>
      </c>
      <c r="I1592">
        <v>499</v>
      </c>
      <c r="J1592">
        <v>449</v>
      </c>
      <c r="K1592" t="s">
        <v>1107</v>
      </c>
      <c r="L1592">
        <v>449</v>
      </c>
      <c r="M1592" t="s">
        <v>1093</v>
      </c>
      <c r="N1592" t="s">
        <v>1099</v>
      </c>
      <c r="O1592">
        <f>Table1[[#This Row],[Unit_Price]]*Table1[[#This Row],[Quantity]]</f>
        <v>80</v>
      </c>
    </row>
    <row r="1593" spans="1:15" x14ac:dyDescent="0.3">
      <c r="A1593" t="s">
        <v>3343</v>
      </c>
      <c r="B1593" t="s">
        <v>1839</v>
      </c>
      <c r="C1593" t="s">
        <v>809</v>
      </c>
      <c r="D1593" t="s">
        <v>1066</v>
      </c>
      <c r="E1593">
        <v>1</v>
      </c>
      <c r="F1593">
        <f>_xlfn.XLOOKUP(Table1[[#This Row],[ProductID]],Products!A:A,Products!D:D,,0)</f>
        <v>140</v>
      </c>
      <c r="I1593">
        <v>499</v>
      </c>
      <c r="J1593">
        <v>399</v>
      </c>
      <c r="K1593" t="s">
        <v>1097</v>
      </c>
      <c r="L1593">
        <v>399</v>
      </c>
      <c r="M1593" t="s">
        <v>1093</v>
      </c>
      <c r="N1593" t="s">
        <v>1094</v>
      </c>
      <c r="O1593">
        <f>Table1[[#This Row],[Unit_Price]]*Table1[[#This Row],[Quantity]]</f>
        <v>140</v>
      </c>
    </row>
    <row r="1594" spans="1:15" x14ac:dyDescent="0.3">
      <c r="A1594" t="s">
        <v>3344</v>
      </c>
      <c r="B1594" t="s">
        <v>3213</v>
      </c>
      <c r="C1594" t="s">
        <v>967</v>
      </c>
      <c r="D1594" t="s">
        <v>1062</v>
      </c>
      <c r="E1594">
        <v>1</v>
      </c>
      <c r="F1594">
        <f>_xlfn.XLOOKUP(Table1[[#This Row],[ProductID]],Products!A:A,Products!D:D,,0)</f>
        <v>95</v>
      </c>
      <c r="I1594">
        <v>349</v>
      </c>
      <c r="J1594">
        <v>314</v>
      </c>
      <c r="K1594" t="s">
        <v>1107</v>
      </c>
      <c r="L1594">
        <v>314</v>
      </c>
      <c r="M1594" t="s">
        <v>1098</v>
      </c>
      <c r="N1594" t="s">
        <v>1099</v>
      </c>
      <c r="O1594">
        <f>Table1[[#This Row],[Unit_Price]]*Table1[[#This Row],[Quantity]]</f>
        <v>95</v>
      </c>
    </row>
    <row r="1595" spans="1:15" x14ac:dyDescent="0.3">
      <c r="A1595" t="s">
        <v>3345</v>
      </c>
      <c r="B1595" t="s">
        <v>2098</v>
      </c>
      <c r="C1595" t="s">
        <v>301</v>
      </c>
      <c r="D1595" t="s">
        <v>1080</v>
      </c>
      <c r="E1595">
        <v>1</v>
      </c>
      <c r="F1595">
        <f>_xlfn.XLOOKUP(Table1[[#This Row],[ProductID]],Products!A:A,Products!D:D,,0)</f>
        <v>45</v>
      </c>
      <c r="I1595">
        <v>249</v>
      </c>
      <c r="J1595">
        <v>249</v>
      </c>
      <c r="K1595" t="s">
        <v>1102</v>
      </c>
      <c r="L1595">
        <v>249</v>
      </c>
      <c r="M1595" t="s">
        <v>1098</v>
      </c>
      <c r="N1595" t="s">
        <v>1099</v>
      </c>
      <c r="O1595">
        <f>Table1[[#This Row],[Unit_Price]]*Table1[[#This Row],[Quantity]]</f>
        <v>45</v>
      </c>
    </row>
    <row r="1596" spans="1:15" x14ac:dyDescent="0.3">
      <c r="A1596" t="s">
        <v>3346</v>
      </c>
      <c r="B1596" t="s">
        <v>1343</v>
      </c>
      <c r="C1596" t="s">
        <v>797</v>
      </c>
      <c r="D1596" t="s">
        <v>1075</v>
      </c>
      <c r="E1596">
        <v>1</v>
      </c>
      <c r="F1596">
        <f>_xlfn.XLOOKUP(Table1[[#This Row],[ProductID]],Products!A:A,Products!D:D,,0)</f>
        <v>80</v>
      </c>
      <c r="I1596">
        <v>499</v>
      </c>
      <c r="J1596">
        <v>449</v>
      </c>
      <c r="K1596" t="s">
        <v>1107</v>
      </c>
      <c r="L1596">
        <v>449</v>
      </c>
      <c r="M1596" t="s">
        <v>1098</v>
      </c>
      <c r="N1596" t="s">
        <v>1099</v>
      </c>
      <c r="O1596">
        <f>Table1[[#This Row],[Unit_Price]]*Table1[[#This Row],[Quantity]]</f>
        <v>80</v>
      </c>
    </row>
    <row r="1597" spans="1:15" x14ac:dyDescent="0.3">
      <c r="A1597" t="s">
        <v>3347</v>
      </c>
      <c r="B1597" t="s">
        <v>2727</v>
      </c>
      <c r="C1597" t="s">
        <v>827</v>
      </c>
      <c r="D1597" t="s">
        <v>1068</v>
      </c>
      <c r="E1597">
        <v>1</v>
      </c>
      <c r="F1597">
        <f>_xlfn.XLOOKUP(Table1[[#This Row],[ProductID]],Products!A:A,Products!D:D,,0)</f>
        <v>180</v>
      </c>
      <c r="I1597">
        <v>449</v>
      </c>
      <c r="J1597">
        <v>449</v>
      </c>
      <c r="K1597" t="s">
        <v>1102</v>
      </c>
      <c r="L1597">
        <v>449</v>
      </c>
      <c r="M1597" t="s">
        <v>1126</v>
      </c>
      <c r="N1597" t="s">
        <v>1099</v>
      </c>
      <c r="O1597">
        <f>Table1[[#This Row],[Unit_Price]]*Table1[[#This Row],[Quantity]]</f>
        <v>180</v>
      </c>
    </row>
    <row r="1598" spans="1:15" x14ac:dyDescent="0.3">
      <c r="A1598" t="s">
        <v>3348</v>
      </c>
      <c r="B1598" t="s">
        <v>2628</v>
      </c>
      <c r="C1598" t="s">
        <v>863</v>
      </c>
      <c r="D1598" t="s">
        <v>1066</v>
      </c>
      <c r="E1598">
        <v>1</v>
      </c>
      <c r="F1598">
        <f>_xlfn.XLOOKUP(Table1[[#This Row],[ProductID]],Products!A:A,Products!D:D,,0)</f>
        <v>140</v>
      </c>
      <c r="I1598">
        <v>499</v>
      </c>
      <c r="J1598">
        <v>424</v>
      </c>
      <c r="K1598" t="s">
        <v>1092</v>
      </c>
      <c r="L1598">
        <v>424</v>
      </c>
      <c r="M1598" t="s">
        <v>1093</v>
      </c>
      <c r="N1598" t="s">
        <v>1094</v>
      </c>
      <c r="O1598">
        <f>Table1[[#This Row],[Unit_Price]]*Table1[[#This Row],[Quantity]]</f>
        <v>140</v>
      </c>
    </row>
    <row r="1599" spans="1:15" x14ac:dyDescent="0.3">
      <c r="A1599" t="s">
        <v>3349</v>
      </c>
      <c r="B1599" t="s">
        <v>1438</v>
      </c>
      <c r="C1599" t="s">
        <v>415</v>
      </c>
      <c r="D1599" t="s">
        <v>1073</v>
      </c>
      <c r="E1599">
        <v>2</v>
      </c>
      <c r="F1599">
        <f>_xlfn.XLOOKUP(Table1[[#This Row],[ProductID]],Products!A:A,Products!D:D,,0)</f>
        <v>100</v>
      </c>
      <c r="I1599">
        <v>349</v>
      </c>
      <c r="J1599">
        <v>279</v>
      </c>
      <c r="K1599" t="s">
        <v>1097</v>
      </c>
      <c r="L1599">
        <v>558</v>
      </c>
      <c r="M1599" t="s">
        <v>1093</v>
      </c>
      <c r="N1599" t="s">
        <v>1094</v>
      </c>
      <c r="O1599">
        <f>Table1[[#This Row],[Unit_Price]]*Table1[[#This Row],[Quantity]]</f>
        <v>200</v>
      </c>
    </row>
    <row r="1600" spans="1:15" x14ac:dyDescent="0.3">
      <c r="A1600" t="s">
        <v>3350</v>
      </c>
      <c r="B1600" t="s">
        <v>1337</v>
      </c>
      <c r="C1600" t="s">
        <v>909</v>
      </c>
      <c r="D1600" t="s">
        <v>1053</v>
      </c>
      <c r="E1600">
        <v>1</v>
      </c>
      <c r="F1600">
        <f>_xlfn.XLOOKUP(Table1[[#This Row],[ProductID]],Products!A:A,Products!D:D,,0)</f>
        <v>200</v>
      </c>
      <c r="I1600">
        <v>899</v>
      </c>
      <c r="J1600">
        <v>809</v>
      </c>
      <c r="K1600" t="s">
        <v>1107</v>
      </c>
      <c r="L1600">
        <v>809</v>
      </c>
      <c r="M1600" t="s">
        <v>1093</v>
      </c>
      <c r="N1600" t="s">
        <v>1099</v>
      </c>
      <c r="O1600">
        <f>Table1[[#This Row],[Unit_Price]]*Table1[[#This Row],[Quantity]]</f>
        <v>200</v>
      </c>
    </row>
    <row r="1601" spans="1:15" x14ac:dyDescent="0.3">
      <c r="A1601" t="s">
        <v>3351</v>
      </c>
      <c r="B1601" t="s">
        <v>1913</v>
      </c>
      <c r="C1601" t="s">
        <v>459</v>
      </c>
      <c r="D1601" t="s">
        <v>1078</v>
      </c>
      <c r="E1601">
        <v>1</v>
      </c>
      <c r="F1601">
        <f>_xlfn.XLOOKUP(Table1[[#This Row],[ProductID]],Products!A:A,Products!D:D,,0)</f>
        <v>80</v>
      </c>
      <c r="I1601">
        <v>499</v>
      </c>
      <c r="J1601">
        <v>499</v>
      </c>
      <c r="K1601" t="s">
        <v>1102</v>
      </c>
      <c r="L1601">
        <v>499</v>
      </c>
      <c r="M1601" t="s">
        <v>1126</v>
      </c>
      <c r="N1601" t="s">
        <v>1099</v>
      </c>
      <c r="O1601">
        <f>Table1[[#This Row],[Unit_Price]]*Table1[[#This Row],[Quantity]]</f>
        <v>80</v>
      </c>
    </row>
    <row r="1602" spans="1:15" x14ac:dyDescent="0.3">
      <c r="A1602" t="s">
        <v>3352</v>
      </c>
      <c r="B1602" t="s">
        <v>3198</v>
      </c>
      <c r="C1602" t="s">
        <v>91</v>
      </c>
      <c r="D1602" t="s">
        <v>1059</v>
      </c>
      <c r="E1602">
        <v>1</v>
      </c>
      <c r="F1602">
        <f>_xlfn.XLOOKUP(Table1[[#This Row],[ProductID]],Products!A:A,Products!D:D,,0)</f>
        <v>110</v>
      </c>
      <c r="I1602">
        <v>399</v>
      </c>
      <c r="J1602">
        <v>399</v>
      </c>
      <c r="K1602" t="s">
        <v>1102</v>
      </c>
      <c r="L1602">
        <v>399</v>
      </c>
      <c r="M1602" t="s">
        <v>1093</v>
      </c>
      <c r="N1602" t="s">
        <v>1094</v>
      </c>
      <c r="O1602">
        <f>Table1[[#This Row],[Unit_Price]]*Table1[[#This Row],[Quantity]]</f>
        <v>110</v>
      </c>
    </row>
    <row r="1603" spans="1:15" x14ac:dyDescent="0.3">
      <c r="A1603" t="s">
        <v>3353</v>
      </c>
      <c r="B1603" t="s">
        <v>2421</v>
      </c>
      <c r="C1603" t="s">
        <v>501</v>
      </c>
      <c r="D1603" t="s">
        <v>1053</v>
      </c>
      <c r="E1603">
        <v>1</v>
      </c>
      <c r="F1603">
        <f>_xlfn.XLOOKUP(Table1[[#This Row],[ProductID]],Products!A:A,Products!D:D,,0)</f>
        <v>200</v>
      </c>
      <c r="I1603">
        <v>899</v>
      </c>
      <c r="J1603">
        <v>809</v>
      </c>
      <c r="K1603" t="s">
        <v>1107</v>
      </c>
      <c r="L1603">
        <v>809</v>
      </c>
      <c r="M1603" t="s">
        <v>1098</v>
      </c>
      <c r="N1603" t="s">
        <v>1099</v>
      </c>
      <c r="O1603">
        <f>Table1[[#This Row],[Unit_Price]]*Table1[[#This Row],[Quantity]]</f>
        <v>200</v>
      </c>
    </row>
    <row r="1604" spans="1:15" x14ac:dyDescent="0.3">
      <c r="A1604" t="s">
        <v>3354</v>
      </c>
      <c r="B1604" t="s">
        <v>1242</v>
      </c>
      <c r="C1604" t="s">
        <v>811</v>
      </c>
      <c r="D1604" t="s">
        <v>1075</v>
      </c>
      <c r="E1604">
        <v>2</v>
      </c>
      <c r="F1604">
        <f>_xlfn.XLOOKUP(Table1[[#This Row],[ProductID]],Products!A:A,Products!D:D,,0)</f>
        <v>80</v>
      </c>
      <c r="I1604">
        <v>499</v>
      </c>
      <c r="J1604">
        <v>424</v>
      </c>
      <c r="K1604" t="s">
        <v>1092</v>
      </c>
      <c r="L1604">
        <v>848</v>
      </c>
      <c r="M1604" t="s">
        <v>1093</v>
      </c>
      <c r="N1604" t="s">
        <v>1099</v>
      </c>
      <c r="O1604">
        <f>Table1[[#This Row],[Unit_Price]]*Table1[[#This Row],[Quantity]]</f>
        <v>160</v>
      </c>
    </row>
    <row r="1605" spans="1:15" x14ac:dyDescent="0.3">
      <c r="A1605" t="s">
        <v>3355</v>
      </c>
      <c r="B1605" t="s">
        <v>1205</v>
      </c>
      <c r="C1605" t="s">
        <v>283</v>
      </c>
      <c r="D1605" t="s">
        <v>1066</v>
      </c>
      <c r="E1605">
        <v>1</v>
      </c>
      <c r="F1605">
        <f>_xlfn.XLOOKUP(Table1[[#This Row],[ProductID]],Products!A:A,Products!D:D,,0)</f>
        <v>140</v>
      </c>
      <c r="I1605">
        <v>499</v>
      </c>
      <c r="J1605">
        <v>424</v>
      </c>
      <c r="K1605" t="s">
        <v>1092</v>
      </c>
      <c r="L1605">
        <v>424</v>
      </c>
      <c r="M1605" t="s">
        <v>1098</v>
      </c>
      <c r="N1605" t="s">
        <v>1099</v>
      </c>
      <c r="O1605">
        <f>Table1[[#This Row],[Unit_Price]]*Table1[[#This Row],[Quantity]]</f>
        <v>140</v>
      </c>
    </row>
    <row r="1606" spans="1:15" x14ac:dyDescent="0.3">
      <c r="A1606" t="s">
        <v>3356</v>
      </c>
      <c r="B1606" t="s">
        <v>1977</v>
      </c>
      <c r="C1606" t="s">
        <v>99</v>
      </c>
      <c r="D1606" t="s">
        <v>1071</v>
      </c>
      <c r="E1606">
        <v>3</v>
      </c>
      <c r="F1606">
        <f>_xlfn.XLOOKUP(Table1[[#This Row],[ProductID]],Products!A:A,Products!D:D,,0)</f>
        <v>125</v>
      </c>
      <c r="I1606">
        <v>399</v>
      </c>
      <c r="J1606">
        <v>399</v>
      </c>
      <c r="K1606" t="s">
        <v>1102</v>
      </c>
      <c r="L1606">
        <v>1197</v>
      </c>
      <c r="M1606" t="s">
        <v>1098</v>
      </c>
      <c r="N1606" t="s">
        <v>1099</v>
      </c>
      <c r="O1606">
        <f>Table1[[#This Row],[Unit_Price]]*Table1[[#This Row],[Quantity]]</f>
        <v>375</v>
      </c>
    </row>
    <row r="1607" spans="1:15" x14ac:dyDescent="0.3">
      <c r="A1607" t="s">
        <v>3357</v>
      </c>
      <c r="B1607" t="s">
        <v>3358</v>
      </c>
      <c r="C1607" t="s">
        <v>435</v>
      </c>
      <c r="D1607" t="s">
        <v>1064</v>
      </c>
      <c r="E1607">
        <v>4</v>
      </c>
      <c r="F1607">
        <f>_xlfn.XLOOKUP(Table1[[#This Row],[ProductID]],Products!A:A,Products!D:D,,0)</f>
        <v>160</v>
      </c>
      <c r="I1607">
        <v>699</v>
      </c>
      <c r="J1607">
        <v>699</v>
      </c>
      <c r="K1607" t="s">
        <v>1102</v>
      </c>
      <c r="L1607">
        <v>2796</v>
      </c>
      <c r="M1607" t="s">
        <v>1098</v>
      </c>
      <c r="N1607" t="s">
        <v>1099</v>
      </c>
      <c r="O1607">
        <f>Table1[[#This Row],[Unit_Price]]*Table1[[#This Row],[Quantity]]</f>
        <v>640</v>
      </c>
    </row>
    <row r="1608" spans="1:15" x14ac:dyDescent="0.3">
      <c r="A1608" t="s">
        <v>3359</v>
      </c>
      <c r="B1608" t="s">
        <v>2316</v>
      </c>
      <c r="C1608" t="s">
        <v>957</v>
      </c>
      <c r="D1608" t="s">
        <v>1075</v>
      </c>
      <c r="E1608">
        <v>1</v>
      </c>
      <c r="F1608">
        <f>_xlfn.XLOOKUP(Table1[[#This Row],[ProductID]],Products!A:A,Products!D:D,,0)</f>
        <v>80</v>
      </c>
      <c r="I1608">
        <v>499</v>
      </c>
      <c r="J1608">
        <v>449</v>
      </c>
      <c r="K1608" t="s">
        <v>1107</v>
      </c>
      <c r="L1608">
        <v>449</v>
      </c>
      <c r="M1608" t="s">
        <v>1126</v>
      </c>
      <c r="N1608" t="s">
        <v>1099</v>
      </c>
      <c r="O1608">
        <f>Table1[[#This Row],[Unit_Price]]*Table1[[#This Row],[Quantity]]</f>
        <v>80</v>
      </c>
    </row>
    <row r="1609" spans="1:15" x14ac:dyDescent="0.3">
      <c r="A1609" t="s">
        <v>3360</v>
      </c>
      <c r="B1609" t="s">
        <v>1985</v>
      </c>
      <c r="C1609" t="s">
        <v>503</v>
      </c>
      <c r="D1609" t="s">
        <v>1080</v>
      </c>
      <c r="E1609">
        <v>3</v>
      </c>
      <c r="F1609">
        <f>_xlfn.XLOOKUP(Table1[[#This Row],[ProductID]],Products!A:A,Products!D:D,,0)</f>
        <v>45</v>
      </c>
      <c r="I1609">
        <v>249</v>
      </c>
      <c r="J1609">
        <v>199</v>
      </c>
      <c r="K1609" t="s">
        <v>1097</v>
      </c>
      <c r="L1609">
        <v>597</v>
      </c>
      <c r="M1609" t="s">
        <v>1093</v>
      </c>
      <c r="N1609" t="s">
        <v>1099</v>
      </c>
      <c r="O1609">
        <f>Table1[[#This Row],[Unit_Price]]*Table1[[#This Row],[Quantity]]</f>
        <v>135</v>
      </c>
    </row>
    <row r="1610" spans="1:15" x14ac:dyDescent="0.3">
      <c r="A1610" t="s">
        <v>3361</v>
      </c>
      <c r="B1610" t="s">
        <v>1244</v>
      </c>
      <c r="C1610" t="s">
        <v>741</v>
      </c>
      <c r="D1610" t="s">
        <v>1051</v>
      </c>
      <c r="E1610">
        <v>4</v>
      </c>
      <c r="F1610">
        <f>_xlfn.XLOOKUP(Table1[[#This Row],[ProductID]],Products!A:A,Products!D:D,,0)</f>
        <v>150</v>
      </c>
      <c r="I1610">
        <v>499</v>
      </c>
      <c r="J1610">
        <v>399</v>
      </c>
      <c r="K1610" t="s">
        <v>1097</v>
      </c>
      <c r="L1610">
        <v>1596</v>
      </c>
      <c r="M1610" t="s">
        <v>1126</v>
      </c>
      <c r="N1610" t="s">
        <v>1099</v>
      </c>
      <c r="O1610">
        <f>Table1[[#This Row],[Unit_Price]]*Table1[[#This Row],[Quantity]]</f>
        <v>600</v>
      </c>
    </row>
    <row r="1611" spans="1:15" x14ac:dyDescent="0.3">
      <c r="A1611" t="s">
        <v>3362</v>
      </c>
      <c r="B1611" t="s">
        <v>1455</v>
      </c>
      <c r="C1611" t="s">
        <v>49</v>
      </c>
      <c r="D1611" t="s">
        <v>1048</v>
      </c>
      <c r="E1611">
        <v>2</v>
      </c>
      <c r="F1611">
        <f>_xlfn.XLOOKUP(Table1[[#This Row],[ProductID]],Products!A:A,Products!D:D,,0)</f>
        <v>120</v>
      </c>
      <c r="I1611">
        <v>599</v>
      </c>
      <c r="J1611">
        <v>539</v>
      </c>
      <c r="K1611" t="s">
        <v>1107</v>
      </c>
      <c r="L1611">
        <v>1078</v>
      </c>
      <c r="M1611" t="s">
        <v>1093</v>
      </c>
      <c r="N1611" t="s">
        <v>1099</v>
      </c>
      <c r="O1611">
        <f>Table1[[#This Row],[Unit_Price]]*Table1[[#This Row],[Quantity]]</f>
        <v>240</v>
      </c>
    </row>
    <row r="1612" spans="1:15" x14ac:dyDescent="0.3">
      <c r="A1612" t="s">
        <v>3363</v>
      </c>
      <c r="B1612" t="s">
        <v>1539</v>
      </c>
      <c r="C1612" t="s">
        <v>223</v>
      </c>
      <c r="D1612" t="s">
        <v>1066</v>
      </c>
      <c r="E1612">
        <v>1</v>
      </c>
      <c r="F1612">
        <f>_xlfn.XLOOKUP(Table1[[#This Row],[ProductID]],Products!A:A,Products!D:D,,0)</f>
        <v>140</v>
      </c>
      <c r="I1612">
        <v>499</v>
      </c>
      <c r="J1612">
        <v>449</v>
      </c>
      <c r="K1612" t="s">
        <v>1107</v>
      </c>
      <c r="L1612">
        <v>449</v>
      </c>
      <c r="M1612" t="s">
        <v>1098</v>
      </c>
      <c r="N1612" t="s">
        <v>1094</v>
      </c>
      <c r="O1612">
        <f>Table1[[#This Row],[Unit_Price]]*Table1[[#This Row],[Quantity]]</f>
        <v>140</v>
      </c>
    </row>
    <row r="1613" spans="1:15" x14ac:dyDescent="0.3">
      <c r="A1613" t="s">
        <v>3364</v>
      </c>
      <c r="B1613" t="s">
        <v>2304</v>
      </c>
      <c r="C1613" t="s">
        <v>527</v>
      </c>
      <c r="D1613" t="s">
        <v>1071</v>
      </c>
      <c r="E1613">
        <v>1</v>
      </c>
      <c r="F1613">
        <f>_xlfn.XLOOKUP(Table1[[#This Row],[ProductID]],Products!A:A,Products!D:D,,0)</f>
        <v>125</v>
      </c>
      <c r="I1613">
        <v>399</v>
      </c>
      <c r="J1613">
        <v>399</v>
      </c>
      <c r="K1613" t="s">
        <v>1102</v>
      </c>
      <c r="L1613">
        <v>399</v>
      </c>
      <c r="M1613" t="s">
        <v>1093</v>
      </c>
      <c r="N1613" t="s">
        <v>1094</v>
      </c>
      <c r="O1613">
        <f>Table1[[#This Row],[Unit_Price]]*Table1[[#This Row],[Quantity]]</f>
        <v>125</v>
      </c>
    </row>
    <row r="1614" spans="1:15" x14ac:dyDescent="0.3">
      <c r="A1614" t="s">
        <v>3365</v>
      </c>
      <c r="B1614" t="s">
        <v>1488</v>
      </c>
      <c r="C1614" t="s">
        <v>561</v>
      </c>
      <c r="D1614" t="s">
        <v>1064</v>
      </c>
      <c r="E1614">
        <v>1</v>
      </c>
      <c r="F1614">
        <f>_xlfn.XLOOKUP(Table1[[#This Row],[ProductID]],Products!A:A,Products!D:D,,0)</f>
        <v>160</v>
      </c>
      <c r="I1614">
        <v>699</v>
      </c>
      <c r="J1614">
        <v>594</v>
      </c>
      <c r="K1614" t="s">
        <v>1092</v>
      </c>
      <c r="L1614">
        <v>594</v>
      </c>
      <c r="M1614" t="s">
        <v>1093</v>
      </c>
      <c r="N1614" t="s">
        <v>1094</v>
      </c>
      <c r="O1614">
        <f>Table1[[#This Row],[Unit_Price]]*Table1[[#This Row],[Quantity]]</f>
        <v>160</v>
      </c>
    </row>
    <row r="1615" spans="1:15" x14ac:dyDescent="0.3">
      <c r="A1615" t="s">
        <v>3366</v>
      </c>
      <c r="B1615" t="s">
        <v>1828</v>
      </c>
      <c r="C1615" t="s">
        <v>749</v>
      </c>
      <c r="D1615" t="s">
        <v>1080</v>
      </c>
      <c r="E1615">
        <v>1</v>
      </c>
      <c r="F1615">
        <f>_xlfn.XLOOKUP(Table1[[#This Row],[ProductID]],Products!A:A,Products!D:D,,0)</f>
        <v>45</v>
      </c>
      <c r="I1615">
        <v>249</v>
      </c>
      <c r="J1615">
        <v>224</v>
      </c>
      <c r="K1615" t="s">
        <v>1107</v>
      </c>
      <c r="L1615">
        <v>224</v>
      </c>
      <c r="M1615" t="s">
        <v>1093</v>
      </c>
      <c r="N1615" t="s">
        <v>1123</v>
      </c>
      <c r="O1615">
        <f>Table1[[#This Row],[Unit_Price]]*Table1[[#This Row],[Quantity]]</f>
        <v>45</v>
      </c>
    </row>
    <row r="1616" spans="1:15" x14ac:dyDescent="0.3">
      <c r="A1616" t="s">
        <v>3367</v>
      </c>
      <c r="B1616" t="s">
        <v>1292</v>
      </c>
      <c r="C1616" t="s">
        <v>609</v>
      </c>
      <c r="D1616" t="s">
        <v>1071</v>
      </c>
      <c r="E1616">
        <v>1</v>
      </c>
      <c r="F1616">
        <f>_xlfn.XLOOKUP(Table1[[#This Row],[ProductID]],Products!A:A,Products!D:D,,0)</f>
        <v>125</v>
      </c>
      <c r="I1616">
        <v>399</v>
      </c>
      <c r="J1616">
        <v>319</v>
      </c>
      <c r="K1616" t="s">
        <v>1097</v>
      </c>
      <c r="L1616">
        <v>319</v>
      </c>
      <c r="M1616" t="s">
        <v>1098</v>
      </c>
      <c r="N1616" t="s">
        <v>1099</v>
      </c>
      <c r="O1616">
        <f>Table1[[#This Row],[Unit_Price]]*Table1[[#This Row],[Quantity]]</f>
        <v>125</v>
      </c>
    </row>
    <row r="1617" spans="1:15" x14ac:dyDescent="0.3">
      <c r="A1617" t="s">
        <v>3368</v>
      </c>
      <c r="B1617" t="s">
        <v>1653</v>
      </c>
      <c r="C1617" t="s">
        <v>595</v>
      </c>
      <c r="D1617" t="s">
        <v>1073</v>
      </c>
      <c r="E1617">
        <v>3</v>
      </c>
      <c r="F1617">
        <f>_xlfn.XLOOKUP(Table1[[#This Row],[ProductID]],Products!A:A,Products!D:D,,0)</f>
        <v>100</v>
      </c>
      <c r="I1617">
        <v>349</v>
      </c>
      <c r="J1617">
        <v>349</v>
      </c>
      <c r="K1617" t="s">
        <v>1102</v>
      </c>
      <c r="L1617">
        <v>1047</v>
      </c>
      <c r="M1617" t="s">
        <v>1098</v>
      </c>
      <c r="N1617" t="s">
        <v>1099</v>
      </c>
      <c r="O1617">
        <f>Table1[[#This Row],[Unit_Price]]*Table1[[#This Row],[Quantity]]</f>
        <v>300</v>
      </c>
    </row>
    <row r="1618" spans="1:15" x14ac:dyDescent="0.3">
      <c r="A1618" t="s">
        <v>3369</v>
      </c>
      <c r="B1618" t="s">
        <v>2622</v>
      </c>
      <c r="C1618" t="s">
        <v>331</v>
      </c>
      <c r="D1618" t="s">
        <v>1064</v>
      </c>
      <c r="E1618">
        <v>1</v>
      </c>
      <c r="F1618">
        <f>_xlfn.XLOOKUP(Table1[[#This Row],[ProductID]],Products!A:A,Products!D:D,,0)</f>
        <v>160</v>
      </c>
      <c r="I1618">
        <v>699</v>
      </c>
      <c r="J1618">
        <v>699</v>
      </c>
      <c r="K1618" t="s">
        <v>1102</v>
      </c>
      <c r="L1618">
        <v>699</v>
      </c>
      <c r="M1618" t="s">
        <v>1093</v>
      </c>
      <c r="N1618" t="s">
        <v>1099</v>
      </c>
      <c r="O1618">
        <f>Table1[[#This Row],[Unit_Price]]*Table1[[#This Row],[Quantity]]</f>
        <v>160</v>
      </c>
    </row>
    <row r="1619" spans="1:15" x14ac:dyDescent="0.3">
      <c r="A1619" t="s">
        <v>3370</v>
      </c>
      <c r="B1619" t="s">
        <v>2078</v>
      </c>
      <c r="C1619" t="s">
        <v>283</v>
      </c>
      <c r="D1619" t="s">
        <v>1066</v>
      </c>
      <c r="E1619">
        <v>1</v>
      </c>
      <c r="F1619">
        <f>_xlfn.XLOOKUP(Table1[[#This Row],[ProductID]],Products!A:A,Products!D:D,,0)</f>
        <v>140</v>
      </c>
      <c r="I1619">
        <v>499</v>
      </c>
      <c r="J1619">
        <v>449</v>
      </c>
      <c r="K1619" t="s">
        <v>1107</v>
      </c>
      <c r="L1619">
        <v>449</v>
      </c>
      <c r="M1619" t="s">
        <v>1093</v>
      </c>
      <c r="N1619" t="s">
        <v>1099</v>
      </c>
      <c r="O1619">
        <f>Table1[[#This Row],[Unit_Price]]*Table1[[#This Row],[Quantity]]</f>
        <v>140</v>
      </c>
    </row>
    <row r="1620" spans="1:15" x14ac:dyDescent="0.3">
      <c r="A1620" t="s">
        <v>3371</v>
      </c>
      <c r="B1620" t="s">
        <v>2272</v>
      </c>
      <c r="C1620" t="s">
        <v>621</v>
      </c>
      <c r="D1620" t="s">
        <v>1071</v>
      </c>
      <c r="E1620">
        <v>3</v>
      </c>
      <c r="F1620">
        <f>_xlfn.XLOOKUP(Table1[[#This Row],[ProductID]],Products!A:A,Products!D:D,,0)</f>
        <v>125</v>
      </c>
      <c r="I1620">
        <v>399</v>
      </c>
      <c r="J1620">
        <v>319</v>
      </c>
      <c r="K1620" t="s">
        <v>1097</v>
      </c>
      <c r="L1620">
        <v>957</v>
      </c>
      <c r="M1620" t="s">
        <v>1126</v>
      </c>
      <c r="N1620" t="s">
        <v>1099</v>
      </c>
      <c r="O1620">
        <f>Table1[[#This Row],[Unit_Price]]*Table1[[#This Row],[Quantity]]</f>
        <v>375</v>
      </c>
    </row>
    <row r="1621" spans="1:15" x14ac:dyDescent="0.3">
      <c r="A1621" t="s">
        <v>3372</v>
      </c>
      <c r="B1621" t="s">
        <v>2658</v>
      </c>
      <c r="C1621" t="s">
        <v>187</v>
      </c>
      <c r="D1621" t="s">
        <v>1078</v>
      </c>
      <c r="E1621">
        <v>2</v>
      </c>
      <c r="F1621">
        <f>_xlfn.XLOOKUP(Table1[[#This Row],[ProductID]],Products!A:A,Products!D:D,,0)</f>
        <v>80</v>
      </c>
      <c r="I1621">
        <v>499</v>
      </c>
      <c r="J1621">
        <v>499</v>
      </c>
      <c r="K1621" t="s">
        <v>1102</v>
      </c>
      <c r="L1621">
        <v>998</v>
      </c>
      <c r="M1621" t="s">
        <v>1093</v>
      </c>
      <c r="N1621" t="s">
        <v>1099</v>
      </c>
      <c r="O1621">
        <f>Table1[[#This Row],[Unit_Price]]*Table1[[#This Row],[Quantity]]</f>
        <v>160</v>
      </c>
    </row>
    <row r="1622" spans="1:15" x14ac:dyDescent="0.3">
      <c r="A1622" t="s">
        <v>3373</v>
      </c>
      <c r="B1622" t="s">
        <v>3289</v>
      </c>
      <c r="C1622" t="s">
        <v>913</v>
      </c>
      <c r="D1622" t="s">
        <v>1048</v>
      </c>
      <c r="E1622">
        <v>2</v>
      </c>
      <c r="F1622">
        <f>_xlfn.XLOOKUP(Table1[[#This Row],[ProductID]],Products!A:A,Products!D:D,,0)</f>
        <v>120</v>
      </c>
      <c r="I1622">
        <v>599</v>
      </c>
      <c r="J1622">
        <v>539</v>
      </c>
      <c r="K1622" t="s">
        <v>1107</v>
      </c>
      <c r="L1622">
        <v>1078</v>
      </c>
      <c r="M1622" t="s">
        <v>1098</v>
      </c>
      <c r="N1622" t="s">
        <v>1099</v>
      </c>
      <c r="O1622">
        <f>Table1[[#This Row],[Unit_Price]]*Table1[[#This Row],[Quantity]]</f>
        <v>240</v>
      </c>
    </row>
    <row r="1623" spans="1:15" x14ac:dyDescent="0.3">
      <c r="A1623" t="s">
        <v>3374</v>
      </c>
      <c r="B1623" t="s">
        <v>1286</v>
      </c>
      <c r="C1623" t="s">
        <v>102</v>
      </c>
      <c r="D1623" t="s">
        <v>1066</v>
      </c>
      <c r="E1623">
        <v>2</v>
      </c>
      <c r="F1623">
        <f>_xlfn.XLOOKUP(Table1[[#This Row],[ProductID]],Products!A:A,Products!D:D,,0)</f>
        <v>140</v>
      </c>
      <c r="I1623">
        <v>499</v>
      </c>
      <c r="J1623">
        <v>499</v>
      </c>
      <c r="K1623" t="s">
        <v>1102</v>
      </c>
      <c r="L1623">
        <v>998</v>
      </c>
      <c r="M1623" t="s">
        <v>1093</v>
      </c>
      <c r="N1623" t="s">
        <v>1099</v>
      </c>
      <c r="O1623">
        <f>Table1[[#This Row],[Unit_Price]]*Table1[[#This Row],[Quantity]]</f>
        <v>280</v>
      </c>
    </row>
    <row r="1624" spans="1:15" x14ac:dyDescent="0.3">
      <c r="A1624" t="s">
        <v>3375</v>
      </c>
      <c r="B1624" t="s">
        <v>1698</v>
      </c>
      <c r="C1624" t="s">
        <v>623</v>
      </c>
      <c r="D1624" t="s">
        <v>1075</v>
      </c>
      <c r="E1624">
        <v>1</v>
      </c>
      <c r="F1624">
        <f>_xlfn.XLOOKUP(Table1[[#This Row],[ProductID]],Products!A:A,Products!D:D,,0)</f>
        <v>80</v>
      </c>
      <c r="I1624">
        <v>499</v>
      </c>
      <c r="J1624">
        <v>499</v>
      </c>
      <c r="K1624" t="s">
        <v>1102</v>
      </c>
      <c r="L1624">
        <v>499</v>
      </c>
      <c r="M1624" t="s">
        <v>1098</v>
      </c>
      <c r="N1624" t="s">
        <v>1123</v>
      </c>
      <c r="O1624">
        <f>Table1[[#This Row],[Unit_Price]]*Table1[[#This Row],[Quantity]]</f>
        <v>80</v>
      </c>
    </row>
    <row r="1625" spans="1:15" x14ac:dyDescent="0.3">
      <c r="A1625" t="s">
        <v>3376</v>
      </c>
      <c r="B1625" t="s">
        <v>1935</v>
      </c>
      <c r="C1625" t="s">
        <v>359</v>
      </c>
      <c r="D1625" t="s">
        <v>1071</v>
      </c>
      <c r="E1625">
        <v>1</v>
      </c>
      <c r="F1625">
        <f>_xlfn.XLOOKUP(Table1[[#This Row],[ProductID]],Products!A:A,Products!D:D,,0)</f>
        <v>125</v>
      </c>
      <c r="I1625">
        <v>399</v>
      </c>
      <c r="J1625">
        <v>359</v>
      </c>
      <c r="K1625" t="s">
        <v>1107</v>
      </c>
      <c r="L1625">
        <v>359</v>
      </c>
      <c r="M1625" t="s">
        <v>1098</v>
      </c>
      <c r="N1625" t="s">
        <v>1123</v>
      </c>
      <c r="O1625">
        <f>Table1[[#This Row],[Unit_Price]]*Table1[[#This Row],[Quantity]]</f>
        <v>125</v>
      </c>
    </row>
    <row r="1626" spans="1:15" x14ac:dyDescent="0.3">
      <c r="A1626" t="s">
        <v>3377</v>
      </c>
      <c r="B1626" t="s">
        <v>3041</v>
      </c>
      <c r="C1626" t="s">
        <v>227</v>
      </c>
      <c r="D1626" t="s">
        <v>1075</v>
      </c>
      <c r="E1626">
        <v>3</v>
      </c>
      <c r="F1626">
        <f>_xlfn.XLOOKUP(Table1[[#This Row],[ProductID]],Products!A:A,Products!D:D,,0)</f>
        <v>80</v>
      </c>
      <c r="I1626">
        <v>499</v>
      </c>
      <c r="J1626">
        <v>449</v>
      </c>
      <c r="K1626" t="s">
        <v>1107</v>
      </c>
      <c r="L1626">
        <v>1347</v>
      </c>
      <c r="M1626" t="s">
        <v>1093</v>
      </c>
      <c r="N1626" t="s">
        <v>1099</v>
      </c>
      <c r="O1626">
        <f>Table1[[#This Row],[Unit_Price]]*Table1[[#This Row],[Quantity]]</f>
        <v>240</v>
      </c>
    </row>
    <row r="1627" spans="1:15" x14ac:dyDescent="0.3">
      <c r="A1627" t="s">
        <v>3378</v>
      </c>
      <c r="B1627" t="s">
        <v>2751</v>
      </c>
      <c r="C1627" t="s">
        <v>423</v>
      </c>
      <c r="D1627" t="s">
        <v>1073</v>
      </c>
      <c r="E1627">
        <v>3</v>
      </c>
      <c r="F1627">
        <f>_xlfn.XLOOKUP(Table1[[#This Row],[ProductID]],Products!A:A,Products!D:D,,0)</f>
        <v>100</v>
      </c>
      <c r="I1627">
        <v>349</v>
      </c>
      <c r="J1627">
        <v>314</v>
      </c>
      <c r="K1627" t="s">
        <v>1107</v>
      </c>
      <c r="L1627">
        <v>942</v>
      </c>
      <c r="M1627" t="s">
        <v>1098</v>
      </c>
      <c r="N1627" t="s">
        <v>1099</v>
      </c>
      <c r="O1627">
        <f>Table1[[#This Row],[Unit_Price]]*Table1[[#This Row],[Quantity]]</f>
        <v>300</v>
      </c>
    </row>
    <row r="1628" spans="1:15" x14ac:dyDescent="0.3">
      <c r="A1628" t="s">
        <v>3379</v>
      </c>
      <c r="B1628" t="s">
        <v>2146</v>
      </c>
      <c r="C1628" t="s">
        <v>143</v>
      </c>
      <c r="D1628" t="s">
        <v>1057</v>
      </c>
      <c r="E1628">
        <v>2</v>
      </c>
      <c r="F1628">
        <f>_xlfn.XLOOKUP(Table1[[#This Row],[ProductID]],Products!A:A,Products!D:D,,0)</f>
        <v>130</v>
      </c>
      <c r="I1628">
        <v>549</v>
      </c>
      <c r="J1628">
        <v>549</v>
      </c>
      <c r="K1628" t="s">
        <v>1102</v>
      </c>
      <c r="L1628">
        <v>1098</v>
      </c>
      <c r="M1628" t="s">
        <v>1093</v>
      </c>
      <c r="N1628" t="s">
        <v>1099</v>
      </c>
      <c r="O1628">
        <f>Table1[[#This Row],[Unit_Price]]*Table1[[#This Row],[Quantity]]</f>
        <v>260</v>
      </c>
    </row>
    <row r="1629" spans="1:15" x14ac:dyDescent="0.3">
      <c r="A1629" t="s">
        <v>3380</v>
      </c>
      <c r="B1629" t="s">
        <v>2927</v>
      </c>
      <c r="C1629" t="s">
        <v>349</v>
      </c>
      <c r="D1629" t="s">
        <v>1068</v>
      </c>
      <c r="E1629">
        <v>1</v>
      </c>
      <c r="F1629">
        <f>_xlfn.XLOOKUP(Table1[[#This Row],[ProductID]],Products!A:A,Products!D:D,,0)</f>
        <v>180</v>
      </c>
      <c r="I1629">
        <v>449</v>
      </c>
      <c r="J1629">
        <v>449</v>
      </c>
      <c r="K1629" t="s">
        <v>1102</v>
      </c>
      <c r="L1629">
        <v>449</v>
      </c>
      <c r="M1629" t="s">
        <v>1098</v>
      </c>
      <c r="N1629" t="s">
        <v>1099</v>
      </c>
      <c r="O1629">
        <f>Table1[[#This Row],[Unit_Price]]*Table1[[#This Row],[Quantity]]</f>
        <v>180</v>
      </c>
    </row>
    <row r="1630" spans="1:15" x14ac:dyDescent="0.3">
      <c r="A1630" t="s">
        <v>3381</v>
      </c>
      <c r="B1630" t="s">
        <v>1679</v>
      </c>
      <c r="C1630" t="s">
        <v>37</v>
      </c>
      <c r="D1630" t="s">
        <v>1078</v>
      </c>
      <c r="E1630">
        <v>1</v>
      </c>
      <c r="F1630">
        <f>_xlfn.XLOOKUP(Table1[[#This Row],[ProductID]],Products!A:A,Products!D:D,,0)</f>
        <v>80</v>
      </c>
      <c r="I1630">
        <v>499</v>
      </c>
      <c r="J1630">
        <v>499</v>
      </c>
      <c r="K1630" t="s">
        <v>1102</v>
      </c>
      <c r="L1630">
        <v>499</v>
      </c>
      <c r="M1630" t="s">
        <v>1093</v>
      </c>
      <c r="N1630" t="s">
        <v>1099</v>
      </c>
      <c r="O1630">
        <f>Table1[[#This Row],[Unit_Price]]*Table1[[#This Row],[Quantity]]</f>
        <v>80</v>
      </c>
    </row>
    <row r="1631" spans="1:15" x14ac:dyDescent="0.3">
      <c r="A1631" t="s">
        <v>3382</v>
      </c>
      <c r="B1631" t="s">
        <v>2095</v>
      </c>
      <c r="C1631" t="s">
        <v>177</v>
      </c>
      <c r="D1631" t="s">
        <v>1064</v>
      </c>
      <c r="E1631">
        <v>2</v>
      </c>
      <c r="F1631">
        <f>_xlfn.XLOOKUP(Table1[[#This Row],[ProductID]],Products!A:A,Products!D:D,,0)</f>
        <v>160</v>
      </c>
      <c r="I1631">
        <v>699</v>
      </c>
      <c r="J1631">
        <v>594</v>
      </c>
      <c r="K1631" t="s">
        <v>1092</v>
      </c>
      <c r="L1631">
        <v>1188</v>
      </c>
      <c r="M1631" t="s">
        <v>1093</v>
      </c>
      <c r="N1631" t="s">
        <v>1099</v>
      </c>
      <c r="O1631">
        <f>Table1[[#This Row],[Unit_Price]]*Table1[[#This Row],[Quantity]]</f>
        <v>320</v>
      </c>
    </row>
    <row r="1632" spans="1:15" x14ac:dyDescent="0.3">
      <c r="A1632" t="s">
        <v>3383</v>
      </c>
      <c r="B1632" t="s">
        <v>1215</v>
      </c>
      <c r="C1632" t="s">
        <v>397</v>
      </c>
      <c r="D1632" t="s">
        <v>1053</v>
      </c>
      <c r="E1632">
        <v>1</v>
      </c>
      <c r="F1632">
        <f>_xlfn.XLOOKUP(Table1[[#This Row],[ProductID]],Products!A:A,Products!D:D,,0)</f>
        <v>200</v>
      </c>
      <c r="I1632">
        <v>899</v>
      </c>
      <c r="J1632">
        <v>809</v>
      </c>
      <c r="K1632" t="s">
        <v>1107</v>
      </c>
      <c r="L1632">
        <v>809</v>
      </c>
      <c r="M1632" t="s">
        <v>1093</v>
      </c>
      <c r="N1632" t="s">
        <v>1094</v>
      </c>
      <c r="O1632">
        <f>Table1[[#This Row],[Unit_Price]]*Table1[[#This Row],[Quantity]]</f>
        <v>200</v>
      </c>
    </row>
    <row r="1633" spans="1:15" x14ac:dyDescent="0.3">
      <c r="A1633" t="s">
        <v>3384</v>
      </c>
      <c r="B1633" t="s">
        <v>1541</v>
      </c>
      <c r="C1633" t="s">
        <v>581</v>
      </c>
      <c r="D1633" t="s">
        <v>1048</v>
      </c>
      <c r="E1633">
        <v>1</v>
      </c>
      <c r="F1633">
        <f>_xlfn.XLOOKUP(Table1[[#This Row],[ProductID]],Products!A:A,Products!D:D,,0)</f>
        <v>120</v>
      </c>
      <c r="I1633">
        <v>599</v>
      </c>
      <c r="J1633">
        <v>539</v>
      </c>
      <c r="K1633" t="s">
        <v>1107</v>
      </c>
      <c r="L1633">
        <v>539</v>
      </c>
      <c r="M1633" t="s">
        <v>1098</v>
      </c>
      <c r="N1633" t="s">
        <v>1099</v>
      </c>
      <c r="O1633">
        <f>Table1[[#This Row],[Unit_Price]]*Table1[[#This Row],[Quantity]]</f>
        <v>120</v>
      </c>
    </row>
    <row r="1634" spans="1:15" x14ac:dyDescent="0.3">
      <c r="A1634" t="s">
        <v>3385</v>
      </c>
      <c r="B1634" t="s">
        <v>1947</v>
      </c>
      <c r="C1634" t="s">
        <v>877</v>
      </c>
      <c r="D1634" t="s">
        <v>1068</v>
      </c>
      <c r="E1634">
        <v>1</v>
      </c>
      <c r="F1634">
        <f>_xlfn.XLOOKUP(Table1[[#This Row],[ProductID]],Products!A:A,Products!D:D,,0)</f>
        <v>180</v>
      </c>
      <c r="I1634">
        <v>449</v>
      </c>
      <c r="J1634">
        <v>359</v>
      </c>
      <c r="K1634" t="s">
        <v>1097</v>
      </c>
      <c r="L1634">
        <v>359</v>
      </c>
      <c r="M1634" t="s">
        <v>1098</v>
      </c>
      <c r="N1634" t="s">
        <v>1099</v>
      </c>
      <c r="O1634">
        <f>Table1[[#This Row],[Unit_Price]]*Table1[[#This Row],[Quantity]]</f>
        <v>180</v>
      </c>
    </row>
    <row r="1635" spans="1:15" x14ac:dyDescent="0.3">
      <c r="A1635" t="s">
        <v>3386</v>
      </c>
      <c r="B1635" t="s">
        <v>2050</v>
      </c>
      <c r="C1635" t="s">
        <v>787</v>
      </c>
      <c r="D1635" t="s">
        <v>1048</v>
      </c>
      <c r="E1635">
        <v>2</v>
      </c>
      <c r="F1635">
        <f>_xlfn.XLOOKUP(Table1[[#This Row],[ProductID]],Products!A:A,Products!D:D,,0)</f>
        <v>120</v>
      </c>
      <c r="I1635">
        <v>599</v>
      </c>
      <c r="J1635">
        <v>479</v>
      </c>
      <c r="K1635" t="s">
        <v>1097</v>
      </c>
      <c r="L1635">
        <v>958</v>
      </c>
      <c r="M1635" t="s">
        <v>1098</v>
      </c>
      <c r="N1635" t="s">
        <v>1099</v>
      </c>
      <c r="O1635">
        <f>Table1[[#This Row],[Unit_Price]]*Table1[[#This Row],[Quantity]]</f>
        <v>240</v>
      </c>
    </row>
    <row r="1636" spans="1:15" x14ac:dyDescent="0.3">
      <c r="A1636" t="s">
        <v>3387</v>
      </c>
      <c r="B1636" t="s">
        <v>1712</v>
      </c>
      <c r="C1636" t="s">
        <v>987</v>
      </c>
      <c r="D1636" t="s">
        <v>1064</v>
      </c>
      <c r="E1636">
        <v>1</v>
      </c>
      <c r="F1636">
        <f>_xlfn.XLOOKUP(Table1[[#This Row],[ProductID]],Products!A:A,Products!D:D,,0)</f>
        <v>160</v>
      </c>
      <c r="I1636">
        <v>699</v>
      </c>
      <c r="J1636">
        <v>699</v>
      </c>
      <c r="K1636" t="s">
        <v>1102</v>
      </c>
      <c r="L1636">
        <v>699</v>
      </c>
      <c r="M1636" t="s">
        <v>1098</v>
      </c>
      <c r="N1636" t="s">
        <v>1094</v>
      </c>
      <c r="O1636">
        <f>Table1[[#This Row],[Unit_Price]]*Table1[[#This Row],[Quantity]]</f>
        <v>160</v>
      </c>
    </row>
    <row r="1637" spans="1:15" x14ac:dyDescent="0.3">
      <c r="A1637" t="s">
        <v>3388</v>
      </c>
      <c r="B1637" t="s">
        <v>1396</v>
      </c>
      <c r="C1637" t="s">
        <v>203</v>
      </c>
      <c r="D1637" t="s">
        <v>1073</v>
      </c>
      <c r="E1637">
        <v>1</v>
      </c>
      <c r="F1637">
        <f>_xlfn.XLOOKUP(Table1[[#This Row],[ProductID]],Products!A:A,Products!D:D,,0)</f>
        <v>100</v>
      </c>
      <c r="I1637">
        <v>349</v>
      </c>
      <c r="J1637">
        <v>349</v>
      </c>
      <c r="K1637" t="s">
        <v>1102</v>
      </c>
      <c r="L1637">
        <v>349</v>
      </c>
      <c r="M1637" t="s">
        <v>1098</v>
      </c>
      <c r="N1637" t="s">
        <v>1099</v>
      </c>
      <c r="O1637">
        <f>Table1[[#This Row],[Unit_Price]]*Table1[[#This Row],[Quantity]]</f>
        <v>100</v>
      </c>
    </row>
    <row r="1638" spans="1:15" x14ac:dyDescent="0.3">
      <c r="A1638" t="s">
        <v>3389</v>
      </c>
      <c r="B1638" t="s">
        <v>1414</v>
      </c>
      <c r="C1638" t="s">
        <v>963</v>
      </c>
      <c r="D1638" t="s">
        <v>1053</v>
      </c>
      <c r="E1638">
        <v>2</v>
      </c>
      <c r="F1638">
        <f>_xlfn.XLOOKUP(Table1[[#This Row],[ProductID]],Products!A:A,Products!D:D,,0)</f>
        <v>200</v>
      </c>
      <c r="I1638">
        <v>899</v>
      </c>
      <c r="J1638">
        <v>764</v>
      </c>
      <c r="K1638" t="s">
        <v>1092</v>
      </c>
      <c r="L1638">
        <v>1528</v>
      </c>
      <c r="M1638" t="s">
        <v>1098</v>
      </c>
      <c r="N1638" t="s">
        <v>1099</v>
      </c>
      <c r="O1638">
        <f>Table1[[#This Row],[Unit_Price]]*Table1[[#This Row],[Quantity]]</f>
        <v>400</v>
      </c>
    </row>
    <row r="1639" spans="1:15" x14ac:dyDescent="0.3">
      <c r="A1639" t="s">
        <v>3390</v>
      </c>
      <c r="B1639" t="s">
        <v>1555</v>
      </c>
      <c r="C1639" t="s">
        <v>1033</v>
      </c>
      <c r="D1639" t="s">
        <v>1064</v>
      </c>
      <c r="E1639">
        <v>1</v>
      </c>
      <c r="F1639">
        <f>_xlfn.XLOOKUP(Table1[[#This Row],[ProductID]],Products!A:A,Products!D:D,,0)</f>
        <v>160</v>
      </c>
      <c r="I1639">
        <v>699</v>
      </c>
      <c r="J1639">
        <v>699</v>
      </c>
      <c r="K1639" t="s">
        <v>1102</v>
      </c>
      <c r="L1639">
        <v>699</v>
      </c>
      <c r="M1639" t="s">
        <v>1098</v>
      </c>
      <c r="N1639" t="s">
        <v>1099</v>
      </c>
      <c r="O1639">
        <f>Table1[[#This Row],[Unit_Price]]*Table1[[#This Row],[Quantity]]</f>
        <v>160</v>
      </c>
    </row>
    <row r="1640" spans="1:15" x14ac:dyDescent="0.3">
      <c r="A1640" t="s">
        <v>3391</v>
      </c>
      <c r="B1640" t="s">
        <v>1381</v>
      </c>
      <c r="C1640" t="s">
        <v>695</v>
      </c>
      <c r="D1640" t="s">
        <v>1057</v>
      </c>
      <c r="E1640">
        <v>1</v>
      </c>
      <c r="F1640">
        <f>_xlfn.XLOOKUP(Table1[[#This Row],[ProductID]],Products!A:A,Products!D:D,,0)</f>
        <v>130</v>
      </c>
      <c r="I1640">
        <v>549</v>
      </c>
      <c r="J1640">
        <v>439</v>
      </c>
      <c r="K1640" t="s">
        <v>1097</v>
      </c>
      <c r="L1640">
        <v>439</v>
      </c>
      <c r="M1640" t="s">
        <v>1098</v>
      </c>
      <c r="N1640" t="s">
        <v>1099</v>
      </c>
      <c r="O1640">
        <f>Table1[[#This Row],[Unit_Price]]*Table1[[#This Row],[Quantity]]</f>
        <v>130</v>
      </c>
    </row>
    <row r="1641" spans="1:15" x14ac:dyDescent="0.3">
      <c r="A1641" t="s">
        <v>3392</v>
      </c>
      <c r="B1641" t="s">
        <v>1178</v>
      </c>
      <c r="C1641" t="s">
        <v>369</v>
      </c>
      <c r="D1641" t="s">
        <v>1048</v>
      </c>
      <c r="E1641">
        <v>1</v>
      </c>
      <c r="F1641">
        <f>_xlfn.XLOOKUP(Table1[[#This Row],[ProductID]],Products!A:A,Products!D:D,,0)</f>
        <v>120</v>
      </c>
      <c r="I1641">
        <v>599</v>
      </c>
      <c r="J1641">
        <v>539</v>
      </c>
      <c r="K1641" t="s">
        <v>1107</v>
      </c>
      <c r="L1641">
        <v>539</v>
      </c>
      <c r="M1641" t="s">
        <v>1093</v>
      </c>
      <c r="N1641" t="s">
        <v>1099</v>
      </c>
      <c r="O1641">
        <f>Table1[[#This Row],[Unit_Price]]*Table1[[#This Row],[Quantity]]</f>
        <v>120</v>
      </c>
    </row>
    <row r="1642" spans="1:15" x14ac:dyDescent="0.3">
      <c r="A1642" t="s">
        <v>3393</v>
      </c>
      <c r="B1642" t="s">
        <v>1570</v>
      </c>
      <c r="C1642" t="s">
        <v>445</v>
      </c>
      <c r="D1642" t="s">
        <v>1078</v>
      </c>
      <c r="E1642">
        <v>1</v>
      </c>
      <c r="F1642">
        <f>_xlfn.XLOOKUP(Table1[[#This Row],[ProductID]],Products!A:A,Products!D:D,,0)</f>
        <v>80</v>
      </c>
      <c r="I1642">
        <v>499</v>
      </c>
      <c r="J1642">
        <v>499</v>
      </c>
      <c r="K1642" t="s">
        <v>1102</v>
      </c>
      <c r="L1642">
        <v>499</v>
      </c>
      <c r="M1642" t="s">
        <v>1093</v>
      </c>
      <c r="N1642" t="s">
        <v>1123</v>
      </c>
      <c r="O1642">
        <f>Table1[[#This Row],[Unit_Price]]*Table1[[#This Row],[Quantity]]</f>
        <v>80</v>
      </c>
    </row>
    <row r="1643" spans="1:15" x14ac:dyDescent="0.3">
      <c r="A1643" t="s">
        <v>3394</v>
      </c>
      <c r="B1643" t="s">
        <v>1258</v>
      </c>
      <c r="C1643" t="s">
        <v>1015</v>
      </c>
      <c r="D1643" t="s">
        <v>1048</v>
      </c>
      <c r="E1643">
        <v>1</v>
      </c>
      <c r="F1643">
        <f>_xlfn.XLOOKUP(Table1[[#This Row],[ProductID]],Products!A:A,Products!D:D,,0)</f>
        <v>120</v>
      </c>
      <c r="I1643">
        <v>599</v>
      </c>
      <c r="J1643">
        <v>509</v>
      </c>
      <c r="K1643" t="s">
        <v>1092</v>
      </c>
      <c r="L1643">
        <v>509</v>
      </c>
      <c r="M1643" t="s">
        <v>1098</v>
      </c>
      <c r="N1643" t="s">
        <v>1099</v>
      </c>
      <c r="O1643">
        <f>Table1[[#This Row],[Unit_Price]]*Table1[[#This Row],[Quantity]]</f>
        <v>120</v>
      </c>
    </row>
    <row r="1644" spans="1:15" x14ac:dyDescent="0.3">
      <c r="A1644" t="s">
        <v>3395</v>
      </c>
      <c r="B1644" t="s">
        <v>3026</v>
      </c>
      <c r="C1644" t="s">
        <v>331</v>
      </c>
      <c r="D1644" t="s">
        <v>1057</v>
      </c>
      <c r="E1644">
        <v>1</v>
      </c>
      <c r="F1644">
        <f>_xlfn.XLOOKUP(Table1[[#This Row],[ProductID]],Products!A:A,Products!D:D,,0)</f>
        <v>130</v>
      </c>
      <c r="I1644">
        <v>549</v>
      </c>
      <c r="J1644">
        <v>549</v>
      </c>
      <c r="K1644" t="s">
        <v>1102</v>
      </c>
      <c r="L1644">
        <v>549</v>
      </c>
      <c r="M1644" t="s">
        <v>1093</v>
      </c>
      <c r="N1644" t="s">
        <v>1099</v>
      </c>
      <c r="O1644">
        <f>Table1[[#This Row],[Unit_Price]]*Table1[[#This Row],[Quantity]]</f>
        <v>130</v>
      </c>
    </row>
    <row r="1645" spans="1:15" x14ac:dyDescent="0.3">
      <c r="A1645" t="s">
        <v>3396</v>
      </c>
      <c r="B1645" t="s">
        <v>3397</v>
      </c>
      <c r="C1645" t="s">
        <v>1031</v>
      </c>
      <c r="D1645" t="s">
        <v>1075</v>
      </c>
      <c r="E1645">
        <v>1</v>
      </c>
      <c r="F1645">
        <f>_xlfn.XLOOKUP(Table1[[#This Row],[ProductID]],Products!A:A,Products!D:D,,0)</f>
        <v>80</v>
      </c>
      <c r="I1645">
        <v>499</v>
      </c>
      <c r="J1645">
        <v>499</v>
      </c>
      <c r="K1645" t="s">
        <v>1102</v>
      </c>
      <c r="L1645">
        <v>499</v>
      </c>
      <c r="M1645" t="s">
        <v>1098</v>
      </c>
      <c r="N1645" t="s">
        <v>1099</v>
      </c>
      <c r="O1645">
        <f>Table1[[#This Row],[Unit_Price]]*Table1[[#This Row],[Quantity]]</f>
        <v>80</v>
      </c>
    </row>
    <row r="1646" spans="1:15" x14ac:dyDescent="0.3">
      <c r="A1646" t="s">
        <v>3398</v>
      </c>
      <c r="B1646" t="s">
        <v>3399</v>
      </c>
      <c r="C1646" t="s">
        <v>985</v>
      </c>
      <c r="D1646" t="s">
        <v>1078</v>
      </c>
      <c r="E1646">
        <v>1</v>
      </c>
      <c r="F1646">
        <f>_xlfn.XLOOKUP(Table1[[#This Row],[ProductID]],Products!A:A,Products!D:D,,0)</f>
        <v>80</v>
      </c>
      <c r="I1646">
        <v>499</v>
      </c>
      <c r="J1646">
        <v>449</v>
      </c>
      <c r="K1646" t="s">
        <v>1107</v>
      </c>
      <c r="L1646">
        <v>449</v>
      </c>
      <c r="M1646" t="s">
        <v>1093</v>
      </c>
      <c r="N1646" t="s">
        <v>1094</v>
      </c>
      <c r="O1646">
        <f>Table1[[#This Row],[Unit_Price]]*Table1[[#This Row],[Quantity]]</f>
        <v>80</v>
      </c>
    </row>
    <row r="1647" spans="1:15" x14ac:dyDescent="0.3">
      <c r="A1647" t="s">
        <v>3400</v>
      </c>
      <c r="B1647" t="s">
        <v>1811</v>
      </c>
      <c r="C1647" t="s">
        <v>965</v>
      </c>
      <c r="D1647" t="s">
        <v>1075</v>
      </c>
      <c r="E1647">
        <v>1</v>
      </c>
      <c r="F1647">
        <f>_xlfn.XLOOKUP(Table1[[#This Row],[ProductID]],Products!A:A,Products!D:D,,0)</f>
        <v>80</v>
      </c>
      <c r="I1647">
        <v>499</v>
      </c>
      <c r="J1647">
        <v>424</v>
      </c>
      <c r="K1647" t="s">
        <v>1092</v>
      </c>
      <c r="L1647">
        <v>424</v>
      </c>
      <c r="M1647" t="s">
        <v>1093</v>
      </c>
      <c r="N1647" t="s">
        <v>1094</v>
      </c>
      <c r="O1647">
        <f>Table1[[#This Row],[Unit_Price]]*Table1[[#This Row],[Quantity]]</f>
        <v>80</v>
      </c>
    </row>
    <row r="1648" spans="1:15" x14ac:dyDescent="0.3">
      <c r="A1648" t="s">
        <v>3401</v>
      </c>
      <c r="B1648" t="s">
        <v>3314</v>
      </c>
      <c r="C1648" t="s">
        <v>1029</v>
      </c>
      <c r="D1648" t="s">
        <v>1068</v>
      </c>
      <c r="E1648">
        <v>4</v>
      </c>
      <c r="F1648">
        <f>_xlfn.XLOOKUP(Table1[[#This Row],[ProductID]],Products!A:A,Products!D:D,,0)</f>
        <v>180</v>
      </c>
      <c r="I1648">
        <v>449</v>
      </c>
      <c r="J1648">
        <v>404</v>
      </c>
      <c r="K1648" t="s">
        <v>1107</v>
      </c>
      <c r="L1648">
        <v>1616</v>
      </c>
      <c r="M1648" t="s">
        <v>1098</v>
      </c>
      <c r="N1648" t="s">
        <v>1099</v>
      </c>
      <c r="O1648">
        <f>Table1[[#This Row],[Unit_Price]]*Table1[[#This Row],[Quantity]]</f>
        <v>720</v>
      </c>
    </row>
    <row r="1649" spans="1:15" x14ac:dyDescent="0.3">
      <c r="A1649" t="s">
        <v>3402</v>
      </c>
      <c r="B1649" t="s">
        <v>1304</v>
      </c>
      <c r="C1649" t="s">
        <v>449</v>
      </c>
      <c r="D1649" t="s">
        <v>1053</v>
      </c>
      <c r="E1649">
        <v>1</v>
      </c>
      <c r="F1649">
        <f>_xlfn.XLOOKUP(Table1[[#This Row],[ProductID]],Products!A:A,Products!D:D,,0)</f>
        <v>200</v>
      </c>
      <c r="I1649">
        <v>899</v>
      </c>
      <c r="J1649">
        <v>899</v>
      </c>
      <c r="K1649" t="s">
        <v>1102</v>
      </c>
      <c r="L1649">
        <v>899</v>
      </c>
      <c r="M1649" t="s">
        <v>1093</v>
      </c>
      <c r="N1649" t="s">
        <v>1099</v>
      </c>
      <c r="O1649">
        <f>Table1[[#This Row],[Unit_Price]]*Table1[[#This Row],[Quantity]]</f>
        <v>200</v>
      </c>
    </row>
    <row r="1650" spans="1:15" x14ac:dyDescent="0.3">
      <c r="A1650" t="s">
        <v>3403</v>
      </c>
      <c r="B1650" t="s">
        <v>3404</v>
      </c>
      <c r="C1650" t="s">
        <v>499</v>
      </c>
      <c r="D1650" t="s">
        <v>1048</v>
      </c>
      <c r="E1650">
        <v>1</v>
      </c>
      <c r="F1650">
        <f>_xlfn.XLOOKUP(Table1[[#This Row],[ProductID]],Products!A:A,Products!D:D,,0)</f>
        <v>120</v>
      </c>
      <c r="I1650">
        <v>599</v>
      </c>
      <c r="J1650">
        <v>479</v>
      </c>
      <c r="K1650" t="s">
        <v>1097</v>
      </c>
      <c r="L1650">
        <v>479</v>
      </c>
      <c r="M1650" t="s">
        <v>1126</v>
      </c>
      <c r="N1650" t="s">
        <v>1099</v>
      </c>
      <c r="O1650">
        <f>Table1[[#This Row],[Unit_Price]]*Table1[[#This Row],[Quantity]]</f>
        <v>120</v>
      </c>
    </row>
    <row r="1651" spans="1:15" x14ac:dyDescent="0.3">
      <c r="A1651" t="s">
        <v>3405</v>
      </c>
      <c r="B1651" t="s">
        <v>2896</v>
      </c>
      <c r="C1651" t="s">
        <v>797</v>
      </c>
      <c r="D1651" t="s">
        <v>1055</v>
      </c>
      <c r="E1651">
        <v>3</v>
      </c>
      <c r="F1651">
        <f>_xlfn.XLOOKUP(Table1[[#This Row],[ProductID]],Products!A:A,Products!D:D,,0)</f>
        <v>75</v>
      </c>
      <c r="I1651">
        <v>299</v>
      </c>
      <c r="J1651">
        <v>269</v>
      </c>
      <c r="K1651" t="s">
        <v>1107</v>
      </c>
      <c r="L1651">
        <v>807</v>
      </c>
      <c r="M1651" t="s">
        <v>1093</v>
      </c>
      <c r="N1651" t="s">
        <v>1099</v>
      </c>
      <c r="O1651">
        <f>Table1[[#This Row],[Unit_Price]]*Table1[[#This Row],[Quantity]]</f>
        <v>225</v>
      </c>
    </row>
    <row r="1652" spans="1:15" x14ac:dyDescent="0.3">
      <c r="A1652" t="s">
        <v>3406</v>
      </c>
      <c r="B1652" t="s">
        <v>2431</v>
      </c>
      <c r="C1652" t="s">
        <v>891</v>
      </c>
      <c r="D1652" t="s">
        <v>1053</v>
      </c>
      <c r="E1652">
        <v>2</v>
      </c>
      <c r="F1652">
        <f>_xlfn.XLOOKUP(Table1[[#This Row],[ProductID]],Products!A:A,Products!D:D,,0)</f>
        <v>200</v>
      </c>
      <c r="I1652">
        <v>899</v>
      </c>
      <c r="J1652">
        <v>899</v>
      </c>
      <c r="K1652" t="s">
        <v>1102</v>
      </c>
      <c r="L1652">
        <v>1798</v>
      </c>
      <c r="M1652" t="s">
        <v>1098</v>
      </c>
      <c r="N1652" t="s">
        <v>1099</v>
      </c>
      <c r="O1652">
        <f>Table1[[#This Row],[Unit_Price]]*Table1[[#This Row],[Quantity]]</f>
        <v>400</v>
      </c>
    </row>
    <row r="1653" spans="1:15" x14ac:dyDescent="0.3">
      <c r="A1653" t="s">
        <v>3407</v>
      </c>
      <c r="B1653" t="s">
        <v>2297</v>
      </c>
      <c r="C1653" t="s">
        <v>475</v>
      </c>
      <c r="D1653" t="s">
        <v>1078</v>
      </c>
      <c r="E1653">
        <v>4</v>
      </c>
      <c r="F1653">
        <f>_xlfn.XLOOKUP(Table1[[#This Row],[ProductID]],Products!A:A,Products!D:D,,0)</f>
        <v>80</v>
      </c>
      <c r="I1653">
        <v>499</v>
      </c>
      <c r="J1653">
        <v>499</v>
      </c>
      <c r="K1653" t="s">
        <v>1102</v>
      </c>
      <c r="L1653">
        <v>1996</v>
      </c>
      <c r="M1653" t="s">
        <v>1098</v>
      </c>
      <c r="N1653" t="s">
        <v>1099</v>
      </c>
      <c r="O1653">
        <f>Table1[[#This Row],[Unit_Price]]*Table1[[#This Row],[Quantity]]</f>
        <v>320</v>
      </c>
    </row>
    <row r="1654" spans="1:15" x14ac:dyDescent="0.3">
      <c r="A1654" t="s">
        <v>3408</v>
      </c>
      <c r="B1654" t="s">
        <v>2751</v>
      </c>
      <c r="C1654" t="s">
        <v>47</v>
      </c>
      <c r="D1654" t="s">
        <v>1055</v>
      </c>
      <c r="E1654">
        <v>1</v>
      </c>
      <c r="F1654">
        <f>_xlfn.XLOOKUP(Table1[[#This Row],[ProductID]],Products!A:A,Products!D:D,,0)</f>
        <v>75</v>
      </c>
      <c r="I1654">
        <v>299</v>
      </c>
      <c r="J1654">
        <v>254</v>
      </c>
      <c r="K1654" t="s">
        <v>1092</v>
      </c>
      <c r="L1654">
        <v>254</v>
      </c>
      <c r="M1654" t="s">
        <v>1093</v>
      </c>
      <c r="N1654" t="s">
        <v>1094</v>
      </c>
      <c r="O1654">
        <f>Table1[[#This Row],[Unit_Price]]*Table1[[#This Row],[Quantity]]</f>
        <v>75</v>
      </c>
    </row>
    <row r="1655" spans="1:15" x14ac:dyDescent="0.3">
      <c r="A1655" t="s">
        <v>3409</v>
      </c>
      <c r="B1655" t="s">
        <v>1174</v>
      </c>
      <c r="C1655" t="s">
        <v>417</v>
      </c>
      <c r="D1655" t="s">
        <v>1073</v>
      </c>
      <c r="E1655">
        <v>1</v>
      </c>
      <c r="F1655">
        <f>_xlfn.XLOOKUP(Table1[[#This Row],[ProductID]],Products!A:A,Products!D:D,,0)</f>
        <v>100</v>
      </c>
      <c r="I1655">
        <v>349</v>
      </c>
      <c r="J1655">
        <v>314</v>
      </c>
      <c r="K1655" t="s">
        <v>1107</v>
      </c>
      <c r="L1655">
        <v>314</v>
      </c>
      <c r="M1655" t="s">
        <v>1098</v>
      </c>
      <c r="N1655" t="s">
        <v>1099</v>
      </c>
      <c r="O1655">
        <f>Table1[[#This Row],[Unit_Price]]*Table1[[#This Row],[Quantity]]</f>
        <v>100</v>
      </c>
    </row>
    <row r="1656" spans="1:15" x14ac:dyDescent="0.3">
      <c r="A1656" t="s">
        <v>3410</v>
      </c>
      <c r="B1656" t="s">
        <v>3411</v>
      </c>
      <c r="C1656" t="s">
        <v>517</v>
      </c>
      <c r="D1656" t="s">
        <v>1080</v>
      </c>
      <c r="E1656">
        <v>1</v>
      </c>
      <c r="F1656">
        <f>_xlfn.XLOOKUP(Table1[[#This Row],[ProductID]],Products!A:A,Products!D:D,,0)</f>
        <v>45</v>
      </c>
      <c r="I1656">
        <v>249</v>
      </c>
      <c r="J1656">
        <v>199</v>
      </c>
      <c r="K1656" t="s">
        <v>1097</v>
      </c>
      <c r="L1656">
        <v>199</v>
      </c>
      <c r="M1656" t="s">
        <v>1098</v>
      </c>
      <c r="N1656" t="s">
        <v>1099</v>
      </c>
      <c r="O1656">
        <f>Table1[[#This Row],[Unit_Price]]*Table1[[#This Row],[Quantity]]</f>
        <v>45</v>
      </c>
    </row>
    <row r="1657" spans="1:15" x14ac:dyDescent="0.3">
      <c r="A1657" t="s">
        <v>3412</v>
      </c>
      <c r="B1657" t="s">
        <v>2624</v>
      </c>
      <c r="C1657" t="s">
        <v>451</v>
      </c>
      <c r="D1657" t="s">
        <v>1064</v>
      </c>
      <c r="E1657">
        <v>3</v>
      </c>
      <c r="F1657">
        <f>_xlfn.XLOOKUP(Table1[[#This Row],[ProductID]],Products!A:A,Products!D:D,,0)</f>
        <v>160</v>
      </c>
      <c r="I1657">
        <v>699</v>
      </c>
      <c r="J1657">
        <v>699</v>
      </c>
      <c r="K1657" t="s">
        <v>1102</v>
      </c>
      <c r="L1657">
        <v>2097</v>
      </c>
      <c r="M1657" t="s">
        <v>1093</v>
      </c>
      <c r="N1657" t="s">
        <v>1099</v>
      </c>
      <c r="O1657">
        <f>Table1[[#This Row],[Unit_Price]]*Table1[[#This Row],[Quantity]]</f>
        <v>480</v>
      </c>
    </row>
    <row r="1658" spans="1:15" x14ac:dyDescent="0.3">
      <c r="A1658" t="s">
        <v>3413</v>
      </c>
      <c r="B1658" t="s">
        <v>1128</v>
      </c>
      <c r="C1658" t="s">
        <v>1031</v>
      </c>
      <c r="D1658" t="s">
        <v>1051</v>
      </c>
      <c r="E1658">
        <v>3</v>
      </c>
      <c r="F1658">
        <f>_xlfn.XLOOKUP(Table1[[#This Row],[ProductID]],Products!A:A,Products!D:D,,0)</f>
        <v>150</v>
      </c>
      <c r="I1658">
        <v>499</v>
      </c>
      <c r="J1658">
        <v>399</v>
      </c>
      <c r="K1658" t="s">
        <v>1097</v>
      </c>
      <c r="L1658">
        <v>1197</v>
      </c>
      <c r="M1658" t="s">
        <v>1098</v>
      </c>
      <c r="N1658" t="s">
        <v>1099</v>
      </c>
      <c r="O1658">
        <f>Table1[[#This Row],[Unit_Price]]*Table1[[#This Row],[Quantity]]</f>
        <v>450</v>
      </c>
    </row>
    <row r="1659" spans="1:15" x14ac:dyDescent="0.3">
      <c r="A1659" t="s">
        <v>3414</v>
      </c>
      <c r="B1659" t="s">
        <v>3415</v>
      </c>
      <c r="C1659" t="s">
        <v>841</v>
      </c>
      <c r="D1659" t="s">
        <v>1055</v>
      </c>
      <c r="E1659">
        <v>1</v>
      </c>
      <c r="F1659">
        <f>_xlfn.XLOOKUP(Table1[[#This Row],[ProductID]],Products!A:A,Products!D:D,,0)</f>
        <v>75</v>
      </c>
      <c r="I1659">
        <v>299</v>
      </c>
      <c r="J1659">
        <v>239</v>
      </c>
      <c r="K1659" t="s">
        <v>1097</v>
      </c>
      <c r="L1659">
        <v>239</v>
      </c>
      <c r="M1659" t="s">
        <v>1093</v>
      </c>
      <c r="N1659" t="s">
        <v>1094</v>
      </c>
      <c r="O1659">
        <f>Table1[[#This Row],[Unit_Price]]*Table1[[#This Row],[Quantity]]</f>
        <v>75</v>
      </c>
    </row>
    <row r="1660" spans="1:15" x14ac:dyDescent="0.3">
      <c r="A1660" t="s">
        <v>3416</v>
      </c>
      <c r="B1660" t="s">
        <v>1180</v>
      </c>
      <c r="C1660" t="s">
        <v>85</v>
      </c>
      <c r="D1660" t="s">
        <v>1075</v>
      </c>
      <c r="E1660">
        <v>1</v>
      </c>
      <c r="F1660">
        <f>_xlfn.XLOOKUP(Table1[[#This Row],[ProductID]],Products!A:A,Products!D:D,,0)</f>
        <v>80</v>
      </c>
      <c r="I1660">
        <v>499</v>
      </c>
      <c r="J1660">
        <v>449</v>
      </c>
      <c r="K1660" t="s">
        <v>1107</v>
      </c>
      <c r="L1660">
        <v>449</v>
      </c>
      <c r="M1660" t="s">
        <v>1093</v>
      </c>
      <c r="N1660" t="s">
        <v>1099</v>
      </c>
      <c r="O1660">
        <f>Table1[[#This Row],[Unit_Price]]*Table1[[#This Row],[Quantity]]</f>
        <v>80</v>
      </c>
    </row>
    <row r="1661" spans="1:15" x14ac:dyDescent="0.3">
      <c r="A1661" t="s">
        <v>3417</v>
      </c>
      <c r="B1661" t="s">
        <v>1575</v>
      </c>
      <c r="C1661" t="s">
        <v>963</v>
      </c>
      <c r="D1661" t="s">
        <v>1064</v>
      </c>
      <c r="E1661">
        <v>3</v>
      </c>
      <c r="F1661">
        <f>_xlfn.XLOOKUP(Table1[[#This Row],[ProductID]],Products!A:A,Products!D:D,,0)</f>
        <v>160</v>
      </c>
      <c r="I1661">
        <v>699</v>
      </c>
      <c r="J1661">
        <v>559</v>
      </c>
      <c r="K1661" t="s">
        <v>1097</v>
      </c>
      <c r="L1661">
        <v>1677</v>
      </c>
      <c r="M1661" t="s">
        <v>1126</v>
      </c>
      <c r="N1661" t="s">
        <v>1099</v>
      </c>
      <c r="O1661">
        <f>Table1[[#This Row],[Unit_Price]]*Table1[[#This Row],[Quantity]]</f>
        <v>480</v>
      </c>
    </row>
    <row r="1662" spans="1:15" x14ac:dyDescent="0.3">
      <c r="A1662" t="s">
        <v>3418</v>
      </c>
      <c r="B1662" t="s">
        <v>1956</v>
      </c>
      <c r="C1662" t="s">
        <v>577</v>
      </c>
      <c r="D1662" t="s">
        <v>1080</v>
      </c>
      <c r="E1662">
        <v>2</v>
      </c>
      <c r="F1662">
        <f>_xlfn.XLOOKUP(Table1[[#This Row],[ProductID]],Products!A:A,Products!D:D,,0)</f>
        <v>45</v>
      </c>
      <c r="I1662">
        <v>249</v>
      </c>
      <c r="J1662">
        <v>224</v>
      </c>
      <c r="K1662" t="s">
        <v>1107</v>
      </c>
      <c r="L1662">
        <v>448</v>
      </c>
      <c r="M1662" t="s">
        <v>1098</v>
      </c>
      <c r="N1662" t="s">
        <v>1099</v>
      </c>
      <c r="O1662">
        <f>Table1[[#This Row],[Unit_Price]]*Table1[[#This Row],[Quantity]]</f>
        <v>90</v>
      </c>
    </row>
    <row r="1663" spans="1:15" x14ac:dyDescent="0.3">
      <c r="A1663" t="s">
        <v>3419</v>
      </c>
      <c r="B1663" t="s">
        <v>1851</v>
      </c>
      <c r="C1663" t="s">
        <v>1035</v>
      </c>
      <c r="D1663" t="s">
        <v>1071</v>
      </c>
      <c r="E1663">
        <v>1</v>
      </c>
      <c r="F1663">
        <f>_xlfn.XLOOKUP(Table1[[#This Row],[ProductID]],Products!A:A,Products!D:D,,0)</f>
        <v>125</v>
      </c>
      <c r="I1663">
        <v>399</v>
      </c>
      <c r="J1663">
        <v>359</v>
      </c>
      <c r="K1663" t="s">
        <v>1107</v>
      </c>
      <c r="L1663">
        <v>359</v>
      </c>
      <c r="M1663" t="s">
        <v>1093</v>
      </c>
      <c r="N1663" t="s">
        <v>1099</v>
      </c>
      <c r="O1663">
        <f>Table1[[#This Row],[Unit_Price]]*Table1[[#This Row],[Quantity]]</f>
        <v>125</v>
      </c>
    </row>
    <row r="1664" spans="1:15" x14ac:dyDescent="0.3">
      <c r="A1664" t="s">
        <v>3420</v>
      </c>
      <c r="B1664" t="s">
        <v>2155</v>
      </c>
      <c r="C1664" t="s">
        <v>197</v>
      </c>
      <c r="D1664" t="s">
        <v>1051</v>
      </c>
      <c r="E1664">
        <v>4</v>
      </c>
      <c r="F1664">
        <f>_xlfn.XLOOKUP(Table1[[#This Row],[ProductID]],Products!A:A,Products!D:D,,0)</f>
        <v>150</v>
      </c>
      <c r="I1664">
        <v>499</v>
      </c>
      <c r="J1664">
        <v>499</v>
      </c>
      <c r="K1664" t="s">
        <v>1102</v>
      </c>
      <c r="L1664">
        <v>1996</v>
      </c>
      <c r="M1664" t="s">
        <v>1093</v>
      </c>
      <c r="N1664" t="s">
        <v>1123</v>
      </c>
      <c r="O1664">
        <f>Table1[[#This Row],[Unit_Price]]*Table1[[#This Row],[Quantity]]</f>
        <v>600</v>
      </c>
    </row>
    <row r="1665" spans="1:15" x14ac:dyDescent="0.3">
      <c r="A1665" t="s">
        <v>3421</v>
      </c>
      <c r="B1665" t="s">
        <v>1486</v>
      </c>
      <c r="C1665" t="s">
        <v>154</v>
      </c>
      <c r="D1665" t="s">
        <v>1059</v>
      </c>
      <c r="E1665">
        <v>1</v>
      </c>
      <c r="F1665">
        <f>_xlfn.XLOOKUP(Table1[[#This Row],[ProductID]],Products!A:A,Products!D:D,,0)</f>
        <v>110</v>
      </c>
      <c r="I1665">
        <v>399</v>
      </c>
      <c r="J1665">
        <v>339</v>
      </c>
      <c r="K1665" t="s">
        <v>1092</v>
      </c>
      <c r="L1665">
        <v>339</v>
      </c>
      <c r="M1665" t="s">
        <v>1098</v>
      </c>
      <c r="N1665" t="s">
        <v>1099</v>
      </c>
      <c r="O1665">
        <f>Table1[[#This Row],[Unit_Price]]*Table1[[#This Row],[Quantity]]</f>
        <v>110</v>
      </c>
    </row>
    <row r="1666" spans="1:15" x14ac:dyDescent="0.3">
      <c r="A1666" t="s">
        <v>3422</v>
      </c>
      <c r="B1666" t="s">
        <v>1154</v>
      </c>
      <c r="C1666" t="s">
        <v>633</v>
      </c>
      <c r="D1666" t="s">
        <v>1075</v>
      </c>
      <c r="E1666">
        <v>1</v>
      </c>
      <c r="F1666">
        <f>_xlfn.XLOOKUP(Table1[[#This Row],[ProductID]],Products!A:A,Products!D:D,,0)</f>
        <v>80</v>
      </c>
      <c r="I1666">
        <v>499</v>
      </c>
      <c r="J1666">
        <v>449</v>
      </c>
      <c r="K1666" t="s">
        <v>1107</v>
      </c>
      <c r="L1666">
        <v>449</v>
      </c>
      <c r="M1666" t="s">
        <v>1093</v>
      </c>
      <c r="N1666" t="s">
        <v>1099</v>
      </c>
      <c r="O1666">
        <f>Table1[[#This Row],[Unit_Price]]*Table1[[#This Row],[Quantity]]</f>
        <v>80</v>
      </c>
    </row>
    <row r="1667" spans="1:15" x14ac:dyDescent="0.3">
      <c r="A1667" t="s">
        <v>3423</v>
      </c>
      <c r="B1667" t="s">
        <v>2224</v>
      </c>
      <c r="C1667" t="s">
        <v>363</v>
      </c>
      <c r="D1667" t="s">
        <v>1048</v>
      </c>
      <c r="E1667">
        <v>1</v>
      </c>
      <c r="F1667">
        <f>_xlfn.XLOOKUP(Table1[[#This Row],[ProductID]],Products!A:A,Products!D:D,,0)</f>
        <v>120</v>
      </c>
      <c r="I1667">
        <v>599</v>
      </c>
      <c r="J1667">
        <v>509</v>
      </c>
      <c r="K1667" t="s">
        <v>1092</v>
      </c>
      <c r="L1667">
        <v>509</v>
      </c>
      <c r="M1667" t="s">
        <v>1098</v>
      </c>
      <c r="N1667" t="s">
        <v>1099</v>
      </c>
      <c r="O1667">
        <f>Table1[[#This Row],[Unit_Price]]*Table1[[#This Row],[Quantity]]</f>
        <v>120</v>
      </c>
    </row>
    <row r="1668" spans="1:15" x14ac:dyDescent="0.3">
      <c r="A1668" t="s">
        <v>3424</v>
      </c>
      <c r="B1668" t="s">
        <v>1278</v>
      </c>
      <c r="C1668" t="s">
        <v>753</v>
      </c>
      <c r="D1668" t="s">
        <v>1075</v>
      </c>
      <c r="E1668">
        <v>3</v>
      </c>
      <c r="F1668">
        <f>_xlfn.XLOOKUP(Table1[[#This Row],[ProductID]],Products!A:A,Products!D:D,,0)</f>
        <v>80</v>
      </c>
      <c r="I1668">
        <v>499</v>
      </c>
      <c r="J1668">
        <v>399</v>
      </c>
      <c r="K1668" t="s">
        <v>1097</v>
      </c>
      <c r="L1668">
        <v>1197</v>
      </c>
      <c r="M1668" t="s">
        <v>1098</v>
      </c>
      <c r="N1668" t="s">
        <v>1099</v>
      </c>
      <c r="O1668">
        <f>Table1[[#This Row],[Unit_Price]]*Table1[[#This Row],[Quantity]]</f>
        <v>240</v>
      </c>
    </row>
    <row r="1669" spans="1:15" x14ac:dyDescent="0.3">
      <c r="A1669" t="s">
        <v>3425</v>
      </c>
      <c r="B1669" t="s">
        <v>1965</v>
      </c>
      <c r="C1669" t="s">
        <v>753</v>
      </c>
      <c r="D1669" t="s">
        <v>1075</v>
      </c>
      <c r="E1669">
        <v>1</v>
      </c>
      <c r="F1669">
        <f>_xlfn.XLOOKUP(Table1[[#This Row],[ProductID]],Products!A:A,Products!D:D,,0)</f>
        <v>80</v>
      </c>
      <c r="I1669">
        <v>499</v>
      </c>
      <c r="J1669">
        <v>449</v>
      </c>
      <c r="K1669" t="s">
        <v>1107</v>
      </c>
      <c r="L1669">
        <v>449</v>
      </c>
      <c r="M1669" t="s">
        <v>1093</v>
      </c>
      <c r="N1669" t="s">
        <v>1123</v>
      </c>
      <c r="O1669">
        <f>Table1[[#This Row],[Unit_Price]]*Table1[[#This Row],[Quantity]]</f>
        <v>80</v>
      </c>
    </row>
    <row r="1670" spans="1:15" x14ac:dyDescent="0.3">
      <c r="A1670" t="s">
        <v>3426</v>
      </c>
      <c r="B1670" t="s">
        <v>2472</v>
      </c>
      <c r="C1670" t="s">
        <v>703</v>
      </c>
      <c r="D1670" t="s">
        <v>1062</v>
      </c>
      <c r="E1670">
        <v>2</v>
      </c>
      <c r="F1670">
        <f>_xlfn.XLOOKUP(Table1[[#This Row],[ProductID]],Products!A:A,Products!D:D,,0)</f>
        <v>95</v>
      </c>
      <c r="I1670">
        <v>349</v>
      </c>
      <c r="J1670">
        <v>349</v>
      </c>
      <c r="K1670" t="s">
        <v>1102</v>
      </c>
      <c r="L1670">
        <v>698</v>
      </c>
      <c r="M1670" t="s">
        <v>1126</v>
      </c>
      <c r="N1670" t="s">
        <v>1099</v>
      </c>
      <c r="O1670">
        <f>Table1[[#This Row],[Unit_Price]]*Table1[[#This Row],[Quantity]]</f>
        <v>190</v>
      </c>
    </row>
    <row r="1671" spans="1:15" x14ac:dyDescent="0.3">
      <c r="A1671" t="s">
        <v>3427</v>
      </c>
      <c r="B1671" t="s">
        <v>2882</v>
      </c>
      <c r="C1671" t="s">
        <v>645</v>
      </c>
      <c r="D1671" t="s">
        <v>1051</v>
      </c>
      <c r="E1671">
        <v>4</v>
      </c>
      <c r="F1671">
        <f>_xlfn.XLOOKUP(Table1[[#This Row],[ProductID]],Products!A:A,Products!D:D,,0)</f>
        <v>150</v>
      </c>
      <c r="I1671">
        <v>499</v>
      </c>
      <c r="J1671">
        <v>499</v>
      </c>
      <c r="K1671" t="s">
        <v>1102</v>
      </c>
      <c r="L1671">
        <v>1996</v>
      </c>
      <c r="M1671" t="s">
        <v>1093</v>
      </c>
      <c r="N1671" t="s">
        <v>1099</v>
      </c>
      <c r="O1671">
        <f>Table1[[#This Row],[Unit_Price]]*Table1[[#This Row],[Quantity]]</f>
        <v>600</v>
      </c>
    </row>
    <row r="1672" spans="1:15" x14ac:dyDescent="0.3">
      <c r="A1672" t="s">
        <v>3428</v>
      </c>
      <c r="B1672" t="s">
        <v>2431</v>
      </c>
      <c r="C1672" t="s">
        <v>865</v>
      </c>
      <c r="D1672" t="s">
        <v>1051</v>
      </c>
      <c r="E1672">
        <v>1</v>
      </c>
      <c r="F1672">
        <f>_xlfn.XLOOKUP(Table1[[#This Row],[ProductID]],Products!A:A,Products!D:D,,0)</f>
        <v>150</v>
      </c>
      <c r="I1672">
        <v>499</v>
      </c>
      <c r="J1672">
        <v>449</v>
      </c>
      <c r="K1672" t="s">
        <v>1107</v>
      </c>
      <c r="L1672">
        <v>449</v>
      </c>
      <c r="M1672" t="s">
        <v>1098</v>
      </c>
      <c r="N1672" t="s">
        <v>1099</v>
      </c>
      <c r="O1672">
        <f>Table1[[#This Row],[Unit_Price]]*Table1[[#This Row],[Quantity]]</f>
        <v>150</v>
      </c>
    </row>
    <row r="1673" spans="1:15" x14ac:dyDescent="0.3">
      <c r="A1673" t="s">
        <v>3429</v>
      </c>
      <c r="B1673" t="s">
        <v>1628</v>
      </c>
      <c r="C1673" t="s">
        <v>963</v>
      </c>
      <c r="D1673" t="s">
        <v>1055</v>
      </c>
      <c r="E1673">
        <v>1</v>
      </c>
      <c r="F1673">
        <f>_xlfn.XLOOKUP(Table1[[#This Row],[ProductID]],Products!A:A,Products!D:D,,0)</f>
        <v>75</v>
      </c>
      <c r="I1673">
        <v>299</v>
      </c>
      <c r="J1673">
        <v>254</v>
      </c>
      <c r="K1673" t="s">
        <v>1092</v>
      </c>
      <c r="L1673">
        <v>254</v>
      </c>
      <c r="M1673" t="s">
        <v>1098</v>
      </c>
      <c r="N1673" t="s">
        <v>1099</v>
      </c>
      <c r="O1673">
        <f>Table1[[#This Row],[Unit_Price]]*Table1[[#This Row],[Quantity]]</f>
        <v>75</v>
      </c>
    </row>
    <row r="1674" spans="1:15" x14ac:dyDescent="0.3">
      <c r="A1674" t="s">
        <v>3430</v>
      </c>
      <c r="B1674" t="s">
        <v>1595</v>
      </c>
      <c r="C1674" t="s">
        <v>673</v>
      </c>
      <c r="D1674" t="s">
        <v>1073</v>
      </c>
      <c r="E1674">
        <v>1</v>
      </c>
      <c r="F1674">
        <f>_xlfn.XLOOKUP(Table1[[#This Row],[ProductID]],Products!A:A,Products!D:D,,0)</f>
        <v>100</v>
      </c>
      <c r="I1674">
        <v>349</v>
      </c>
      <c r="J1674">
        <v>279</v>
      </c>
      <c r="K1674" t="s">
        <v>1097</v>
      </c>
      <c r="L1674">
        <v>279</v>
      </c>
      <c r="M1674" t="s">
        <v>1093</v>
      </c>
      <c r="N1674" t="s">
        <v>1099</v>
      </c>
      <c r="O1674">
        <f>Table1[[#This Row],[Unit_Price]]*Table1[[#This Row],[Quantity]]</f>
        <v>100</v>
      </c>
    </row>
    <row r="1675" spans="1:15" x14ac:dyDescent="0.3">
      <c r="A1675" t="s">
        <v>3431</v>
      </c>
      <c r="B1675" t="s">
        <v>2227</v>
      </c>
      <c r="C1675" t="s">
        <v>551</v>
      </c>
      <c r="D1675" t="s">
        <v>1055</v>
      </c>
      <c r="E1675">
        <v>1</v>
      </c>
      <c r="F1675">
        <f>_xlfn.XLOOKUP(Table1[[#This Row],[ProductID]],Products!A:A,Products!D:D,,0)</f>
        <v>75</v>
      </c>
      <c r="I1675">
        <v>299</v>
      </c>
      <c r="J1675">
        <v>299</v>
      </c>
      <c r="K1675" t="s">
        <v>1102</v>
      </c>
      <c r="L1675">
        <v>299</v>
      </c>
      <c r="M1675" t="s">
        <v>1093</v>
      </c>
      <c r="N1675" t="s">
        <v>1099</v>
      </c>
      <c r="O1675">
        <f>Table1[[#This Row],[Unit_Price]]*Table1[[#This Row],[Quantity]]</f>
        <v>75</v>
      </c>
    </row>
    <row r="1676" spans="1:15" x14ac:dyDescent="0.3">
      <c r="A1676" t="s">
        <v>3432</v>
      </c>
      <c r="B1676" t="s">
        <v>1130</v>
      </c>
      <c r="C1676" t="s">
        <v>907</v>
      </c>
      <c r="D1676" t="s">
        <v>1066</v>
      </c>
      <c r="E1676">
        <v>2</v>
      </c>
      <c r="F1676">
        <f>_xlfn.XLOOKUP(Table1[[#This Row],[ProductID]],Products!A:A,Products!D:D,,0)</f>
        <v>140</v>
      </c>
      <c r="I1676">
        <v>499</v>
      </c>
      <c r="J1676">
        <v>499</v>
      </c>
      <c r="K1676" t="s">
        <v>1102</v>
      </c>
      <c r="L1676">
        <v>998</v>
      </c>
      <c r="M1676" t="s">
        <v>1093</v>
      </c>
      <c r="N1676" t="s">
        <v>1099</v>
      </c>
      <c r="O1676">
        <f>Table1[[#This Row],[Unit_Price]]*Table1[[#This Row],[Quantity]]</f>
        <v>280</v>
      </c>
    </row>
    <row r="1677" spans="1:15" x14ac:dyDescent="0.3">
      <c r="A1677" t="s">
        <v>3433</v>
      </c>
      <c r="B1677" t="s">
        <v>3333</v>
      </c>
      <c r="C1677" t="s">
        <v>769</v>
      </c>
      <c r="D1677" t="s">
        <v>1059</v>
      </c>
      <c r="E1677">
        <v>2</v>
      </c>
      <c r="F1677">
        <f>_xlfn.XLOOKUP(Table1[[#This Row],[ProductID]],Products!A:A,Products!D:D,,0)</f>
        <v>110</v>
      </c>
      <c r="I1677">
        <v>399</v>
      </c>
      <c r="J1677">
        <v>399</v>
      </c>
      <c r="K1677" t="s">
        <v>1102</v>
      </c>
      <c r="L1677">
        <v>798</v>
      </c>
      <c r="M1677" t="s">
        <v>1126</v>
      </c>
      <c r="N1677" t="s">
        <v>1099</v>
      </c>
      <c r="O1677">
        <f>Table1[[#This Row],[Unit_Price]]*Table1[[#This Row],[Quantity]]</f>
        <v>220</v>
      </c>
    </row>
    <row r="1678" spans="1:15" x14ac:dyDescent="0.3">
      <c r="A1678" t="s">
        <v>3434</v>
      </c>
      <c r="B1678" t="s">
        <v>3435</v>
      </c>
      <c r="C1678" t="s">
        <v>771</v>
      </c>
      <c r="D1678" t="s">
        <v>1057</v>
      </c>
      <c r="E1678">
        <v>2</v>
      </c>
      <c r="F1678">
        <f>_xlfn.XLOOKUP(Table1[[#This Row],[ProductID]],Products!A:A,Products!D:D,,0)</f>
        <v>130</v>
      </c>
      <c r="I1678">
        <v>549</v>
      </c>
      <c r="J1678">
        <v>494</v>
      </c>
      <c r="K1678" t="s">
        <v>1107</v>
      </c>
      <c r="L1678">
        <v>988</v>
      </c>
      <c r="M1678" t="s">
        <v>1093</v>
      </c>
      <c r="N1678" t="s">
        <v>1094</v>
      </c>
      <c r="O1678">
        <f>Table1[[#This Row],[Unit_Price]]*Table1[[#This Row],[Quantity]]</f>
        <v>260</v>
      </c>
    </row>
    <row r="1679" spans="1:15" x14ac:dyDescent="0.3">
      <c r="A1679" t="s">
        <v>3436</v>
      </c>
      <c r="B1679" t="s">
        <v>3437</v>
      </c>
      <c r="C1679" t="s">
        <v>34</v>
      </c>
      <c r="D1679" t="s">
        <v>1073</v>
      </c>
      <c r="E1679">
        <v>1</v>
      </c>
      <c r="F1679">
        <f>_xlfn.XLOOKUP(Table1[[#This Row],[ProductID]],Products!A:A,Products!D:D,,0)</f>
        <v>100</v>
      </c>
      <c r="I1679">
        <v>349</v>
      </c>
      <c r="J1679">
        <v>297</v>
      </c>
      <c r="K1679" t="s">
        <v>1092</v>
      </c>
      <c r="L1679">
        <v>297</v>
      </c>
      <c r="M1679" t="s">
        <v>1118</v>
      </c>
      <c r="N1679" t="s">
        <v>1099</v>
      </c>
      <c r="O1679">
        <f>Table1[[#This Row],[Unit_Price]]*Table1[[#This Row],[Quantity]]</f>
        <v>100</v>
      </c>
    </row>
    <row r="1680" spans="1:15" x14ac:dyDescent="0.3">
      <c r="A1680" t="s">
        <v>3438</v>
      </c>
      <c r="B1680" t="s">
        <v>3215</v>
      </c>
      <c r="C1680" t="s">
        <v>731</v>
      </c>
      <c r="D1680" t="s">
        <v>1066</v>
      </c>
      <c r="E1680">
        <v>2</v>
      </c>
      <c r="F1680">
        <f>_xlfn.XLOOKUP(Table1[[#This Row],[ProductID]],Products!A:A,Products!D:D,,0)</f>
        <v>140</v>
      </c>
      <c r="I1680">
        <v>499</v>
      </c>
      <c r="J1680">
        <v>424</v>
      </c>
      <c r="K1680" t="s">
        <v>1092</v>
      </c>
      <c r="L1680">
        <v>848</v>
      </c>
      <c r="M1680" t="s">
        <v>1098</v>
      </c>
      <c r="N1680" t="s">
        <v>1099</v>
      </c>
      <c r="O1680">
        <f>Table1[[#This Row],[Unit_Price]]*Table1[[#This Row],[Quantity]]</f>
        <v>280</v>
      </c>
    </row>
    <row r="1681" spans="1:15" x14ac:dyDescent="0.3">
      <c r="A1681" t="s">
        <v>3439</v>
      </c>
      <c r="B1681" t="s">
        <v>1529</v>
      </c>
      <c r="C1681" t="s">
        <v>679</v>
      </c>
      <c r="D1681" t="s">
        <v>1059</v>
      </c>
      <c r="E1681">
        <v>3</v>
      </c>
      <c r="F1681">
        <f>_xlfn.XLOOKUP(Table1[[#This Row],[ProductID]],Products!A:A,Products!D:D,,0)</f>
        <v>110</v>
      </c>
      <c r="I1681">
        <v>399</v>
      </c>
      <c r="J1681">
        <v>319</v>
      </c>
      <c r="K1681" t="s">
        <v>1097</v>
      </c>
      <c r="L1681">
        <v>957</v>
      </c>
      <c r="M1681" t="s">
        <v>1098</v>
      </c>
      <c r="N1681" t="s">
        <v>1099</v>
      </c>
      <c r="O1681">
        <f>Table1[[#This Row],[Unit_Price]]*Table1[[#This Row],[Quantity]]</f>
        <v>330</v>
      </c>
    </row>
    <row r="1682" spans="1:15" x14ac:dyDescent="0.3">
      <c r="A1682" t="s">
        <v>3440</v>
      </c>
      <c r="B1682" t="s">
        <v>2377</v>
      </c>
      <c r="C1682" t="s">
        <v>655</v>
      </c>
      <c r="D1682" t="s">
        <v>1075</v>
      </c>
      <c r="E1682">
        <v>3</v>
      </c>
      <c r="F1682">
        <f>_xlfn.XLOOKUP(Table1[[#This Row],[ProductID]],Products!A:A,Products!D:D,,0)</f>
        <v>80</v>
      </c>
      <c r="I1682">
        <v>499</v>
      </c>
      <c r="J1682">
        <v>449</v>
      </c>
      <c r="K1682" t="s">
        <v>1107</v>
      </c>
      <c r="L1682">
        <v>1347</v>
      </c>
      <c r="M1682" t="s">
        <v>1098</v>
      </c>
      <c r="N1682" t="s">
        <v>1123</v>
      </c>
      <c r="O1682">
        <f>Table1[[#This Row],[Unit_Price]]*Table1[[#This Row],[Quantity]]</f>
        <v>240</v>
      </c>
    </row>
    <row r="1683" spans="1:15" x14ac:dyDescent="0.3">
      <c r="A1683" t="s">
        <v>3441</v>
      </c>
      <c r="B1683" t="s">
        <v>1862</v>
      </c>
      <c r="C1683" t="s">
        <v>1001</v>
      </c>
      <c r="D1683" t="s">
        <v>1051</v>
      </c>
      <c r="E1683">
        <v>1</v>
      </c>
      <c r="F1683">
        <f>_xlfn.XLOOKUP(Table1[[#This Row],[ProductID]],Products!A:A,Products!D:D,,0)</f>
        <v>150</v>
      </c>
      <c r="I1683">
        <v>499</v>
      </c>
      <c r="J1683">
        <v>499</v>
      </c>
      <c r="K1683" t="s">
        <v>1102</v>
      </c>
      <c r="L1683">
        <v>499</v>
      </c>
      <c r="M1683" t="s">
        <v>1093</v>
      </c>
      <c r="N1683" t="s">
        <v>1099</v>
      </c>
      <c r="O1683">
        <f>Table1[[#This Row],[Unit_Price]]*Table1[[#This Row],[Quantity]]</f>
        <v>150</v>
      </c>
    </row>
    <row r="1684" spans="1:15" x14ac:dyDescent="0.3">
      <c r="A1684" t="s">
        <v>3442</v>
      </c>
      <c r="B1684" t="s">
        <v>3435</v>
      </c>
      <c r="C1684" t="s">
        <v>102</v>
      </c>
      <c r="D1684" t="s">
        <v>1055</v>
      </c>
      <c r="E1684">
        <v>1</v>
      </c>
      <c r="F1684">
        <f>_xlfn.XLOOKUP(Table1[[#This Row],[ProductID]],Products!A:A,Products!D:D,,0)</f>
        <v>75</v>
      </c>
      <c r="I1684">
        <v>299</v>
      </c>
      <c r="J1684">
        <v>269</v>
      </c>
      <c r="K1684" t="s">
        <v>1107</v>
      </c>
      <c r="L1684">
        <v>269</v>
      </c>
      <c r="M1684" t="s">
        <v>1126</v>
      </c>
      <c r="N1684" t="s">
        <v>1099</v>
      </c>
      <c r="O1684">
        <f>Table1[[#This Row],[Unit_Price]]*Table1[[#This Row],[Quantity]]</f>
        <v>75</v>
      </c>
    </row>
    <row r="1685" spans="1:15" x14ac:dyDescent="0.3">
      <c r="A1685" t="s">
        <v>3443</v>
      </c>
      <c r="B1685" t="s">
        <v>1364</v>
      </c>
      <c r="C1685" t="s">
        <v>563</v>
      </c>
      <c r="D1685" t="s">
        <v>1057</v>
      </c>
      <c r="E1685">
        <v>1</v>
      </c>
      <c r="F1685">
        <f>_xlfn.XLOOKUP(Table1[[#This Row],[ProductID]],Products!A:A,Products!D:D,,0)</f>
        <v>130</v>
      </c>
      <c r="I1685">
        <v>549</v>
      </c>
      <c r="J1685">
        <v>494</v>
      </c>
      <c r="K1685" t="s">
        <v>1107</v>
      </c>
      <c r="L1685">
        <v>494</v>
      </c>
      <c r="M1685" t="s">
        <v>1093</v>
      </c>
      <c r="N1685" t="s">
        <v>1099</v>
      </c>
      <c r="O1685">
        <f>Table1[[#This Row],[Unit_Price]]*Table1[[#This Row],[Quantity]]</f>
        <v>130</v>
      </c>
    </row>
    <row r="1686" spans="1:15" x14ac:dyDescent="0.3">
      <c r="A1686" t="s">
        <v>3444</v>
      </c>
      <c r="B1686" t="s">
        <v>2557</v>
      </c>
      <c r="C1686" t="s">
        <v>513</v>
      </c>
      <c r="D1686" t="s">
        <v>1048</v>
      </c>
      <c r="E1686">
        <v>1</v>
      </c>
      <c r="F1686">
        <f>_xlfn.XLOOKUP(Table1[[#This Row],[ProductID]],Products!A:A,Products!D:D,,0)</f>
        <v>120</v>
      </c>
      <c r="I1686">
        <v>599</v>
      </c>
      <c r="J1686">
        <v>599</v>
      </c>
      <c r="K1686" t="s">
        <v>1102</v>
      </c>
      <c r="L1686">
        <v>599</v>
      </c>
      <c r="M1686" t="s">
        <v>1093</v>
      </c>
      <c r="N1686" t="s">
        <v>1099</v>
      </c>
      <c r="O1686">
        <f>Table1[[#This Row],[Unit_Price]]*Table1[[#This Row],[Quantity]]</f>
        <v>120</v>
      </c>
    </row>
    <row r="1687" spans="1:15" x14ac:dyDescent="0.3">
      <c r="A1687" t="s">
        <v>3445</v>
      </c>
      <c r="B1687" t="s">
        <v>2810</v>
      </c>
      <c r="C1687" t="s">
        <v>761</v>
      </c>
      <c r="D1687" t="s">
        <v>1051</v>
      </c>
      <c r="E1687">
        <v>1</v>
      </c>
      <c r="F1687">
        <f>_xlfn.XLOOKUP(Table1[[#This Row],[ProductID]],Products!A:A,Products!D:D,,0)</f>
        <v>150</v>
      </c>
      <c r="I1687">
        <v>499</v>
      </c>
      <c r="J1687">
        <v>399</v>
      </c>
      <c r="K1687" t="s">
        <v>1097</v>
      </c>
      <c r="L1687">
        <v>399</v>
      </c>
      <c r="M1687" t="s">
        <v>1098</v>
      </c>
      <c r="N1687" t="s">
        <v>1099</v>
      </c>
      <c r="O1687">
        <f>Table1[[#This Row],[Unit_Price]]*Table1[[#This Row],[Quantity]]</f>
        <v>150</v>
      </c>
    </row>
    <row r="1688" spans="1:15" x14ac:dyDescent="0.3">
      <c r="A1688" t="s">
        <v>3446</v>
      </c>
      <c r="B1688" t="s">
        <v>2454</v>
      </c>
      <c r="C1688" t="s">
        <v>543</v>
      </c>
      <c r="D1688" t="s">
        <v>1075</v>
      </c>
      <c r="E1688">
        <v>1</v>
      </c>
      <c r="F1688">
        <f>_xlfn.XLOOKUP(Table1[[#This Row],[ProductID]],Products!A:A,Products!D:D,,0)</f>
        <v>80</v>
      </c>
      <c r="I1688">
        <v>499</v>
      </c>
      <c r="J1688">
        <v>424</v>
      </c>
      <c r="K1688" t="s">
        <v>1092</v>
      </c>
      <c r="L1688">
        <v>424</v>
      </c>
      <c r="M1688" t="s">
        <v>1098</v>
      </c>
      <c r="N1688" t="s">
        <v>1099</v>
      </c>
      <c r="O1688">
        <f>Table1[[#This Row],[Unit_Price]]*Table1[[#This Row],[Quantity]]</f>
        <v>80</v>
      </c>
    </row>
    <row r="1689" spans="1:15" x14ac:dyDescent="0.3">
      <c r="A1689" t="s">
        <v>3447</v>
      </c>
      <c r="B1689" t="s">
        <v>3448</v>
      </c>
      <c r="C1689" t="s">
        <v>595</v>
      </c>
      <c r="D1689" t="s">
        <v>1073</v>
      </c>
      <c r="E1689">
        <v>1</v>
      </c>
      <c r="F1689">
        <f>_xlfn.XLOOKUP(Table1[[#This Row],[ProductID]],Products!A:A,Products!D:D,,0)</f>
        <v>100</v>
      </c>
      <c r="I1689">
        <v>349</v>
      </c>
      <c r="J1689">
        <v>297</v>
      </c>
      <c r="K1689" t="s">
        <v>1092</v>
      </c>
      <c r="L1689">
        <v>297</v>
      </c>
      <c r="M1689" t="s">
        <v>1098</v>
      </c>
      <c r="N1689" t="s">
        <v>1099</v>
      </c>
      <c r="O1689">
        <f>Table1[[#This Row],[Unit_Price]]*Table1[[#This Row],[Quantity]]</f>
        <v>100</v>
      </c>
    </row>
    <row r="1690" spans="1:15" x14ac:dyDescent="0.3">
      <c r="A1690" t="s">
        <v>3449</v>
      </c>
      <c r="B1690" t="s">
        <v>1859</v>
      </c>
      <c r="C1690" t="s">
        <v>167</v>
      </c>
      <c r="D1690" t="s">
        <v>1071</v>
      </c>
      <c r="E1690">
        <v>3</v>
      </c>
      <c r="F1690">
        <f>_xlfn.XLOOKUP(Table1[[#This Row],[ProductID]],Products!A:A,Products!D:D,,0)</f>
        <v>125</v>
      </c>
      <c r="I1690">
        <v>399</v>
      </c>
      <c r="J1690">
        <v>359</v>
      </c>
      <c r="K1690" t="s">
        <v>1107</v>
      </c>
      <c r="L1690">
        <v>1077</v>
      </c>
      <c r="M1690" t="s">
        <v>1098</v>
      </c>
      <c r="N1690" t="s">
        <v>1099</v>
      </c>
      <c r="O1690">
        <f>Table1[[#This Row],[Unit_Price]]*Table1[[#This Row],[Quantity]]</f>
        <v>375</v>
      </c>
    </row>
    <row r="1691" spans="1:15" x14ac:dyDescent="0.3">
      <c r="A1691" t="s">
        <v>3450</v>
      </c>
      <c r="B1691" t="s">
        <v>2119</v>
      </c>
      <c r="C1691" t="s">
        <v>383</v>
      </c>
      <c r="D1691" t="s">
        <v>1078</v>
      </c>
      <c r="E1691">
        <v>1</v>
      </c>
      <c r="F1691">
        <f>_xlfn.XLOOKUP(Table1[[#This Row],[ProductID]],Products!A:A,Products!D:D,,0)</f>
        <v>80</v>
      </c>
      <c r="I1691">
        <v>499</v>
      </c>
      <c r="J1691">
        <v>449</v>
      </c>
      <c r="K1691" t="s">
        <v>1107</v>
      </c>
      <c r="L1691">
        <v>449</v>
      </c>
      <c r="M1691" t="s">
        <v>1098</v>
      </c>
      <c r="N1691" t="s">
        <v>1099</v>
      </c>
      <c r="O1691">
        <f>Table1[[#This Row],[Unit_Price]]*Table1[[#This Row],[Quantity]]</f>
        <v>80</v>
      </c>
    </row>
    <row r="1692" spans="1:15" x14ac:dyDescent="0.3">
      <c r="A1692" t="s">
        <v>3451</v>
      </c>
      <c r="B1692" t="s">
        <v>2434</v>
      </c>
      <c r="C1692" t="s">
        <v>169</v>
      </c>
      <c r="D1692" t="s">
        <v>1078</v>
      </c>
      <c r="E1692">
        <v>1</v>
      </c>
      <c r="F1692">
        <f>_xlfn.XLOOKUP(Table1[[#This Row],[ProductID]],Products!A:A,Products!D:D,,0)</f>
        <v>80</v>
      </c>
      <c r="I1692">
        <v>499</v>
      </c>
      <c r="J1692">
        <v>499</v>
      </c>
      <c r="K1692" t="s">
        <v>1102</v>
      </c>
      <c r="L1692">
        <v>499</v>
      </c>
      <c r="M1692" t="s">
        <v>1098</v>
      </c>
      <c r="N1692" t="s">
        <v>1099</v>
      </c>
      <c r="O1692">
        <f>Table1[[#This Row],[Unit_Price]]*Table1[[#This Row],[Quantity]]</f>
        <v>80</v>
      </c>
    </row>
    <row r="1693" spans="1:15" x14ac:dyDescent="0.3">
      <c r="A1693" t="s">
        <v>3452</v>
      </c>
      <c r="B1693" t="s">
        <v>2615</v>
      </c>
      <c r="C1693" t="s">
        <v>825</v>
      </c>
      <c r="D1693" t="s">
        <v>1059</v>
      </c>
      <c r="E1693">
        <v>1</v>
      </c>
      <c r="F1693">
        <f>_xlfn.XLOOKUP(Table1[[#This Row],[ProductID]],Products!A:A,Products!D:D,,0)</f>
        <v>110</v>
      </c>
      <c r="I1693">
        <v>399</v>
      </c>
      <c r="J1693">
        <v>339</v>
      </c>
      <c r="K1693" t="s">
        <v>1092</v>
      </c>
      <c r="L1693">
        <v>339</v>
      </c>
      <c r="M1693" t="s">
        <v>1126</v>
      </c>
      <c r="N1693" t="s">
        <v>1099</v>
      </c>
      <c r="O1693">
        <f>Table1[[#This Row],[Unit_Price]]*Table1[[#This Row],[Quantity]]</f>
        <v>110</v>
      </c>
    </row>
    <row r="1694" spans="1:15" x14ac:dyDescent="0.3">
      <c r="A1694" t="s">
        <v>3453</v>
      </c>
      <c r="B1694" t="s">
        <v>1192</v>
      </c>
      <c r="C1694" t="s">
        <v>1021</v>
      </c>
      <c r="D1694" t="s">
        <v>1066</v>
      </c>
      <c r="E1694">
        <v>1</v>
      </c>
      <c r="F1694">
        <f>_xlfn.XLOOKUP(Table1[[#This Row],[ProductID]],Products!A:A,Products!D:D,,0)</f>
        <v>140</v>
      </c>
      <c r="I1694">
        <v>499</v>
      </c>
      <c r="J1694">
        <v>399</v>
      </c>
      <c r="K1694" t="s">
        <v>1097</v>
      </c>
      <c r="L1694">
        <v>399</v>
      </c>
      <c r="M1694" t="s">
        <v>1098</v>
      </c>
      <c r="N1694" t="s">
        <v>1099</v>
      </c>
      <c r="O1694">
        <f>Table1[[#This Row],[Unit_Price]]*Table1[[#This Row],[Quantity]]</f>
        <v>140</v>
      </c>
    </row>
    <row r="1695" spans="1:15" x14ac:dyDescent="0.3">
      <c r="A1695" t="s">
        <v>3454</v>
      </c>
      <c r="B1695" t="s">
        <v>1377</v>
      </c>
      <c r="C1695" t="s">
        <v>673</v>
      </c>
      <c r="D1695" t="s">
        <v>1057</v>
      </c>
      <c r="E1695">
        <v>1</v>
      </c>
      <c r="F1695">
        <f>_xlfn.XLOOKUP(Table1[[#This Row],[ProductID]],Products!A:A,Products!D:D,,0)</f>
        <v>130</v>
      </c>
      <c r="I1695">
        <v>549</v>
      </c>
      <c r="J1695">
        <v>549</v>
      </c>
      <c r="K1695" t="s">
        <v>1102</v>
      </c>
      <c r="L1695">
        <v>549</v>
      </c>
      <c r="M1695" t="s">
        <v>1093</v>
      </c>
      <c r="N1695" t="s">
        <v>1099</v>
      </c>
      <c r="O1695">
        <f>Table1[[#This Row],[Unit_Price]]*Table1[[#This Row],[Quantity]]</f>
        <v>130</v>
      </c>
    </row>
    <row r="1696" spans="1:15" x14ac:dyDescent="0.3">
      <c r="A1696" t="s">
        <v>3455</v>
      </c>
      <c r="B1696" t="s">
        <v>1302</v>
      </c>
      <c r="C1696" t="s">
        <v>257</v>
      </c>
      <c r="D1696" t="s">
        <v>1048</v>
      </c>
      <c r="E1696">
        <v>1</v>
      </c>
      <c r="F1696">
        <f>_xlfn.XLOOKUP(Table1[[#This Row],[ProductID]],Products!A:A,Products!D:D,,0)</f>
        <v>120</v>
      </c>
      <c r="I1696">
        <v>599</v>
      </c>
      <c r="J1696">
        <v>599</v>
      </c>
      <c r="K1696" t="s">
        <v>1102</v>
      </c>
      <c r="L1696">
        <v>599</v>
      </c>
      <c r="M1696" t="s">
        <v>1093</v>
      </c>
      <c r="N1696" t="s">
        <v>1094</v>
      </c>
      <c r="O1696">
        <f>Table1[[#This Row],[Unit_Price]]*Table1[[#This Row],[Quantity]]</f>
        <v>120</v>
      </c>
    </row>
    <row r="1697" spans="1:15" x14ac:dyDescent="0.3">
      <c r="A1697" t="s">
        <v>3456</v>
      </c>
      <c r="B1697" t="s">
        <v>1091</v>
      </c>
      <c r="C1697" t="s">
        <v>723</v>
      </c>
      <c r="D1697" t="s">
        <v>1062</v>
      </c>
      <c r="E1697">
        <v>1</v>
      </c>
      <c r="F1697">
        <f>_xlfn.XLOOKUP(Table1[[#This Row],[ProductID]],Products!A:A,Products!D:D,,0)</f>
        <v>95</v>
      </c>
      <c r="I1697">
        <v>349</v>
      </c>
      <c r="J1697">
        <v>349</v>
      </c>
      <c r="K1697" t="s">
        <v>1102</v>
      </c>
      <c r="L1697">
        <v>349</v>
      </c>
      <c r="M1697" t="s">
        <v>1118</v>
      </c>
      <c r="N1697" t="s">
        <v>1099</v>
      </c>
      <c r="O1697">
        <f>Table1[[#This Row],[Unit_Price]]*Table1[[#This Row],[Quantity]]</f>
        <v>95</v>
      </c>
    </row>
    <row r="1698" spans="1:15" x14ac:dyDescent="0.3">
      <c r="A1698" t="s">
        <v>3457</v>
      </c>
      <c r="B1698" t="s">
        <v>2370</v>
      </c>
      <c r="C1698" t="s">
        <v>207</v>
      </c>
      <c r="D1698" t="s">
        <v>1062</v>
      </c>
      <c r="E1698">
        <v>3</v>
      </c>
      <c r="F1698">
        <f>_xlfn.XLOOKUP(Table1[[#This Row],[ProductID]],Products!A:A,Products!D:D,,0)</f>
        <v>95</v>
      </c>
      <c r="I1698">
        <v>349</v>
      </c>
      <c r="J1698">
        <v>314</v>
      </c>
      <c r="K1698" t="s">
        <v>1107</v>
      </c>
      <c r="L1698">
        <v>942</v>
      </c>
      <c r="M1698" t="s">
        <v>1093</v>
      </c>
      <c r="N1698" t="s">
        <v>1099</v>
      </c>
      <c r="O1698">
        <f>Table1[[#This Row],[Unit_Price]]*Table1[[#This Row],[Quantity]]</f>
        <v>285</v>
      </c>
    </row>
    <row r="1699" spans="1:15" x14ac:dyDescent="0.3">
      <c r="A1699" t="s">
        <v>3458</v>
      </c>
      <c r="B1699" t="s">
        <v>2730</v>
      </c>
      <c r="C1699" t="s">
        <v>609</v>
      </c>
      <c r="D1699" t="s">
        <v>1075</v>
      </c>
      <c r="E1699">
        <v>1</v>
      </c>
      <c r="F1699">
        <f>_xlfn.XLOOKUP(Table1[[#This Row],[ProductID]],Products!A:A,Products!D:D,,0)</f>
        <v>80</v>
      </c>
      <c r="I1699">
        <v>499</v>
      </c>
      <c r="J1699">
        <v>424</v>
      </c>
      <c r="K1699" t="s">
        <v>1092</v>
      </c>
      <c r="L1699">
        <v>424</v>
      </c>
      <c r="M1699" t="s">
        <v>1093</v>
      </c>
      <c r="N1699" t="s">
        <v>1099</v>
      </c>
      <c r="O1699">
        <f>Table1[[#This Row],[Unit_Price]]*Table1[[#This Row],[Quantity]]</f>
        <v>80</v>
      </c>
    </row>
    <row r="1700" spans="1:15" x14ac:dyDescent="0.3">
      <c r="A1700" t="s">
        <v>3459</v>
      </c>
      <c r="B1700" t="s">
        <v>2518</v>
      </c>
      <c r="C1700" t="s">
        <v>811</v>
      </c>
      <c r="D1700" t="s">
        <v>1071</v>
      </c>
      <c r="E1700">
        <v>2</v>
      </c>
      <c r="F1700">
        <f>_xlfn.XLOOKUP(Table1[[#This Row],[ProductID]],Products!A:A,Products!D:D,,0)</f>
        <v>125</v>
      </c>
      <c r="I1700">
        <v>399</v>
      </c>
      <c r="J1700">
        <v>399</v>
      </c>
      <c r="K1700" t="s">
        <v>1102</v>
      </c>
      <c r="L1700">
        <v>798</v>
      </c>
      <c r="M1700" t="s">
        <v>1118</v>
      </c>
      <c r="N1700" t="s">
        <v>1099</v>
      </c>
      <c r="O1700">
        <f>Table1[[#This Row],[Unit_Price]]*Table1[[#This Row],[Quantity]]</f>
        <v>250</v>
      </c>
    </row>
    <row r="1701" spans="1:15" x14ac:dyDescent="0.3">
      <c r="A1701" t="s">
        <v>3460</v>
      </c>
      <c r="B1701" t="s">
        <v>2516</v>
      </c>
      <c r="C1701" t="s">
        <v>79</v>
      </c>
      <c r="D1701" t="s">
        <v>1066</v>
      </c>
      <c r="E1701">
        <v>4</v>
      </c>
      <c r="F1701">
        <f>_xlfn.XLOOKUP(Table1[[#This Row],[ProductID]],Products!A:A,Products!D:D,,0)</f>
        <v>140</v>
      </c>
      <c r="I1701">
        <v>499</v>
      </c>
      <c r="J1701">
        <v>449</v>
      </c>
      <c r="K1701" t="s">
        <v>1107</v>
      </c>
      <c r="L1701">
        <v>1796</v>
      </c>
      <c r="M1701" t="s">
        <v>1098</v>
      </c>
      <c r="N1701" t="s">
        <v>1099</v>
      </c>
      <c r="O1701">
        <f>Table1[[#This Row],[Unit_Price]]*Table1[[#This Row],[Quantity]]</f>
        <v>560</v>
      </c>
    </row>
    <row r="1702" spans="1:15" x14ac:dyDescent="0.3">
      <c r="A1702" t="s">
        <v>3461</v>
      </c>
      <c r="B1702" t="s">
        <v>2139</v>
      </c>
      <c r="C1702" t="s">
        <v>419</v>
      </c>
      <c r="D1702" t="s">
        <v>1080</v>
      </c>
      <c r="E1702">
        <v>2</v>
      </c>
      <c r="F1702">
        <f>_xlfn.XLOOKUP(Table1[[#This Row],[ProductID]],Products!A:A,Products!D:D,,0)</f>
        <v>45</v>
      </c>
      <c r="I1702">
        <v>249</v>
      </c>
      <c r="J1702">
        <v>199</v>
      </c>
      <c r="K1702" t="s">
        <v>1097</v>
      </c>
      <c r="L1702">
        <v>398</v>
      </c>
      <c r="M1702" t="s">
        <v>1093</v>
      </c>
      <c r="N1702" t="s">
        <v>1099</v>
      </c>
      <c r="O1702">
        <f>Table1[[#This Row],[Unit_Price]]*Table1[[#This Row],[Quantity]]</f>
        <v>90</v>
      </c>
    </row>
    <row r="1703" spans="1:15" x14ac:dyDescent="0.3">
      <c r="A1703" t="s">
        <v>3462</v>
      </c>
      <c r="B1703" t="s">
        <v>2730</v>
      </c>
      <c r="C1703" t="s">
        <v>403</v>
      </c>
      <c r="D1703" t="s">
        <v>1059</v>
      </c>
      <c r="E1703">
        <v>1</v>
      </c>
      <c r="F1703">
        <f>_xlfn.XLOOKUP(Table1[[#This Row],[ProductID]],Products!A:A,Products!D:D,,0)</f>
        <v>110</v>
      </c>
      <c r="I1703">
        <v>399</v>
      </c>
      <c r="J1703">
        <v>339</v>
      </c>
      <c r="K1703" t="s">
        <v>1092</v>
      </c>
      <c r="L1703">
        <v>339</v>
      </c>
      <c r="M1703" t="s">
        <v>1126</v>
      </c>
      <c r="N1703" t="s">
        <v>1099</v>
      </c>
      <c r="O1703">
        <f>Table1[[#This Row],[Unit_Price]]*Table1[[#This Row],[Quantity]]</f>
        <v>110</v>
      </c>
    </row>
    <row r="1704" spans="1:15" x14ac:dyDescent="0.3">
      <c r="A1704" t="s">
        <v>3463</v>
      </c>
      <c r="B1704" t="s">
        <v>2999</v>
      </c>
      <c r="C1704" t="s">
        <v>723</v>
      </c>
      <c r="D1704" t="s">
        <v>1066</v>
      </c>
      <c r="E1704">
        <v>1</v>
      </c>
      <c r="F1704">
        <f>_xlfn.XLOOKUP(Table1[[#This Row],[ProductID]],Products!A:A,Products!D:D,,0)</f>
        <v>140</v>
      </c>
      <c r="I1704">
        <v>499</v>
      </c>
      <c r="J1704">
        <v>499</v>
      </c>
      <c r="K1704" t="s">
        <v>1102</v>
      </c>
      <c r="L1704">
        <v>499</v>
      </c>
      <c r="M1704" t="s">
        <v>1093</v>
      </c>
      <c r="N1704" t="s">
        <v>1094</v>
      </c>
      <c r="O1704">
        <f>Table1[[#This Row],[Unit_Price]]*Table1[[#This Row],[Quantity]]</f>
        <v>140</v>
      </c>
    </row>
    <row r="1705" spans="1:15" x14ac:dyDescent="0.3">
      <c r="A1705" t="s">
        <v>3464</v>
      </c>
      <c r="B1705" t="s">
        <v>1565</v>
      </c>
      <c r="C1705" t="s">
        <v>595</v>
      </c>
      <c r="D1705" t="s">
        <v>1064</v>
      </c>
      <c r="E1705">
        <v>1</v>
      </c>
      <c r="F1705">
        <f>_xlfn.XLOOKUP(Table1[[#This Row],[ProductID]],Products!A:A,Products!D:D,,0)</f>
        <v>160</v>
      </c>
      <c r="I1705">
        <v>699</v>
      </c>
      <c r="J1705">
        <v>594</v>
      </c>
      <c r="K1705" t="s">
        <v>1092</v>
      </c>
      <c r="L1705">
        <v>594</v>
      </c>
      <c r="M1705" t="s">
        <v>1098</v>
      </c>
      <c r="N1705" t="s">
        <v>1099</v>
      </c>
      <c r="O1705">
        <f>Table1[[#This Row],[Unit_Price]]*Table1[[#This Row],[Quantity]]</f>
        <v>160</v>
      </c>
    </row>
    <row r="1706" spans="1:15" x14ac:dyDescent="0.3">
      <c r="A1706" t="s">
        <v>3465</v>
      </c>
      <c r="B1706" t="s">
        <v>3466</v>
      </c>
      <c r="C1706" t="s">
        <v>245</v>
      </c>
      <c r="D1706" t="s">
        <v>1062</v>
      </c>
      <c r="E1706">
        <v>2</v>
      </c>
      <c r="F1706">
        <f>_xlfn.XLOOKUP(Table1[[#This Row],[ProductID]],Products!A:A,Products!D:D,,0)</f>
        <v>95</v>
      </c>
      <c r="I1706">
        <v>349</v>
      </c>
      <c r="J1706">
        <v>349</v>
      </c>
      <c r="K1706" t="s">
        <v>1102</v>
      </c>
      <c r="L1706">
        <v>698</v>
      </c>
      <c r="M1706" t="s">
        <v>1098</v>
      </c>
      <c r="N1706" t="s">
        <v>1099</v>
      </c>
      <c r="O1706">
        <f>Table1[[#This Row],[Unit_Price]]*Table1[[#This Row],[Quantity]]</f>
        <v>190</v>
      </c>
    </row>
    <row r="1707" spans="1:15" x14ac:dyDescent="0.3">
      <c r="A1707" t="s">
        <v>3467</v>
      </c>
      <c r="B1707" t="s">
        <v>1963</v>
      </c>
      <c r="C1707" t="s">
        <v>567</v>
      </c>
      <c r="D1707" t="s">
        <v>1059</v>
      </c>
      <c r="E1707">
        <v>1</v>
      </c>
      <c r="F1707">
        <f>_xlfn.XLOOKUP(Table1[[#This Row],[ProductID]],Products!A:A,Products!D:D,,0)</f>
        <v>110</v>
      </c>
      <c r="I1707">
        <v>399</v>
      </c>
      <c r="J1707">
        <v>319</v>
      </c>
      <c r="K1707" t="s">
        <v>1097</v>
      </c>
      <c r="L1707">
        <v>319</v>
      </c>
      <c r="M1707" t="s">
        <v>1126</v>
      </c>
      <c r="N1707" t="s">
        <v>1099</v>
      </c>
      <c r="O1707">
        <f>Table1[[#This Row],[Unit_Price]]*Table1[[#This Row],[Quantity]]</f>
        <v>110</v>
      </c>
    </row>
    <row r="1708" spans="1:15" x14ac:dyDescent="0.3">
      <c r="A1708" t="s">
        <v>3468</v>
      </c>
      <c r="B1708" t="s">
        <v>2130</v>
      </c>
      <c r="C1708" t="s">
        <v>397</v>
      </c>
      <c r="D1708" t="s">
        <v>1062</v>
      </c>
      <c r="E1708">
        <v>1</v>
      </c>
      <c r="F1708">
        <f>_xlfn.XLOOKUP(Table1[[#This Row],[ProductID]],Products!A:A,Products!D:D,,0)</f>
        <v>95</v>
      </c>
      <c r="I1708">
        <v>349</v>
      </c>
      <c r="J1708">
        <v>297</v>
      </c>
      <c r="K1708" t="s">
        <v>1092</v>
      </c>
      <c r="L1708">
        <v>297</v>
      </c>
      <c r="M1708" t="s">
        <v>1098</v>
      </c>
      <c r="N1708" t="s">
        <v>1099</v>
      </c>
      <c r="O1708">
        <f>Table1[[#This Row],[Unit_Price]]*Table1[[#This Row],[Quantity]]</f>
        <v>95</v>
      </c>
    </row>
    <row r="1709" spans="1:15" x14ac:dyDescent="0.3">
      <c r="A1709" t="s">
        <v>3469</v>
      </c>
      <c r="B1709" t="s">
        <v>3470</v>
      </c>
      <c r="C1709" t="s">
        <v>865</v>
      </c>
      <c r="D1709" t="s">
        <v>1059</v>
      </c>
      <c r="E1709">
        <v>1</v>
      </c>
      <c r="F1709">
        <f>_xlfn.XLOOKUP(Table1[[#This Row],[ProductID]],Products!A:A,Products!D:D,,0)</f>
        <v>110</v>
      </c>
      <c r="I1709">
        <v>399</v>
      </c>
      <c r="J1709">
        <v>399</v>
      </c>
      <c r="K1709" t="s">
        <v>1102</v>
      </c>
      <c r="L1709">
        <v>399</v>
      </c>
      <c r="M1709" t="s">
        <v>1098</v>
      </c>
      <c r="N1709" t="s">
        <v>1099</v>
      </c>
      <c r="O1709">
        <f>Table1[[#This Row],[Unit_Price]]*Table1[[#This Row],[Quantity]]</f>
        <v>110</v>
      </c>
    </row>
    <row r="1710" spans="1:15" x14ac:dyDescent="0.3">
      <c r="A1710" t="s">
        <v>3471</v>
      </c>
      <c r="B1710" t="s">
        <v>1608</v>
      </c>
      <c r="C1710" t="s">
        <v>639</v>
      </c>
      <c r="D1710" t="s">
        <v>1073</v>
      </c>
      <c r="E1710">
        <v>1</v>
      </c>
      <c r="F1710">
        <f>_xlfn.XLOOKUP(Table1[[#This Row],[ProductID]],Products!A:A,Products!D:D,,0)</f>
        <v>100</v>
      </c>
      <c r="I1710">
        <v>349</v>
      </c>
      <c r="J1710">
        <v>297</v>
      </c>
      <c r="K1710" t="s">
        <v>1092</v>
      </c>
      <c r="L1710">
        <v>297</v>
      </c>
      <c r="M1710" t="s">
        <v>1126</v>
      </c>
      <c r="N1710" t="s">
        <v>1099</v>
      </c>
      <c r="O1710">
        <f>Table1[[#This Row],[Unit_Price]]*Table1[[#This Row],[Quantity]]</f>
        <v>100</v>
      </c>
    </row>
    <row r="1711" spans="1:15" x14ac:dyDescent="0.3">
      <c r="A1711" t="s">
        <v>3472</v>
      </c>
      <c r="B1711" t="s">
        <v>3473</v>
      </c>
      <c r="C1711" t="s">
        <v>112</v>
      </c>
      <c r="D1711" t="s">
        <v>1068</v>
      </c>
      <c r="E1711">
        <v>1</v>
      </c>
      <c r="F1711">
        <f>_xlfn.XLOOKUP(Table1[[#This Row],[ProductID]],Products!A:A,Products!D:D,,0)</f>
        <v>180</v>
      </c>
      <c r="I1711">
        <v>449</v>
      </c>
      <c r="J1711">
        <v>449</v>
      </c>
      <c r="K1711" t="s">
        <v>1102</v>
      </c>
      <c r="L1711">
        <v>449</v>
      </c>
      <c r="M1711" t="s">
        <v>1118</v>
      </c>
      <c r="N1711" t="s">
        <v>1099</v>
      </c>
      <c r="O1711">
        <f>Table1[[#This Row],[Unit_Price]]*Table1[[#This Row],[Quantity]]</f>
        <v>180</v>
      </c>
    </row>
    <row r="1712" spans="1:15" x14ac:dyDescent="0.3">
      <c r="A1712" t="s">
        <v>3474</v>
      </c>
      <c r="B1712" t="s">
        <v>3129</v>
      </c>
      <c r="C1712" t="s">
        <v>655</v>
      </c>
      <c r="D1712" t="s">
        <v>1059</v>
      </c>
      <c r="E1712">
        <v>1</v>
      </c>
      <c r="F1712">
        <f>_xlfn.XLOOKUP(Table1[[#This Row],[ProductID]],Products!A:A,Products!D:D,,0)</f>
        <v>110</v>
      </c>
      <c r="I1712">
        <v>399</v>
      </c>
      <c r="J1712">
        <v>359</v>
      </c>
      <c r="K1712" t="s">
        <v>1107</v>
      </c>
      <c r="L1712">
        <v>359</v>
      </c>
      <c r="M1712" t="s">
        <v>1126</v>
      </c>
      <c r="N1712" t="s">
        <v>1099</v>
      </c>
      <c r="O1712">
        <f>Table1[[#This Row],[Unit_Price]]*Table1[[#This Row],[Quantity]]</f>
        <v>110</v>
      </c>
    </row>
    <row r="1713" spans="1:15" x14ac:dyDescent="0.3">
      <c r="A1713" t="s">
        <v>3475</v>
      </c>
      <c r="B1713" t="s">
        <v>1582</v>
      </c>
      <c r="C1713" t="s">
        <v>625</v>
      </c>
      <c r="D1713" t="s">
        <v>1059</v>
      </c>
      <c r="E1713">
        <v>1</v>
      </c>
      <c r="F1713">
        <f>_xlfn.XLOOKUP(Table1[[#This Row],[ProductID]],Products!A:A,Products!D:D,,0)</f>
        <v>110</v>
      </c>
      <c r="I1713">
        <v>399</v>
      </c>
      <c r="J1713">
        <v>399</v>
      </c>
      <c r="K1713" t="s">
        <v>1102</v>
      </c>
      <c r="L1713">
        <v>399</v>
      </c>
      <c r="M1713" t="s">
        <v>1093</v>
      </c>
      <c r="N1713" t="s">
        <v>1094</v>
      </c>
      <c r="O1713">
        <f>Table1[[#This Row],[Unit_Price]]*Table1[[#This Row],[Quantity]]</f>
        <v>110</v>
      </c>
    </row>
    <row r="1714" spans="1:15" x14ac:dyDescent="0.3">
      <c r="A1714" t="s">
        <v>3476</v>
      </c>
      <c r="B1714" t="s">
        <v>2395</v>
      </c>
      <c r="C1714" t="s">
        <v>911</v>
      </c>
      <c r="D1714" t="s">
        <v>1051</v>
      </c>
      <c r="E1714">
        <v>2</v>
      </c>
      <c r="F1714">
        <f>_xlfn.XLOOKUP(Table1[[#This Row],[ProductID]],Products!A:A,Products!D:D,,0)</f>
        <v>150</v>
      </c>
      <c r="I1714">
        <v>499</v>
      </c>
      <c r="J1714">
        <v>399</v>
      </c>
      <c r="K1714" t="s">
        <v>1097</v>
      </c>
      <c r="L1714">
        <v>798</v>
      </c>
      <c r="M1714" t="s">
        <v>1098</v>
      </c>
      <c r="N1714" t="s">
        <v>1099</v>
      </c>
      <c r="O1714">
        <f>Table1[[#This Row],[Unit_Price]]*Table1[[#This Row],[Quantity]]</f>
        <v>300</v>
      </c>
    </row>
    <row r="1715" spans="1:15" x14ac:dyDescent="0.3">
      <c r="A1715" t="s">
        <v>3477</v>
      </c>
      <c r="B1715" t="s">
        <v>3069</v>
      </c>
      <c r="C1715" t="s">
        <v>116</v>
      </c>
      <c r="D1715" t="s">
        <v>1055</v>
      </c>
      <c r="E1715">
        <v>3</v>
      </c>
      <c r="F1715">
        <f>_xlfn.XLOOKUP(Table1[[#This Row],[ProductID]],Products!A:A,Products!D:D,,0)</f>
        <v>75</v>
      </c>
      <c r="I1715">
        <v>299</v>
      </c>
      <c r="J1715">
        <v>239</v>
      </c>
      <c r="K1715" t="s">
        <v>1097</v>
      </c>
      <c r="L1715">
        <v>717</v>
      </c>
      <c r="M1715" t="s">
        <v>1093</v>
      </c>
      <c r="N1715" t="s">
        <v>1099</v>
      </c>
      <c r="O1715">
        <f>Table1[[#This Row],[Unit_Price]]*Table1[[#This Row],[Quantity]]</f>
        <v>225</v>
      </c>
    </row>
    <row r="1716" spans="1:15" x14ac:dyDescent="0.3">
      <c r="A1716" t="s">
        <v>3478</v>
      </c>
      <c r="B1716" t="s">
        <v>2152</v>
      </c>
      <c r="C1716" t="s">
        <v>311</v>
      </c>
      <c r="D1716" t="s">
        <v>1068</v>
      </c>
      <c r="E1716">
        <v>3</v>
      </c>
      <c r="F1716">
        <f>_xlfn.XLOOKUP(Table1[[#This Row],[ProductID]],Products!A:A,Products!D:D,,0)</f>
        <v>180</v>
      </c>
      <c r="I1716">
        <v>449</v>
      </c>
      <c r="J1716">
        <v>404</v>
      </c>
      <c r="K1716" t="s">
        <v>1107</v>
      </c>
      <c r="L1716">
        <v>1212</v>
      </c>
      <c r="M1716" t="s">
        <v>1098</v>
      </c>
      <c r="N1716" t="s">
        <v>1099</v>
      </c>
      <c r="O1716">
        <f>Table1[[#This Row],[Unit_Price]]*Table1[[#This Row],[Quantity]]</f>
        <v>540</v>
      </c>
    </row>
    <row r="1717" spans="1:15" x14ac:dyDescent="0.3">
      <c r="A1717" t="s">
        <v>3479</v>
      </c>
      <c r="B1717" t="s">
        <v>2328</v>
      </c>
      <c r="C1717" t="s">
        <v>865</v>
      </c>
      <c r="D1717" t="s">
        <v>1062</v>
      </c>
      <c r="E1717">
        <v>1</v>
      </c>
      <c r="F1717">
        <f>_xlfn.XLOOKUP(Table1[[#This Row],[ProductID]],Products!A:A,Products!D:D,,0)</f>
        <v>95</v>
      </c>
      <c r="I1717">
        <v>349</v>
      </c>
      <c r="J1717">
        <v>349</v>
      </c>
      <c r="K1717" t="s">
        <v>1102</v>
      </c>
      <c r="L1717">
        <v>349</v>
      </c>
      <c r="M1717" t="s">
        <v>1093</v>
      </c>
      <c r="N1717" t="s">
        <v>1094</v>
      </c>
      <c r="O1717">
        <f>Table1[[#This Row],[Unit_Price]]*Table1[[#This Row],[Quantity]]</f>
        <v>95</v>
      </c>
    </row>
    <row r="1718" spans="1:15" x14ac:dyDescent="0.3">
      <c r="A1718" t="s">
        <v>3480</v>
      </c>
      <c r="B1718" t="s">
        <v>1361</v>
      </c>
      <c r="C1718" t="s">
        <v>435</v>
      </c>
      <c r="D1718" t="s">
        <v>1055</v>
      </c>
      <c r="E1718">
        <v>1</v>
      </c>
      <c r="F1718">
        <f>_xlfn.XLOOKUP(Table1[[#This Row],[ProductID]],Products!A:A,Products!D:D,,0)</f>
        <v>75</v>
      </c>
      <c r="I1718">
        <v>299</v>
      </c>
      <c r="J1718">
        <v>239</v>
      </c>
      <c r="K1718" t="s">
        <v>1097</v>
      </c>
      <c r="L1718">
        <v>239</v>
      </c>
      <c r="M1718" t="s">
        <v>1098</v>
      </c>
      <c r="N1718" t="s">
        <v>1094</v>
      </c>
      <c r="O1718">
        <f>Table1[[#This Row],[Unit_Price]]*Table1[[#This Row],[Quantity]]</f>
        <v>75</v>
      </c>
    </row>
    <row r="1719" spans="1:15" x14ac:dyDescent="0.3">
      <c r="A1719" t="s">
        <v>3481</v>
      </c>
      <c r="B1719" t="s">
        <v>2812</v>
      </c>
      <c r="C1719" t="s">
        <v>67</v>
      </c>
      <c r="D1719" t="s">
        <v>1071</v>
      </c>
      <c r="E1719">
        <v>2</v>
      </c>
      <c r="F1719">
        <f>_xlfn.XLOOKUP(Table1[[#This Row],[ProductID]],Products!A:A,Products!D:D,,0)</f>
        <v>125</v>
      </c>
      <c r="I1719">
        <v>399</v>
      </c>
      <c r="J1719">
        <v>319</v>
      </c>
      <c r="K1719" t="s">
        <v>1097</v>
      </c>
      <c r="L1719">
        <v>638</v>
      </c>
      <c r="M1719" t="s">
        <v>1098</v>
      </c>
      <c r="N1719" t="s">
        <v>1099</v>
      </c>
      <c r="O1719">
        <f>Table1[[#This Row],[Unit_Price]]*Table1[[#This Row],[Quantity]]</f>
        <v>250</v>
      </c>
    </row>
    <row r="1720" spans="1:15" x14ac:dyDescent="0.3">
      <c r="A1720" t="s">
        <v>3482</v>
      </c>
      <c r="B1720" t="s">
        <v>1761</v>
      </c>
      <c r="C1720" t="s">
        <v>89</v>
      </c>
      <c r="D1720" t="s">
        <v>1057</v>
      </c>
      <c r="E1720">
        <v>3</v>
      </c>
      <c r="F1720">
        <f>_xlfn.XLOOKUP(Table1[[#This Row],[ProductID]],Products!A:A,Products!D:D,,0)</f>
        <v>130</v>
      </c>
      <c r="I1720">
        <v>549</v>
      </c>
      <c r="J1720">
        <v>549</v>
      </c>
      <c r="K1720" t="s">
        <v>1102</v>
      </c>
      <c r="L1720">
        <v>1647</v>
      </c>
      <c r="M1720" t="s">
        <v>1098</v>
      </c>
      <c r="N1720" t="s">
        <v>1099</v>
      </c>
      <c r="O1720">
        <f>Table1[[#This Row],[Unit_Price]]*Table1[[#This Row],[Quantity]]</f>
        <v>390</v>
      </c>
    </row>
    <row r="1721" spans="1:15" x14ac:dyDescent="0.3">
      <c r="A1721" t="s">
        <v>3483</v>
      </c>
      <c r="B1721" t="s">
        <v>1248</v>
      </c>
      <c r="C1721" t="s">
        <v>601</v>
      </c>
      <c r="D1721" t="s">
        <v>1073</v>
      </c>
      <c r="E1721">
        <v>1</v>
      </c>
      <c r="F1721">
        <f>_xlfn.XLOOKUP(Table1[[#This Row],[ProductID]],Products!A:A,Products!D:D,,0)</f>
        <v>100</v>
      </c>
      <c r="I1721">
        <v>349</v>
      </c>
      <c r="J1721">
        <v>349</v>
      </c>
      <c r="K1721" t="s">
        <v>1102</v>
      </c>
      <c r="L1721">
        <v>349</v>
      </c>
      <c r="M1721" t="s">
        <v>1098</v>
      </c>
      <c r="N1721" t="s">
        <v>1123</v>
      </c>
      <c r="O1721">
        <f>Table1[[#This Row],[Unit_Price]]*Table1[[#This Row],[Quantity]]</f>
        <v>100</v>
      </c>
    </row>
    <row r="1722" spans="1:15" x14ac:dyDescent="0.3">
      <c r="A1722" t="s">
        <v>3484</v>
      </c>
      <c r="B1722" t="s">
        <v>1130</v>
      </c>
      <c r="C1722" t="s">
        <v>299</v>
      </c>
      <c r="D1722" t="s">
        <v>1057</v>
      </c>
      <c r="E1722">
        <v>1</v>
      </c>
      <c r="F1722">
        <f>_xlfn.XLOOKUP(Table1[[#This Row],[ProductID]],Products!A:A,Products!D:D,,0)</f>
        <v>130</v>
      </c>
      <c r="I1722">
        <v>549</v>
      </c>
      <c r="J1722">
        <v>494</v>
      </c>
      <c r="K1722" t="s">
        <v>1107</v>
      </c>
      <c r="L1722">
        <v>494</v>
      </c>
      <c r="M1722" t="s">
        <v>1093</v>
      </c>
      <c r="N1722" t="s">
        <v>1099</v>
      </c>
      <c r="O1722">
        <f>Table1[[#This Row],[Unit_Price]]*Table1[[#This Row],[Quantity]]</f>
        <v>130</v>
      </c>
    </row>
    <row r="1723" spans="1:15" x14ac:dyDescent="0.3">
      <c r="A1723" t="s">
        <v>3485</v>
      </c>
      <c r="B1723" t="s">
        <v>1416</v>
      </c>
      <c r="C1723" t="s">
        <v>257</v>
      </c>
      <c r="D1723" t="s">
        <v>1053</v>
      </c>
      <c r="E1723">
        <v>1</v>
      </c>
      <c r="F1723">
        <f>_xlfn.XLOOKUP(Table1[[#This Row],[ProductID]],Products!A:A,Products!D:D,,0)</f>
        <v>200</v>
      </c>
      <c r="I1723">
        <v>899</v>
      </c>
      <c r="J1723">
        <v>899</v>
      </c>
      <c r="K1723" t="s">
        <v>1102</v>
      </c>
      <c r="L1723">
        <v>899</v>
      </c>
      <c r="M1723" t="s">
        <v>1098</v>
      </c>
      <c r="N1723" t="s">
        <v>1099</v>
      </c>
      <c r="O1723">
        <f>Table1[[#This Row],[Unit_Price]]*Table1[[#This Row],[Quantity]]</f>
        <v>200</v>
      </c>
    </row>
    <row r="1724" spans="1:15" x14ac:dyDescent="0.3">
      <c r="A1724" t="s">
        <v>3486</v>
      </c>
      <c r="B1724" t="s">
        <v>1600</v>
      </c>
      <c r="C1724" t="s">
        <v>607</v>
      </c>
      <c r="D1724" t="s">
        <v>1078</v>
      </c>
      <c r="E1724">
        <v>1</v>
      </c>
      <c r="F1724">
        <f>_xlfn.XLOOKUP(Table1[[#This Row],[ProductID]],Products!A:A,Products!D:D,,0)</f>
        <v>80</v>
      </c>
      <c r="I1724">
        <v>499</v>
      </c>
      <c r="J1724">
        <v>449</v>
      </c>
      <c r="K1724" t="s">
        <v>1107</v>
      </c>
      <c r="L1724">
        <v>449</v>
      </c>
      <c r="M1724" t="s">
        <v>1093</v>
      </c>
      <c r="N1724" t="s">
        <v>1094</v>
      </c>
      <c r="O1724">
        <f>Table1[[#This Row],[Unit_Price]]*Table1[[#This Row],[Quantity]]</f>
        <v>80</v>
      </c>
    </row>
    <row r="1725" spans="1:15" x14ac:dyDescent="0.3">
      <c r="A1725" t="s">
        <v>3487</v>
      </c>
      <c r="B1725" t="s">
        <v>1547</v>
      </c>
      <c r="C1725" t="s">
        <v>505</v>
      </c>
      <c r="D1725" t="s">
        <v>1068</v>
      </c>
      <c r="E1725">
        <v>1</v>
      </c>
      <c r="F1725">
        <f>_xlfn.XLOOKUP(Table1[[#This Row],[ProductID]],Products!A:A,Products!D:D,,0)</f>
        <v>180</v>
      </c>
      <c r="I1725">
        <v>449</v>
      </c>
      <c r="J1725">
        <v>404</v>
      </c>
      <c r="K1725" t="s">
        <v>1107</v>
      </c>
      <c r="L1725">
        <v>404</v>
      </c>
      <c r="M1725" t="s">
        <v>1098</v>
      </c>
      <c r="N1725" t="s">
        <v>1099</v>
      </c>
      <c r="O1725">
        <f>Table1[[#This Row],[Unit_Price]]*Table1[[#This Row],[Quantity]]</f>
        <v>180</v>
      </c>
    </row>
    <row r="1726" spans="1:15" x14ac:dyDescent="0.3">
      <c r="A1726" t="s">
        <v>3488</v>
      </c>
      <c r="B1726" t="s">
        <v>1553</v>
      </c>
      <c r="C1726" t="s">
        <v>851</v>
      </c>
      <c r="D1726" t="s">
        <v>1078</v>
      </c>
      <c r="E1726">
        <v>3</v>
      </c>
      <c r="F1726">
        <f>_xlfn.XLOOKUP(Table1[[#This Row],[ProductID]],Products!A:A,Products!D:D,,0)</f>
        <v>80</v>
      </c>
      <c r="I1726">
        <v>499</v>
      </c>
      <c r="J1726">
        <v>499</v>
      </c>
      <c r="K1726" t="s">
        <v>1102</v>
      </c>
      <c r="L1726">
        <v>1497</v>
      </c>
      <c r="M1726" t="s">
        <v>1098</v>
      </c>
      <c r="N1726" t="s">
        <v>1099</v>
      </c>
      <c r="O1726">
        <f>Table1[[#This Row],[Unit_Price]]*Table1[[#This Row],[Quantity]]</f>
        <v>240</v>
      </c>
    </row>
    <row r="1727" spans="1:15" x14ac:dyDescent="0.3">
      <c r="A1727" t="s">
        <v>3489</v>
      </c>
      <c r="B1727" t="s">
        <v>2112</v>
      </c>
      <c r="C1727" t="s">
        <v>713</v>
      </c>
      <c r="D1727" t="s">
        <v>1055</v>
      </c>
      <c r="E1727">
        <v>1</v>
      </c>
      <c r="F1727">
        <f>_xlfn.XLOOKUP(Table1[[#This Row],[ProductID]],Products!A:A,Products!D:D,,0)</f>
        <v>75</v>
      </c>
      <c r="I1727">
        <v>299</v>
      </c>
      <c r="J1727">
        <v>254</v>
      </c>
      <c r="K1727" t="s">
        <v>1092</v>
      </c>
      <c r="L1727">
        <v>254</v>
      </c>
      <c r="M1727" t="s">
        <v>1093</v>
      </c>
      <c r="N1727" t="s">
        <v>1099</v>
      </c>
      <c r="O1727">
        <f>Table1[[#This Row],[Unit_Price]]*Table1[[#This Row],[Quantity]]</f>
        <v>75</v>
      </c>
    </row>
    <row r="1728" spans="1:15" x14ac:dyDescent="0.3">
      <c r="A1728" t="s">
        <v>3490</v>
      </c>
      <c r="B1728" t="s">
        <v>2021</v>
      </c>
      <c r="C1728" t="s">
        <v>393</v>
      </c>
      <c r="D1728" t="s">
        <v>1075</v>
      </c>
      <c r="E1728">
        <v>1</v>
      </c>
      <c r="F1728">
        <f>_xlfn.XLOOKUP(Table1[[#This Row],[ProductID]],Products!A:A,Products!D:D,,0)</f>
        <v>80</v>
      </c>
      <c r="I1728">
        <v>499</v>
      </c>
      <c r="J1728">
        <v>449</v>
      </c>
      <c r="K1728" t="s">
        <v>1107</v>
      </c>
      <c r="L1728">
        <v>449</v>
      </c>
      <c r="M1728" t="s">
        <v>1098</v>
      </c>
      <c r="N1728" t="s">
        <v>1099</v>
      </c>
      <c r="O1728">
        <f>Table1[[#This Row],[Unit_Price]]*Table1[[#This Row],[Quantity]]</f>
        <v>80</v>
      </c>
    </row>
    <row r="1729" spans="1:15" x14ac:dyDescent="0.3">
      <c r="A1729" t="s">
        <v>3491</v>
      </c>
      <c r="B1729" t="s">
        <v>1624</v>
      </c>
      <c r="C1729" t="s">
        <v>899</v>
      </c>
      <c r="D1729" t="s">
        <v>1078</v>
      </c>
      <c r="E1729">
        <v>1</v>
      </c>
      <c r="F1729">
        <f>_xlfn.XLOOKUP(Table1[[#This Row],[ProductID]],Products!A:A,Products!D:D,,0)</f>
        <v>80</v>
      </c>
      <c r="I1729">
        <v>499</v>
      </c>
      <c r="J1729">
        <v>499</v>
      </c>
      <c r="K1729" t="s">
        <v>1102</v>
      </c>
      <c r="L1729">
        <v>499</v>
      </c>
      <c r="M1729" t="s">
        <v>1098</v>
      </c>
      <c r="N1729" t="s">
        <v>1099</v>
      </c>
      <c r="O1729">
        <f>Table1[[#This Row],[Unit_Price]]*Table1[[#This Row],[Quantity]]</f>
        <v>80</v>
      </c>
    </row>
    <row r="1730" spans="1:15" x14ac:dyDescent="0.3">
      <c r="A1730" t="s">
        <v>3492</v>
      </c>
      <c r="B1730" t="s">
        <v>3493</v>
      </c>
      <c r="C1730" t="s">
        <v>915</v>
      </c>
      <c r="D1730" t="s">
        <v>1071</v>
      </c>
      <c r="E1730">
        <v>1</v>
      </c>
      <c r="F1730">
        <f>_xlfn.XLOOKUP(Table1[[#This Row],[ProductID]],Products!A:A,Products!D:D,,0)</f>
        <v>125</v>
      </c>
      <c r="I1730">
        <v>399</v>
      </c>
      <c r="J1730">
        <v>359</v>
      </c>
      <c r="K1730" t="s">
        <v>1107</v>
      </c>
      <c r="L1730">
        <v>359</v>
      </c>
      <c r="M1730" t="s">
        <v>1098</v>
      </c>
      <c r="N1730" t="s">
        <v>1099</v>
      </c>
      <c r="O1730">
        <f>Table1[[#This Row],[Unit_Price]]*Table1[[#This Row],[Quantity]]</f>
        <v>125</v>
      </c>
    </row>
    <row r="1731" spans="1:15" x14ac:dyDescent="0.3">
      <c r="A1731" t="s">
        <v>3494</v>
      </c>
      <c r="B1731" t="s">
        <v>3495</v>
      </c>
      <c r="C1731" t="s">
        <v>779</v>
      </c>
      <c r="D1731" t="s">
        <v>1073</v>
      </c>
      <c r="E1731">
        <v>2</v>
      </c>
      <c r="F1731">
        <f>_xlfn.XLOOKUP(Table1[[#This Row],[ProductID]],Products!A:A,Products!D:D,,0)</f>
        <v>100</v>
      </c>
      <c r="I1731">
        <v>349</v>
      </c>
      <c r="J1731">
        <v>314</v>
      </c>
      <c r="K1731" t="s">
        <v>1107</v>
      </c>
      <c r="L1731">
        <v>628</v>
      </c>
      <c r="M1731" t="s">
        <v>1093</v>
      </c>
      <c r="N1731" t="s">
        <v>1094</v>
      </c>
      <c r="O1731">
        <f>Table1[[#This Row],[Unit_Price]]*Table1[[#This Row],[Quantity]]</f>
        <v>200</v>
      </c>
    </row>
    <row r="1732" spans="1:15" x14ac:dyDescent="0.3">
      <c r="A1732" t="s">
        <v>3496</v>
      </c>
      <c r="B1732" t="s">
        <v>2549</v>
      </c>
      <c r="C1732" t="s">
        <v>603</v>
      </c>
      <c r="D1732" t="s">
        <v>1053</v>
      </c>
      <c r="E1732">
        <v>2</v>
      </c>
      <c r="F1732">
        <f>_xlfn.XLOOKUP(Table1[[#This Row],[ProductID]],Products!A:A,Products!D:D,,0)</f>
        <v>200</v>
      </c>
      <c r="I1732">
        <v>899</v>
      </c>
      <c r="J1732">
        <v>899</v>
      </c>
      <c r="K1732" t="s">
        <v>1102</v>
      </c>
      <c r="L1732">
        <v>1798</v>
      </c>
      <c r="M1732" t="s">
        <v>1098</v>
      </c>
      <c r="N1732" t="s">
        <v>1099</v>
      </c>
      <c r="O1732">
        <f>Table1[[#This Row],[Unit_Price]]*Table1[[#This Row],[Quantity]]</f>
        <v>400</v>
      </c>
    </row>
    <row r="1733" spans="1:15" x14ac:dyDescent="0.3">
      <c r="A1733" t="s">
        <v>3497</v>
      </c>
      <c r="B1733" t="s">
        <v>1246</v>
      </c>
      <c r="C1733" t="s">
        <v>201</v>
      </c>
      <c r="D1733" t="s">
        <v>1055</v>
      </c>
      <c r="E1733">
        <v>2</v>
      </c>
      <c r="F1733">
        <f>_xlfn.XLOOKUP(Table1[[#This Row],[ProductID]],Products!A:A,Products!D:D,,0)</f>
        <v>75</v>
      </c>
      <c r="I1733">
        <v>299</v>
      </c>
      <c r="J1733">
        <v>299</v>
      </c>
      <c r="K1733" t="s">
        <v>1102</v>
      </c>
      <c r="L1733">
        <v>598</v>
      </c>
      <c r="M1733" t="s">
        <v>1098</v>
      </c>
      <c r="N1733" t="s">
        <v>1099</v>
      </c>
      <c r="O1733">
        <f>Table1[[#This Row],[Unit_Price]]*Table1[[#This Row],[Quantity]]</f>
        <v>150</v>
      </c>
    </row>
    <row r="1734" spans="1:15" x14ac:dyDescent="0.3">
      <c r="A1734" t="s">
        <v>3498</v>
      </c>
      <c r="B1734" t="s">
        <v>2004</v>
      </c>
      <c r="C1734" t="s">
        <v>799</v>
      </c>
      <c r="D1734" t="s">
        <v>1057</v>
      </c>
      <c r="E1734">
        <v>1</v>
      </c>
      <c r="F1734">
        <f>_xlfn.XLOOKUP(Table1[[#This Row],[ProductID]],Products!A:A,Products!D:D,,0)</f>
        <v>130</v>
      </c>
      <c r="I1734">
        <v>549</v>
      </c>
      <c r="J1734">
        <v>494</v>
      </c>
      <c r="K1734" t="s">
        <v>1107</v>
      </c>
      <c r="L1734">
        <v>494</v>
      </c>
      <c r="M1734" t="s">
        <v>1093</v>
      </c>
      <c r="N1734" t="s">
        <v>1094</v>
      </c>
      <c r="O1734">
        <f>Table1[[#This Row],[Unit_Price]]*Table1[[#This Row],[Quantity]]</f>
        <v>130</v>
      </c>
    </row>
    <row r="1735" spans="1:15" x14ac:dyDescent="0.3">
      <c r="A1735" t="s">
        <v>3499</v>
      </c>
      <c r="B1735" t="s">
        <v>2971</v>
      </c>
      <c r="C1735" t="s">
        <v>357</v>
      </c>
      <c r="D1735" t="s">
        <v>1055</v>
      </c>
      <c r="E1735">
        <v>1</v>
      </c>
      <c r="F1735">
        <f>_xlfn.XLOOKUP(Table1[[#This Row],[ProductID]],Products!A:A,Products!D:D,,0)</f>
        <v>75</v>
      </c>
      <c r="I1735">
        <v>299</v>
      </c>
      <c r="J1735">
        <v>299</v>
      </c>
      <c r="K1735" t="s">
        <v>1102</v>
      </c>
      <c r="L1735">
        <v>299</v>
      </c>
      <c r="M1735" t="s">
        <v>1126</v>
      </c>
      <c r="N1735" t="s">
        <v>1123</v>
      </c>
      <c r="O1735">
        <f>Table1[[#This Row],[Unit_Price]]*Table1[[#This Row],[Quantity]]</f>
        <v>75</v>
      </c>
    </row>
    <row r="1736" spans="1:15" x14ac:dyDescent="0.3">
      <c r="A1736" t="s">
        <v>3500</v>
      </c>
      <c r="B1736" t="s">
        <v>1422</v>
      </c>
      <c r="C1736" t="s">
        <v>759</v>
      </c>
      <c r="D1736" t="s">
        <v>1071</v>
      </c>
      <c r="E1736">
        <v>1</v>
      </c>
      <c r="F1736">
        <f>_xlfn.XLOOKUP(Table1[[#This Row],[ProductID]],Products!A:A,Products!D:D,,0)</f>
        <v>125</v>
      </c>
      <c r="I1736">
        <v>399</v>
      </c>
      <c r="J1736">
        <v>319</v>
      </c>
      <c r="K1736" t="s">
        <v>1097</v>
      </c>
      <c r="L1736">
        <v>319</v>
      </c>
      <c r="M1736" t="s">
        <v>1118</v>
      </c>
      <c r="N1736" t="s">
        <v>1099</v>
      </c>
      <c r="O1736">
        <f>Table1[[#This Row],[Unit_Price]]*Table1[[#This Row],[Quantity]]</f>
        <v>125</v>
      </c>
    </row>
    <row r="1737" spans="1:15" x14ac:dyDescent="0.3">
      <c r="A1737" t="s">
        <v>3501</v>
      </c>
      <c r="B1737" t="s">
        <v>1366</v>
      </c>
      <c r="C1737" t="s">
        <v>667</v>
      </c>
      <c r="D1737" t="s">
        <v>1064</v>
      </c>
      <c r="E1737">
        <v>3</v>
      </c>
      <c r="F1737">
        <f>_xlfn.XLOOKUP(Table1[[#This Row],[ProductID]],Products!A:A,Products!D:D,,0)</f>
        <v>160</v>
      </c>
      <c r="I1737">
        <v>699</v>
      </c>
      <c r="J1737">
        <v>699</v>
      </c>
      <c r="K1737" t="s">
        <v>1102</v>
      </c>
      <c r="L1737">
        <v>2097</v>
      </c>
      <c r="M1737" t="s">
        <v>1126</v>
      </c>
      <c r="N1737" t="s">
        <v>1099</v>
      </c>
      <c r="O1737">
        <f>Table1[[#This Row],[Unit_Price]]*Table1[[#This Row],[Quantity]]</f>
        <v>480</v>
      </c>
    </row>
    <row r="1738" spans="1:15" x14ac:dyDescent="0.3">
      <c r="A1738" t="s">
        <v>3502</v>
      </c>
      <c r="B1738" t="s">
        <v>3135</v>
      </c>
      <c r="C1738" t="s">
        <v>535</v>
      </c>
      <c r="D1738" t="s">
        <v>1062</v>
      </c>
      <c r="E1738">
        <v>4</v>
      </c>
      <c r="F1738">
        <f>_xlfn.XLOOKUP(Table1[[#This Row],[ProductID]],Products!A:A,Products!D:D,,0)</f>
        <v>95</v>
      </c>
      <c r="I1738">
        <v>349</v>
      </c>
      <c r="J1738">
        <v>349</v>
      </c>
      <c r="K1738" t="s">
        <v>1102</v>
      </c>
      <c r="L1738">
        <v>1396</v>
      </c>
      <c r="M1738" t="s">
        <v>1093</v>
      </c>
      <c r="N1738" t="s">
        <v>1099</v>
      </c>
      <c r="O1738">
        <f>Table1[[#This Row],[Unit_Price]]*Table1[[#This Row],[Quantity]]</f>
        <v>380</v>
      </c>
    </row>
    <row r="1739" spans="1:15" x14ac:dyDescent="0.3">
      <c r="A1739" t="s">
        <v>3503</v>
      </c>
      <c r="B1739" t="s">
        <v>2032</v>
      </c>
      <c r="C1739" t="s">
        <v>761</v>
      </c>
      <c r="D1739" t="s">
        <v>1051</v>
      </c>
      <c r="E1739">
        <v>1</v>
      </c>
      <c r="F1739">
        <f>_xlfn.XLOOKUP(Table1[[#This Row],[ProductID]],Products!A:A,Products!D:D,,0)</f>
        <v>150</v>
      </c>
      <c r="I1739">
        <v>499</v>
      </c>
      <c r="J1739">
        <v>424</v>
      </c>
      <c r="K1739" t="s">
        <v>1092</v>
      </c>
      <c r="L1739">
        <v>424</v>
      </c>
      <c r="M1739" t="s">
        <v>1093</v>
      </c>
      <c r="N1739" t="s">
        <v>1099</v>
      </c>
      <c r="O1739">
        <f>Table1[[#This Row],[Unit_Price]]*Table1[[#This Row],[Quantity]]</f>
        <v>150</v>
      </c>
    </row>
    <row r="1740" spans="1:15" x14ac:dyDescent="0.3">
      <c r="A1740" t="s">
        <v>3504</v>
      </c>
      <c r="B1740" t="s">
        <v>2485</v>
      </c>
      <c r="C1740" t="s">
        <v>861</v>
      </c>
      <c r="D1740" t="s">
        <v>1048</v>
      </c>
      <c r="E1740">
        <v>3</v>
      </c>
      <c r="F1740">
        <f>_xlfn.XLOOKUP(Table1[[#This Row],[ProductID]],Products!A:A,Products!D:D,,0)</f>
        <v>120</v>
      </c>
      <c r="I1740">
        <v>599</v>
      </c>
      <c r="J1740">
        <v>599</v>
      </c>
      <c r="K1740" t="s">
        <v>1102</v>
      </c>
      <c r="L1740">
        <v>1797</v>
      </c>
      <c r="M1740" t="s">
        <v>1093</v>
      </c>
      <c r="N1740" t="s">
        <v>1099</v>
      </c>
      <c r="O1740">
        <f>Table1[[#This Row],[Unit_Price]]*Table1[[#This Row],[Quantity]]</f>
        <v>360</v>
      </c>
    </row>
    <row r="1741" spans="1:15" x14ac:dyDescent="0.3">
      <c r="A1741" t="s">
        <v>3505</v>
      </c>
      <c r="B1741" t="s">
        <v>1190</v>
      </c>
      <c r="C1741" t="s">
        <v>911</v>
      </c>
      <c r="D1741" t="s">
        <v>1073</v>
      </c>
      <c r="E1741">
        <v>1</v>
      </c>
      <c r="F1741">
        <f>_xlfn.XLOOKUP(Table1[[#This Row],[ProductID]],Products!A:A,Products!D:D,,0)</f>
        <v>100</v>
      </c>
      <c r="I1741">
        <v>349</v>
      </c>
      <c r="J1741">
        <v>349</v>
      </c>
      <c r="K1741" t="s">
        <v>1102</v>
      </c>
      <c r="L1741">
        <v>349</v>
      </c>
      <c r="M1741" t="s">
        <v>1118</v>
      </c>
      <c r="N1741" t="s">
        <v>1099</v>
      </c>
      <c r="O1741">
        <f>Table1[[#This Row],[Unit_Price]]*Table1[[#This Row],[Quantity]]</f>
        <v>100</v>
      </c>
    </row>
    <row r="1742" spans="1:15" x14ac:dyDescent="0.3">
      <c r="A1742" t="s">
        <v>3506</v>
      </c>
      <c r="B1742" t="s">
        <v>3507</v>
      </c>
      <c r="C1742" t="s">
        <v>411</v>
      </c>
      <c r="D1742" t="s">
        <v>1053</v>
      </c>
      <c r="E1742">
        <v>2</v>
      </c>
      <c r="F1742">
        <f>_xlfn.XLOOKUP(Table1[[#This Row],[ProductID]],Products!A:A,Products!D:D,,0)</f>
        <v>200</v>
      </c>
      <c r="I1742">
        <v>899</v>
      </c>
      <c r="J1742">
        <v>719</v>
      </c>
      <c r="K1742" t="s">
        <v>1097</v>
      </c>
      <c r="L1742">
        <v>1438</v>
      </c>
      <c r="M1742" t="s">
        <v>1098</v>
      </c>
      <c r="N1742" t="s">
        <v>1099</v>
      </c>
      <c r="O1742">
        <f>Table1[[#This Row],[Unit_Price]]*Table1[[#This Row],[Quantity]]</f>
        <v>400</v>
      </c>
    </row>
    <row r="1743" spans="1:15" x14ac:dyDescent="0.3">
      <c r="A1743" t="s">
        <v>3508</v>
      </c>
      <c r="B1743" t="s">
        <v>1780</v>
      </c>
      <c r="C1743" t="s">
        <v>517</v>
      </c>
      <c r="D1743" t="s">
        <v>1053</v>
      </c>
      <c r="E1743">
        <v>3</v>
      </c>
      <c r="F1743">
        <f>_xlfn.XLOOKUP(Table1[[#This Row],[ProductID]],Products!A:A,Products!D:D,,0)</f>
        <v>200</v>
      </c>
      <c r="I1743">
        <v>899</v>
      </c>
      <c r="J1743">
        <v>764</v>
      </c>
      <c r="K1743" t="s">
        <v>1092</v>
      </c>
      <c r="L1743">
        <v>2292</v>
      </c>
      <c r="M1743" t="s">
        <v>1098</v>
      </c>
      <c r="N1743" t="s">
        <v>1099</v>
      </c>
      <c r="O1743">
        <f>Table1[[#This Row],[Unit_Price]]*Table1[[#This Row],[Quantity]]</f>
        <v>600</v>
      </c>
    </row>
    <row r="1744" spans="1:15" x14ac:dyDescent="0.3">
      <c r="A1744" t="s">
        <v>3509</v>
      </c>
      <c r="B1744" t="s">
        <v>2413</v>
      </c>
      <c r="C1744" t="s">
        <v>341</v>
      </c>
      <c r="D1744" t="s">
        <v>1071</v>
      </c>
      <c r="E1744">
        <v>1</v>
      </c>
      <c r="F1744">
        <f>_xlfn.XLOOKUP(Table1[[#This Row],[ProductID]],Products!A:A,Products!D:D,,0)</f>
        <v>125</v>
      </c>
      <c r="I1744">
        <v>399</v>
      </c>
      <c r="J1744">
        <v>399</v>
      </c>
      <c r="K1744" t="s">
        <v>1102</v>
      </c>
      <c r="L1744">
        <v>399</v>
      </c>
      <c r="M1744" t="s">
        <v>1098</v>
      </c>
      <c r="N1744" t="s">
        <v>1099</v>
      </c>
      <c r="O1744">
        <f>Table1[[#This Row],[Unit_Price]]*Table1[[#This Row],[Quantity]]</f>
        <v>125</v>
      </c>
    </row>
    <row r="1745" spans="1:15" x14ac:dyDescent="0.3">
      <c r="A1745" t="s">
        <v>3510</v>
      </c>
      <c r="B1745" t="s">
        <v>1513</v>
      </c>
      <c r="C1745" t="s">
        <v>719</v>
      </c>
      <c r="D1745" t="s">
        <v>1048</v>
      </c>
      <c r="E1745">
        <v>1</v>
      </c>
      <c r="F1745">
        <f>_xlfn.XLOOKUP(Table1[[#This Row],[ProductID]],Products!A:A,Products!D:D,,0)</f>
        <v>120</v>
      </c>
      <c r="I1745">
        <v>599</v>
      </c>
      <c r="J1745">
        <v>539</v>
      </c>
      <c r="K1745" t="s">
        <v>1107</v>
      </c>
      <c r="L1745">
        <v>539</v>
      </c>
      <c r="M1745" t="s">
        <v>1093</v>
      </c>
      <c r="N1745" t="s">
        <v>1099</v>
      </c>
      <c r="O1745">
        <f>Table1[[#This Row],[Unit_Price]]*Table1[[#This Row],[Quantity]]</f>
        <v>120</v>
      </c>
    </row>
    <row r="1746" spans="1:15" x14ac:dyDescent="0.3">
      <c r="A1746" t="s">
        <v>3511</v>
      </c>
      <c r="B1746" t="s">
        <v>1875</v>
      </c>
      <c r="C1746" t="s">
        <v>333</v>
      </c>
      <c r="D1746" t="s">
        <v>1068</v>
      </c>
      <c r="E1746">
        <v>1</v>
      </c>
      <c r="F1746">
        <f>_xlfn.XLOOKUP(Table1[[#This Row],[ProductID]],Products!A:A,Products!D:D,,0)</f>
        <v>180</v>
      </c>
      <c r="I1746">
        <v>449</v>
      </c>
      <c r="J1746">
        <v>404</v>
      </c>
      <c r="K1746" t="s">
        <v>1107</v>
      </c>
      <c r="L1746">
        <v>404</v>
      </c>
      <c r="M1746" t="s">
        <v>1098</v>
      </c>
      <c r="N1746" t="s">
        <v>1099</v>
      </c>
      <c r="O1746">
        <f>Table1[[#This Row],[Unit_Price]]*Table1[[#This Row],[Quantity]]</f>
        <v>180</v>
      </c>
    </row>
    <row r="1747" spans="1:15" x14ac:dyDescent="0.3">
      <c r="A1747" t="s">
        <v>3512</v>
      </c>
      <c r="B1747" t="s">
        <v>1457</v>
      </c>
      <c r="C1747" t="s">
        <v>503</v>
      </c>
      <c r="D1747" t="s">
        <v>1059</v>
      </c>
      <c r="E1747">
        <v>2</v>
      </c>
      <c r="F1747">
        <f>_xlfn.XLOOKUP(Table1[[#This Row],[ProductID]],Products!A:A,Products!D:D,,0)</f>
        <v>110</v>
      </c>
      <c r="I1747">
        <v>399</v>
      </c>
      <c r="J1747">
        <v>319</v>
      </c>
      <c r="K1747" t="s">
        <v>1097</v>
      </c>
      <c r="L1747">
        <v>638</v>
      </c>
      <c r="M1747" t="s">
        <v>1093</v>
      </c>
      <c r="N1747" t="s">
        <v>1094</v>
      </c>
      <c r="O1747">
        <f>Table1[[#This Row],[Unit_Price]]*Table1[[#This Row],[Quantity]]</f>
        <v>220</v>
      </c>
    </row>
    <row r="1748" spans="1:15" x14ac:dyDescent="0.3">
      <c r="A1748" t="s">
        <v>3513</v>
      </c>
      <c r="B1748" t="s">
        <v>1931</v>
      </c>
      <c r="C1748" t="s">
        <v>555</v>
      </c>
      <c r="D1748" t="s">
        <v>1078</v>
      </c>
      <c r="E1748">
        <v>1</v>
      </c>
      <c r="F1748">
        <f>_xlfn.XLOOKUP(Table1[[#This Row],[ProductID]],Products!A:A,Products!D:D,,0)</f>
        <v>80</v>
      </c>
      <c r="I1748">
        <v>499</v>
      </c>
      <c r="J1748">
        <v>399</v>
      </c>
      <c r="K1748" t="s">
        <v>1097</v>
      </c>
      <c r="L1748">
        <v>399</v>
      </c>
      <c r="M1748" t="s">
        <v>1098</v>
      </c>
      <c r="N1748" t="s">
        <v>1099</v>
      </c>
      <c r="O1748">
        <f>Table1[[#This Row],[Unit_Price]]*Table1[[#This Row],[Quantity]]</f>
        <v>80</v>
      </c>
    </row>
    <row r="1749" spans="1:15" x14ac:dyDescent="0.3">
      <c r="A1749" t="s">
        <v>3514</v>
      </c>
      <c r="B1749" t="s">
        <v>1692</v>
      </c>
      <c r="C1749" t="s">
        <v>175</v>
      </c>
      <c r="D1749" t="s">
        <v>1073</v>
      </c>
      <c r="E1749">
        <v>3</v>
      </c>
      <c r="F1749">
        <f>_xlfn.XLOOKUP(Table1[[#This Row],[ProductID]],Products!A:A,Products!D:D,,0)</f>
        <v>100</v>
      </c>
      <c r="I1749">
        <v>349</v>
      </c>
      <c r="J1749">
        <v>314</v>
      </c>
      <c r="K1749" t="s">
        <v>1107</v>
      </c>
      <c r="L1749">
        <v>942</v>
      </c>
      <c r="M1749" t="s">
        <v>1093</v>
      </c>
      <c r="N1749" t="s">
        <v>1094</v>
      </c>
      <c r="O1749">
        <f>Table1[[#This Row],[Unit_Price]]*Table1[[#This Row],[Quantity]]</f>
        <v>300</v>
      </c>
    </row>
    <row r="1750" spans="1:15" x14ac:dyDescent="0.3">
      <c r="A1750" t="s">
        <v>3515</v>
      </c>
      <c r="B1750" t="s">
        <v>3516</v>
      </c>
      <c r="C1750" t="s">
        <v>911</v>
      </c>
      <c r="D1750" t="s">
        <v>1059</v>
      </c>
      <c r="E1750">
        <v>1</v>
      </c>
      <c r="F1750">
        <f>_xlfn.XLOOKUP(Table1[[#This Row],[ProductID]],Products!A:A,Products!D:D,,0)</f>
        <v>110</v>
      </c>
      <c r="I1750">
        <v>399</v>
      </c>
      <c r="J1750">
        <v>319</v>
      </c>
      <c r="K1750" t="s">
        <v>1097</v>
      </c>
      <c r="L1750">
        <v>319</v>
      </c>
      <c r="M1750" t="s">
        <v>1093</v>
      </c>
      <c r="N1750" t="s">
        <v>1099</v>
      </c>
      <c r="O1750">
        <f>Table1[[#This Row],[Unit_Price]]*Table1[[#This Row],[Quantity]]</f>
        <v>110</v>
      </c>
    </row>
    <row r="1751" spans="1:15" x14ac:dyDescent="0.3">
      <c r="A1751" t="s">
        <v>3517</v>
      </c>
      <c r="B1751" t="s">
        <v>2148</v>
      </c>
      <c r="C1751" t="s">
        <v>140</v>
      </c>
      <c r="D1751" t="s">
        <v>1066</v>
      </c>
      <c r="E1751">
        <v>1</v>
      </c>
      <c r="F1751">
        <f>_xlfn.XLOOKUP(Table1[[#This Row],[ProductID]],Products!A:A,Products!D:D,,0)</f>
        <v>140</v>
      </c>
      <c r="I1751">
        <v>499</v>
      </c>
      <c r="J1751">
        <v>399</v>
      </c>
      <c r="K1751" t="s">
        <v>1097</v>
      </c>
      <c r="L1751">
        <v>399</v>
      </c>
      <c r="M1751" t="s">
        <v>1126</v>
      </c>
      <c r="N1751" t="s">
        <v>1099</v>
      </c>
      <c r="O1751">
        <f>Table1[[#This Row],[Unit_Price]]*Table1[[#This Row],[Quantity]]</f>
        <v>140</v>
      </c>
    </row>
    <row r="1752" spans="1:15" x14ac:dyDescent="0.3">
      <c r="A1752" t="s">
        <v>3518</v>
      </c>
      <c r="B1752" t="s">
        <v>1692</v>
      </c>
      <c r="C1752" t="s">
        <v>110</v>
      </c>
      <c r="D1752" t="s">
        <v>1055</v>
      </c>
      <c r="E1752">
        <v>1</v>
      </c>
      <c r="F1752">
        <f>_xlfn.XLOOKUP(Table1[[#This Row],[ProductID]],Products!A:A,Products!D:D,,0)</f>
        <v>75</v>
      </c>
      <c r="I1752">
        <v>299</v>
      </c>
      <c r="J1752">
        <v>239</v>
      </c>
      <c r="K1752" t="s">
        <v>1097</v>
      </c>
      <c r="L1752">
        <v>239</v>
      </c>
      <c r="M1752" t="s">
        <v>1093</v>
      </c>
      <c r="N1752" t="s">
        <v>1099</v>
      </c>
      <c r="O1752">
        <f>Table1[[#This Row],[Unit_Price]]*Table1[[#This Row],[Quantity]]</f>
        <v>75</v>
      </c>
    </row>
    <row r="1753" spans="1:15" x14ac:dyDescent="0.3">
      <c r="A1753" t="s">
        <v>3519</v>
      </c>
      <c r="B1753" t="s">
        <v>2963</v>
      </c>
      <c r="C1753" t="s">
        <v>427</v>
      </c>
      <c r="D1753" t="s">
        <v>1078</v>
      </c>
      <c r="E1753">
        <v>1</v>
      </c>
      <c r="F1753">
        <f>_xlfn.XLOOKUP(Table1[[#This Row],[ProductID]],Products!A:A,Products!D:D,,0)</f>
        <v>80</v>
      </c>
      <c r="I1753">
        <v>499</v>
      </c>
      <c r="J1753">
        <v>449</v>
      </c>
      <c r="K1753" t="s">
        <v>1107</v>
      </c>
      <c r="L1753">
        <v>449</v>
      </c>
      <c r="M1753" t="s">
        <v>1098</v>
      </c>
      <c r="N1753" t="s">
        <v>1099</v>
      </c>
      <c r="O1753">
        <f>Table1[[#This Row],[Unit_Price]]*Table1[[#This Row],[Quantity]]</f>
        <v>80</v>
      </c>
    </row>
    <row r="1754" spans="1:15" x14ac:dyDescent="0.3">
      <c r="A1754" t="s">
        <v>3520</v>
      </c>
      <c r="B1754" t="s">
        <v>2342</v>
      </c>
      <c r="C1754" t="s">
        <v>165</v>
      </c>
      <c r="D1754" t="s">
        <v>1071</v>
      </c>
      <c r="E1754">
        <v>1</v>
      </c>
      <c r="F1754">
        <f>_xlfn.XLOOKUP(Table1[[#This Row],[ProductID]],Products!A:A,Products!D:D,,0)</f>
        <v>125</v>
      </c>
      <c r="I1754">
        <v>399</v>
      </c>
      <c r="J1754">
        <v>359</v>
      </c>
      <c r="K1754" t="s">
        <v>1107</v>
      </c>
      <c r="L1754">
        <v>359</v>
      </c>
      <c r="M1754" t="s">
        <v>1093</v>
      </c>
      <c r="N1754" t="s">
        <v>1099</v>
      </c>
      <c r="O1754">
        <f>Table1[[#This Row],[Unit_Price]]*Table1[[#This Row],[Quantity]]</f>
        <v>125</v>
      </c>
    </row>
    <row r="1755" spans="1:15" x14ac:dyDescent="0.3">
      <c r="A1755" t="s">
        <v>3521</v>
      </c>
      <c r="B1755" t="s">
        <v>2239</v>
      </c>
      <c r="C1755" t="s">
        <v>651</v>
      </c>
      <c r="D1755" t="s">
        <v>1066</v>
      </c>
      <c r="E1755">
        <v>1</v>
      </c>
      <c r="F1755">
        <f>_xlfn.XLOOKUP(Table1[[#This Row],[ProductID]],Products!A:A,Products!D:D,,0)</f>
        <v>140</v>
      </c>
      <c r="I1755">
        <v>499</v>
      </c>
      <c r="J1755">
        <v>399</v>
      </c>
      <c r="K1755" t="s">
        <v>1097</v>
      </c>
      <c r="L1755">
        <v>399</v>
      </c>
      <c r="M1755" t="s">
        <v>1093</v>
      </c>
      <c r="N1755" t="s">
        <v>1099</v>
      </c>
      <c r="O1755">
        <f>Table1[[#This Row],[Unit_Price]]*Table1[[#This Row],[Quantity]]</f>
        <v>140</v>
      </c>
    </row>
    <row r="1756" spans="1:15" x14ac:dyDescent="0.3">
      <c r="A1756" t="s">
        <v>3522</v>
      </c>
      <c r="B1756" t="s">
        <v>3516</v>
      </c>
      <c r="C1756" t="s">
        <v>1011</v>
      </c>
      <c r="D1756" t="s">
        <v>1064</v>
      </c>
      <c r="E1756">
        <v>1</v>
      </c>
      <c r="F1756">
        <f>_xlfn.XLOOKUP(Table1[[#This Row],[ProductID]],Products!A:A,Products!D:D,,0)</f>
        <v>160</v>
      </c>
      <c r="I1756">
        <v>699</v>
      </c>
      <c r="J1756">
        <v>629</v>
      </c>
      <c r="K1756" t="s">
        <v>1107</v>
      </c>
      <c r="L1756">
        <v>629</v>
      </c>
      <c r="M1756" t="s">
        <v>1093</v>
      </c>
      <c r="N1756" t="s">
        <v>1123</v>
      </c>
      <c r="O1756">
        <f>Table1[[#This Row],[Unit_Price]]*Table1[[#This Row],[Quantity]]</f>
        <v>160</v>
      </c>
    </row>
    <row r="1757" spans="1:15" x14ac:dyDescent="0.3">
      <c r="A1757" t="s">
        <v>3523</v>
      </c>
      <c r="B1757" t="s">
        <v>3009</v>
      </c>
      <c r="C1757" t="s">
        <v>329</v>
      </c>
      <c r="D1757" t="s">
        <v>1064</v>
      </c>
      <c r="E1757">
        <v>1</v>
      </c>
      <c r="F1757">
        <f>_xlfn.XLOOKUP(Table1[[#This Row],[ProductID]],Products!A:A,Products!D:D,,0)</f>
        <v>160</v>
      </c>
      <c r="I1757">
        <v>699</v>
      </c>
      <c r="J1757">
        <v>559</v>
      </c>
      <c r="K1757" t="s">
        <v>1097</v>
      </c>
      <c r="L1757">
        <v>559</v>
      </c>
      <c r="M1757" t="s">
        <v>1098</v>
      </c>
      <c r="N1757" t="s">
        <v>1094</v>
      </c>
      <c r="O1757">
        <f>Table1[[#This Row],[Unit_Price]]*Table1[[#This Row],[Quantity]]</f>
        <v>160</v>
      </c>
    </row>
    <row r="1758" spans="1:15" x14ac:dyDescent="0.3">
      <c r="A1758" t="s">
        <v>3524</v>
      </c>
      <c r="B1758" t="s">
        <v>1719</v>
      </c>
      <c r="C1758" t="s">
        <v>1017</v>
      </c>
      <c r="D1758" t="s">
        <v>1073</v>
      </c>
      <c r="E1758">
        <v>1</v>
      </c>
      <c r="F1758">
        <f>_xlfn.XLOOKUP(Table1[[#This Row],[ProductID]],Products!A:A,Products!D:D,,0)</f>
        <v>100</v>
      </c>
      <c r="I1758">
        <v>349</v>
      </c>
      <c r="J1758">
        <v>279</v>
      </c>
      <c r="K1758" t="s">
        <v>1097</v>
      </c>
      <c r="L1758">
        <v>279</v>
      </c>
      <c r="M1758" t="s">
        <v>1098</v>
      </c>
      <c r="N1758" t="s">
        <v>1099</v>
      </c>
      <c r="O1758">
        <f>Table1[[#This Row],[Unit_Price]]*Table1[[#This Row],[Quantity]]</f>
        <v>100</v>
      </c>
    </row>
    <row r="1759" spans="1:15" x14ac:dyDescent="0.3">
      <c r="A1759" t="s">
        <v>3525</v>
      </c>
      <c r="B1759" t="s">
        <v>3526</v>
      </c>
      <c r="C1759" t="s">
        <v>29</v>
      </c>
      <c r="D1759" t="s">
        <v>1066</v>
      </c>
      <c r="E1759">
        <v>1</v>
      </c>
      <c r="F1759">
        <f>_xlfn.XLOOKUP(Table1[[#This Row],[ProductID]],Products!A:A,Products!D:D,,0)</f>
        <v>140</v>
      </c>
      <c r="I1759">
        <v>499</v>
      </c>
      <c r="J1759">
        <v>499</v>
      </c>
      <c r="K1759" t="s">
        <v>1102</v>
      </c>
      <c r="L1759">
        <v>499</v>
      </c>
      <c r="M1759" t="s">
        <v>1093</v>
      </c>
      <c r="N1759" t="s">
        <v>1094</v>
      </c>
      <c r="O1759">
        <f>Table1[[#This Row],[Unit_Price]]*Table1[[#This Row],[Quantity]]</f>
        <v>140</v>
      </c>
    </row>
    <row r="1760" spans="1:15" x14ac:dyDescent="0.3">
      <c r="A1760" t="s">
        <v>3527</v>
      </c>
      <c r="B1760" t="s">
        <v>2924</v>
      </c>
      <c r="C1760" t="s">
        <v>25</v>
      </c>
      <c r="D1760" t="s">
        <v>1075</v>
      </c>
      <c r="E1760">
        <v>3</v>
      </c>
      <c r="F1760">
        <f>_xlfn.XLOOKUP(Table1[[#This Row],[ProductID]],Products!A:A,Products!D:D,,0)</f>
        <v>80</v>
      </c>
      <c r="I1760">
        <v>499</v>
      </c>
      <c r="J1760">
        <v>499</v>
      </c>
      <c r="K1760" t="s">
        <v>1102</v>
      </c>
      <c r="L1760">
        <v>1497</v>
      </c>
      <c r="M1760" t="s">
        <v>1098</v>
      </c>
      <c r="N1760" t="s">
        <v>1099</v>
      </c>
      <c r="O1760">
        <f>Table1[[#This Row],[Unit_Price]]*Table1[[#This Row],[Quantity]]</f>
        <v>240</v>
      </c>
    </row>
    <row r="1761" spans="1:15" x14ac:dyDescent="0.3">
      <c r="A1761" t="s">
        <v>3528</v>
      </c>
      <c r="B1761" t="s">
        <v>2257</v>
      </c>
      <c r="C1761" t="s">
        <v>561</v>
      </c>
      <c r="D1761" t="s">
        <v>1051</v>
      </c>
      <c r="E1761">
        <v>3</v>
      </c>
      <c r="F1761">
        <f>_xlfn.XLOOKUP(Table1[[#This Row],[ProductID]],Products!A:A,Products!D:D,,0)</f>
        <v>150</v>
      </c>
      <c r="I1761">
        <v>499</v>
      </c>
      <c r="J1761">
        <v>499</v>
      </c>
      <c r="K1761" t="s">
        <v>1102</v>
      </c>
      <c r="L1761">
        <v>1497</v>
      </c>
      <c r="M1761" t="s">
        <v>1098</v>
      </c>
      <c r="N1761" t="s">
        <v>1099</v>
      </c>
      <c r="O1761">
        <f>Table1[[#This Row],[Unit_Price]]*Table1[[#This Row],[Quantity]]</f>
        <v>450</v>
      </c>
    </row>
    <row r="1762" spans="1:15" x14ac:dyDescent="0.3">
      <c r="A1762" t="s">
        <v>3529</v>
      </c>
      <c r="B1762" t="s">
        <v>2690</v>
      </c>
      <c r="C1762" t="s">
        <v>134</v>
      </c>
      <c r="D1762" t="s">
        <v>1066</v>
      </c>
      <c r="E1762">
        <v>1</v>
      </c>
      <c r="F1762">
        <f>_xlfn.XLOOKUP(Table1[[#This Row],[ProductID]],Products!A:A,Products!D:D,,0)</f>
        <v>140</v>
      </c>
      <c r="I1762">
        <v>499</v>
      </c>
      <c r="J1762">
        <v>424</v>
      </c>
      <c r="K1762" t="s">
        <v>1092</v>
      </c>
      <c r="L1762">
        <v>424</v>
      </c>
      <c r="M1762" t="s">
        <v>1093</v>
      </c>
      <c r="N1762" t="s">
        <v>1099</v>
      </c>
      <c r="O1762">
        <f>Table1[[#This Row],[Unit_Price]]*Table1[[#This Row],[Quantity]]</f>
        <v>140</v>
      </c>
    </row>
    <row r="1763" spans="1:15" x14ac:dyDescent="0.3">
      <c r="A1763" t="s">
        <v>3530</v>
      </c>
      <c r="B1763" t="s">
        <v>1543</v>
      </c>
      <c r="C1763" t="s">
        <v>861</v>
      </c>
      <c r="D1763" t="s">
        <v>1057</v>
      </c>
      <c r="E1763">
        <v>1</v>
      </c>
      <c r="F1763">
        <f>_xlfn.XLOOKUP(Table1[[#This Row],[ProductID]],Products!A:A,Products!D:D,,0)</f>
        <v>130</v>
      </c>
      <c r="I1763">
        <v>549</v>
      </c>
      <c r="J1763">
        <v>467</v>
      </c>
      <c r="K1763" t="s">
        <v>1092</v>
      </c>
      <c r="L1763">
        <v>467</v>
      </c>
      <c r="M1763" t="s">
        <v>1093</v>
      </c>
      <c r="N1763" t="s">
        <v>1099</v>
      </c>
      <c r="O1763">
        <f>Table1[[#This Row],[Unit_Price]]*Table1[[#This Row],[Quantity]]</f>
        <v>130</v>
      </c>
    </row>
    <row r="1764" spans="1:15" x14ac:dyDescent="0.3">
      <c r="A1764" t="s">
        <v>3531</v>
      </c>
      <c r="B1764" t="s">
        <v>1104</v>
      </c>
      <c r="C1764" t="s">
        <v>1019</v>
      </c>
      <c r="D1764" t="s">
        <v>1066</v>
      </c>
      <c r="E1764">
        <v>3</v>
      </c>
      <c r="F1764">
        <f>_xlfn.XLOOKUP(Table1[[#This Row],[ProductID]],Products!A:A,Products!D:D,,0)</f>
        <v>140</v>
      </c>
      <c r="I1764">
        <v>499</v>
      </c>
      <c r="J1764">
        <v>399</v>
      </c>
      <c r="K1764" t="s">
        <v>1097</v>
      </c>
      <c r="L1764">
        <v>1197</v>
      </c>
      <c r="M1764" t="s">
        <v>1093</v>
      </c>
      <c r="N1764" t="s">
        <v>1099</v>
      </c>
      <c r="O1764">
        <f>Table1[[#This Row],[Unit_Price]]*Table1[[#This Row],[Quantity]]</f>
        <v>420</v>
      </c>
    </row>
    <row r="1765" spans="1:15" x14ac:dyDescent="0.3">
      <c r="A1765" t="s">
        <v>3532</v>
      </c>
      <c r="B1765" t="s">
        <v>2116</v>
      </c>
      <c r="C1765" t="s">
        <v>809</v>
      </c>
      <c r="D1765" t="s">
        <v>1048</v>
      </c>
      <c r="E1765">
        <v>1</v>
      </c>
      <c r="F1765">
        <f>_xlfn.XLOOKUP(Table1[[#This Row],[ProductID]],Products!A:A,Products!D:D,,0)</f>
        <v>120</v>
      </c>
      <c r="I1765">
        <v>599</v>
      </c>
      <c r="J1765">
        <v>539</v>
      </c>
      <c r="K1765" t="s">
        <v>1107</v>
      </c>
      <c r="L1765">
        <v>539</v>
      </c>
      <c r="M1765" t="s">
        <v>1093</v>
      </c>
      <c r="N1765" t="s">
        <v>1123</v>
      </c>
      <c r="O1765">
        <f>Table1[[#This Row],[Unit_Price]]*Table1[[#This Row],[Quantity]]</f>
        <v>120</v>
      </c>
    </row>
    <row r="1766" spans="1:15" x14ac:dyDescent="0.3">
      <c r="A1766" t="s">
        <v>3533</v>
      </c>
      <c r="B1766" t="s">
        <v>2816</v>
      </c>
      <c r="C1766" t="s">
        <v>285</v>
      </c>
      <c r="D1766" t="s">
        <v>1078</v>
      </c>
      <c r="E1766">
        <v>4</v>
      </c>
      <c r="F1766">
        <f>_xlfn.XLOOKUP(Table1[[#This Row],[ProductID]],Products!A:A,Products!D:D,,0)</f>
        <v>80</v>
      </c>
      <c r="I1766">
        <v>499</v>
      </c>
      <c r="J1766">
        <v>449</v>
      </c>
      <c r="K1766" t="s">
        <v>1107</v>
      </c>
      <c r="L1766">
        <v>1796</v>
      </c>
      <c r="M1766" t="s">
        <v>1093</v>
      </c>
      <c r="N1766" t="s">
        <v>1099</v>
      </c>
      <c r="O1766">
        <f>Table1[[#This Row],[Unit_Price]]*Table1[[#This Row],[Quantity]]</f>
        <v>320</v>
      </c>
    </row>
    <row r="1767" spans="1:15" x14ac:dyDescent="0.3">
      <c r="A1767" t="s">
        <v>3534</v>
      </c>
      <c r="B1767" t="s">
        <v>1790</v>
      </c>
      <c r="C1767" t="s">
        <v>407</v>
      </c>
      <c r="D1767" t="s">
        <v>1055</v>
      </c>
      <c r="E1767">
        <v>1</v>
      </c>
      <c r="F1767">
        <f>_xlfn.XLOOKUP(Table1[[#This Row],[ProductID]],Products!A:A,Products!D:D,,0)</f>
        <v>75</v>
      </c>
      <c r="I1767">
        <v>299</v>
      </c>
      <c r="J1767">
        <v>269</v>
      </c>
      <c r="K1767" t="s">
        <v>1107</v>
      </c>
      <c r="L1767">
        <v>269</v>
      </c>
      <c r="M1767" t="s">
        <v>1098</v>
      </c>
      <c r="N1767" t="s">
        <v>1099</v>
      </c>
      <c r="O1767">
        <f>Table1[[#This Row],[Unit_Price]]*Table1[[#This Row],[Quantity]]</f>
        <v>75</v>
      </c>
    </row>
    <row r="1768" spans="1:15" x14ac:dyDescent="0.3">
      <c r="A1768" t="s">
        <v>3535</v>
      </c>
      <c r="B1768" t="s">
        <v>2856</v>
      </c>
      <c r="C1768" t="s">
        <v>591</v>
      </c>
      <c r="D1768" t="s">
        <v>1055</v>
      </c>
      <c r="E1768">
        <v>1</v>
      </c>
      <c r="F1768">
        <f>_xlfn.XLOOKUP(Table1[[#This Row],[ProductID]],Products!A:A,Products!D:D,,0)</f>
        <v>75</v>
      </c>
      <c r="I1768">
        <v>299</v>
      </c>
      <c r="J1768">
        <v>269</v>
      </c>
      <c r="K1768" t="s">
        <v>1107</v>
      </c>
      <c r="L1768">
        <v>269</v>
      </c>
      <c r="M1768" t="s">
        <v>1093</v>
      </c>
      <c r="N1768" t="s">
        <v>1099</v>
      </c>
      <c r="O1768">
        <f>Table1[[#This Row],[Unit_Price]]*Table1[[#This Row],[Quantity]]</f>
        <v>75</v>
      </c>
    </row>
    <row r="1769" spans="1:15" x14ac:dyDescent="0.3">
      <c r="A1769" t="s">
        <v>3536</v>
      </c>
      <c r="B1769" t="s">
        <v>2067</v>
      </c>
      <c r="C1769" t="s">
        <v>699</v>
      </c>
      <c r="D1769" t="s">
        <v>1048</v>
      </c>
      <c r="E1769">
        <v>1</v>
      </c>
      <c r="F1769">
        <f>_xlfn.XLOOKUP(Table1[[#This Row],[ProductID]],Products!A:A,Products!D:D,,0)</f>
        <v>120</v>
      </c>
      <c r="I1769">
        <v>599</v>
      </c>
      <c r="J1769">
        <v>509</v>
      </c>
      <c r="K1769" t="s">
        <v>1092</v>
      </c>
      <c r="L1769">
        <v>509</v>
      </c>
      <c r="M1769" t="s">
        <v>1126</v>
      </c>
      <c r="N1769" t="s">
        <v>1123</v>
      </c>
      <c r="O1769">
        <f>Table1[[#This Row],[Unit_Price]]*Table1[[#This Row],[Quantity]]</f>
        <v>120</v>
      </c>
    </row>
    <row r="1770" spans="1:15" x14ac:dyDescent="0.3">
      <c r="A1770" t="s">
        <v>3537</v>
      </c>
      <c r="B1770" t="s">
        <v>2025</v>
      </c>
      <c r="C1770" t="s">
        <v>389</v>
      </c>
      <c r="D1770" t="s">
        <v>1062</v>
      </c>
      <c r="E1770">
        <v>1</v>
      </c>
      <c r="F1770">
        <f>_xlfn.XLOOKUP(Table1[[#This Row],[ProductID]],Products!A:A,Products!D:D,,0)</f>
        <v>95</v>
      </c>
      <c r="I1770">
        <v>349</v>
      </c>
      <c r="J1770">
        <v>314</v>
      </c>
      <c r="K1770" t="s">
        <v>1107</v>
      </c>
      <c r="L1770">
        <v>314</v>
      </c>
      <c r="M1770" t="s">
        <v>1098</v>
      </c>
      <c r="N1770" t="s">
        <v>1099</v>
      </c>
      <c r="O1770">
        <f>Table1[[#This Row],[Unit_Price]]*Table1[[#This Row],[Quantity]]</f>
        <v>95</v>
      </c>
    </row>
    <row r="1771" spans="1:15" x14ac:dyDescent="0.3">
      <c r="A1771" t="s">
        <v>3538</v>
      </c>
      <c r="B1771" t="s">
        <v>2227</v>
      </c>
      <c r="C1771" t="s">
        <v>721</v>
      </c>
      <c r="D1771" t="s">
        <v>1071</v>
      </c>
      <c r="E1771">
        <v>2</v>
      </c>
      <c r="F1771">
        <f>_xlfn.XLOOKUP(Table1[[#This Row],[ProductID]],Products!A:A,Products!D:D,,0)</f>
        <v>125</v>
      </c>
      <c r="I1771">
        <v>399</v>
      </c>
      <c r="J1771">
        <v>359</v>
      </c>
      <c r="K1771" t="s">
        <v>1107</v>
      </c>
      <c r="L1771">
        <v>718</v>
      </c>
      <c r="M1771" t="s">
        <v>1098</v>
      </c>
      <c r="N1771" t="s">
        <v>1099</v>
      </c>
      <c r="O1771">
        <f>Table1[[#This Row],[Unit_Price]]*Table1[[#This Row],[Quantity]]</f>
        <v>250</v>
      </c>
    </row>
    <row r="1772" spans="1:15" x14ac:dyDescent="0.3">
      <c r="A1772" t="s">
        <v>3539</v>
      </c>
      <c r="B1772" t="s">
        <v>3329</v>
      </c>
      <c r="C1772" t="s">
        <v>753</v>
      </c>
      <c r="D1772" t="s">
        <v>1057</v>
      </c>
      <c r="E1772">
        <v>1</v>
      </c>
      <c r="F1772">
        <f>_xlfn.XLOOKUP(Table1[[#This Row],[ProductID]],Products!A:A,Products!D:D,,0)</f>
        <v>130</v>
      </c>
      <c r="I1772">
        <v>549</v>
      </c>
      <c r="J1772">
        <v>549</v>
      </c>
      <c r="K1772" t="s">
        <v>1102</v>
      </c>
      <c r="L1772">
        <v>549</v>
      </c>
      <c r="M1772" t="s">
        <v>1098</v>
      </c>
      <c r="N1772" t="s">
        <v>1099</v>
      </c>
      <c r="O1772">
        <f>Table1[[#This Row],[Unit_Price]]*Table1[[#This Row],[Quantity]]</f>
        <v>130</v>
      </c>
    </row>
    <row r="1773" spans="1:15" x14ac:dyDescent="0.3">
      <c r="A1773" t="s">
        <v>3540</v>
      </c>
      <c r="B1773" t="s">
        <v>2628</v>
      </c>
      <c r="C1773" t="s">
        <v>597</v>
      </c>
      <c r="D1773" t="s">
        <v>1075</v>
      </c>
      <c r="E1773">
        <v>2</v>
      </c>
      <c r="F1773">
        <f>_xlfn.XLOOKUP(Table1[[#This Row],[ProductID]],Products!A:A,Products!D:D,,0)</f>
        <v>80</v>
      </c>
      <c r="I1773">
        <v>499</v>
      </c>
      <c r="J1773">
        <v>399</v>
      </c>
      <c r="K1773" t="s">
        <v>1097</v>
      </c>
      <c r="L1773">
        <v>798</v>
      </c>
      <c r="M1773" t="s">
        <v>1093</v>
      </c>
      <c r="N1773" t="s">
        <v>1123</v>
      </c>
      <c r="O1773">
        <f>Table1[[#This Row],[Unit_Price]]*Table1[[#This Row],[Quantity]]</f>
        <v>160</v>
      </c>
    </row>
    <row r="1774" spans="1:15" x14ac:dyDescent="0.3">
      <c r="A1774" t="s">
        <v>3541</v>
      </c>
      <c r="B1774" t="s">
        <v>1436</v>
      </c>
      <c r="C1774" t="s">
        <v>909</v>
      </c>
      <c r="D1774" t="s">
        <v>1055</v>
      </c>
      <c r="E1774">
        <v>1</v>
      </c>
      <c r="F1774">
        <f>_xlfn.XLOOKUP(Table1[[#This Row],[ProductID]],Products!A:A,Products!D:D,,0)</f>
        <v>75</v>
      </c>
      <c r="I1774">
        <v>299</v>
      </c>
      <c r="J1774">
        <v>299</v>
      </c>
      <c r="K1774" t="s">
        <v>1102</v>
      </c>
      <c r="L1774">
        <v>299</v>
      </c>
      <c r="M1774" t="s">
        <v>1098</v>
      </c>
      <c r="N1774" t="s">
        <v>1099</v>
      </c>
      <c r="O1774">
        <f>Table1[[#This Row],[Unit_Price]]*Table1[[#This Row],[Quantity]]</f>
        <v>75</v>
      </c>
    </row>
    <row r="1775" spans="1:15" x14ac:dyDescent="0.3">
      <c r="A1775" t="s">
        <v>3542</v>
      </c>
      <c r="B1775" t="s">
        <v>2275</v>
      </c>
      <c r="C1775" t="s">
        <v>859</v>
      </c>
      <c r="D1775" t="s">
        <v>1057</v>
      </c>
      <c r="E1775">
        <v>1</v>
      </c>
      <c r="F1775">
        <f>_xlfn.XLOOKUP(Table1[[#This Row],[ProductID]],Products!A:A,Products!D:D,,0)</f>
        <v>130</v>
      </c>
      <c r="I1775">
        <v>549</v>
      </c>
      <c r="J1775">
        <v>439</v>
      </c>
      <c r="K1775" t="s">
        <v>1097</v>
      </c>
      <c r="L1775">
        <v>439</v>
      </c>
      <c r="M1775" t="s">
        <v>1093</v>
      </c>
      <c r="N1775" t="s">
        <v>1094</v>
      </c>
      <c r="O1775">
        <f>Table1[[#This Row],[Unit_Price]]*Table1[[#This Row],[Quantity]]</f>
        <v>130</v>
      </c>
    </row>
    <row r="1776" spans="1:15" x14ac:dyDescent="0.3">
      <c r="A1776" t="s">
        <v>3543</v>
      </c>
      <c r="B1776" t="s">
        <v>1398</v>
      </c>
      <c r="C1776" t="s">
        <v>973</v>
      </c>
      <c r="D1776" t="s">
        <v>1055</v>
      </c>
      <c r="E1776">
        <v>1</v>
      </c>
      <c r="F1776">
        <f>_xlfn.XLOOKUP(Table1[[#This Row],[ProductID]],Products!A:A,Products!D:D,,0)</f>
        <v>75</v>
      </c>
      <c r="I1776">
        <v>299</v>
      </c>
      <c r="J1776">
        <v>269</v>
      </c>
      <c r="K1776" t="s">
        <v>1107</v>
      </c>
      <c r="L1776">
        <v>269</v>
      </c>
      <c r="M1776" t="s">
        <v>1093</v>
      </c>
      <c r="N1776" t="s">
        <v>1094</v>
      </c>
      <c r="O1776">
        <f>Table1[[#This Row],[Unit_Price]]*Table1[[#This Row],[Quantity]]</f>
        <v>75</v>
      </c>
    </row>
    <row r="1777" spans="1:15" x14ac:dyDescent="0.3">
      <c r="A1777" t="s">
        <v>3544</v>
      </c>
      <c r="B1777" t="s">
        <v>1811</v>
      </c>
      <c r="C1777" t="s">
        <v>899</v>
      </c>
      <c r="D1777" t="s">
        <v>1080</v>
      </c>
      <c r="E1777">
        <v>1</v>
      </c>
      <c r="F1777">
        <f>_xlfn.XLOOKUP(Table1[[#This Row],[ProductID]],Products!A:A,Products!D:D,,0)</f>
        <v>45</v>
      </c>
      <c r="I1777">
        <v>249</v>
      </c>
      <c r="J1777">
        <v>224</v>
      </c>
      <c r="K1777" t="s">
        <v>1107</v>
      </c>
      <c r="L1777">
        <v>224</v>
      </c>
      <c r="M1777" t="s">
        <v>1093</v>
      </c>
      <c r="N1777" t="s">
        <v>1099</v>
      </c>
      <c r="O1777">
        <f>Table1[[#This Row],[Unit_Price]]*Table1[[#This Row],[Quantity]]</f>
        <v>45</v>
      </c>
    </row>
    <row r="1778" spans="1:15" x14ac:dyDescent="0.3">
      <c r="A1778" t="s">
        <v>3545</v>
      </c>
      <c r="B1778" t="s">
        <v>1096</v>
      </c>
      <c r="C1778" t="s">
        <v>273</v>
      </c>
      <c r="D1778" t="s">
        <v>1062</v>
      </c>
      <c r="E1778">
        <v>2</v>
      </c>
      <c r="F1778">
        <f>_xlfn.XLOOKUP(Table1[[#This Row],[ProductID]],Products!A:A,Products!D:D,,0)</f>
        <v>95</v>
      </c>
      <c r="I1778">
        <v>349</v>
      </c>
      <c r="J1778">
        <v>349</v>
      </c>
      <c r="K1778" t="s">
        <v>1102</v>
      </c>
      <c r="L1778">
        <v>698</v>
      </c>
      <c r="M1778" t="s">
        <v>1098</v>
      </c>
      <c r="N1778" t="s">
        <v>1099</v>
      </c>
      <c r="O1778">
        <f>Table1[[#This Row],[Unit_Price]]*Table1[[#This Row],[Quantity]]</f>
        <v>190</v>
      </c>
    </row>
    <row r="1779" spans="1:15" x14ac:dyDescent="0.3">
      <c r="A1779" t="s">
        <v>3546</v>
      </c>
      <c r="B1779" t="s">
        <v>3086</v>
      </c>
      <c r="C1779" t="s">
        <v>913</v>
      </c>
      <c r="D1779" t="s">
        <v>1064</v>
      </c>
      <c r="E1779">
        <v>1</v>
      </c>
      <c r="F1779">
        <f>_xlfn.XLOOKUP(Table1[[#This Row],[ProductID]],Products!A:A,Products!D:D,,0)</f>
        <v>160</v>
      </c>
      <c r="I1779">
        <v>699</v>
      </c>
      <c r="J1779">
        <v>699</v>
      </c>
      <c r="K1779" t="s">
        <v>1102</v>
      </c>
      <c r="L1779">
        <v>699</v>
      </c>
      <c r="M1779" t="s">
        <v>1098</v>
      </c>
      <c r="N1779" t="s">
        <v>1099</v>
      </c>
      <c r="O1779">
        <f>Table1[[#This Row],[Unit_Price]]*Table1[[#This Row],[Quantity]]</f>
        <v>160</v>
      </c>
    </row>
    <row r="1780" spans="1:15" x14ac:dyDescent="0.3">
      <c r="A1780" t="s">
        <v>3547</v>
      </c>
      <c r="B1780" t="s">
        <v>1728</v>
      </c>
      <c r="C1780" t="s">
        <v>609</v>
      </c>
      <c r="D1780" t="s">
        <v>1075</v>
      </c>
      <c r="E1780">
        <v>1</v>
      </c>
      <c r="F1780">
        <f>_xlfn.XLOOKUP(Table1[[#This Row],[ProductID]],Products!A:A,Products!D:D,,0)</f>
        <v>80</v>
      </c>
      <c r="I1780">
        <v>499</v>
      </c>
      <c r="J1780">
        <v>449</v>
      </c>
      <c r="K1780" t="s">
        <v>1107</v>
      </c>
      <c r="L1780">
        <v>449</v>
      </c>
      <c r="M1780" t="s">
        <v>1098</v>
      </c>
      <c r="N1780" t="s">
        <v>1099</v>
      </c>
      <c r="O1780">
        <f>Table1[[#This Row],[Unit_Price]]*Table1[[#This Row],[Quantity]]</f>
        <v>80</v>
      </c>
    </row>
    <row r="1781" spans="1:15" x14ac:dyDescent="0.3">
      <c r="A1781" t="s">
        <v>3548</v>
      </c>
      <c r="B1781" t="s">
        <v>3549</v>
      </c>
      <c r="C1781" t="s">
        <v>695</v>
      </c>
      <c r="D1781" t="s">
        <v>1055</v>
      </c>
      <c r="E1781">
        <v>1</v>
      </c>
      <c r="F1781">
        <f>_xlfn.XLOOKUP(Table1[[#This Row],[ProductID]],Products!A:A,Products!D:D,,0)</f>
        <v>75</v>
      </c>
      <c r="I1781">
        <v>299</v>
      </c>
      <c r="J1781">
        <v>269</v>
      </c>
      <c r="K1781" t="s">
        <v>1107</v>
      </c>
      <c r="L1781">
        <v>269</v>
      </c>
      <c r="M1781" t="s">
        <v>1098</v>
      </c>
      <c r="N1781" t="s">
        <v>1099</v>
      </c>
      <c r="O1781">
        <f>Table1[[#This Row],[Unit_Price]]*Table1[[#This Row],[Quantity]]</f>
        <v>75</v>
      </c>
    </row>
    <row r="1782" spans="1:15" x14ac:dyDescent="0.3">
      <c r="A1782" t="s">
        <v>3550</v>
      </c>
      <c r="B1782" t="s">
        <v>1484</v>
      </c>
      <c r="C1782" t="s">
        <v>755</v>
      </c>
      <c r="D1782" t="s">
        <v>1057</v>
      </c>
      <c r="E1782">
        <v>2</v>
      </c>
      <c r="F1782">
        <f>_xlfn.XLOOKUP(Table1[[#This Row],[ProductID]],Products!A:A,Products!D:D,,0)</f>
        <v>130</v>
      </c>
      <c r="I1782">
        <v>549</v>
      </c>
      <c r="J1782">
        <v>549</v>
      </c>
      <c r="K1782" t="s">
        <v>1102</v>
      </c>
      <c r="L1782">
        <v>1098</v>
      </c>
      <c r="M1782" t="s">
        <v>1126</v>
      </c>
      <c r="N1782" t="s">
        <v>1099</v>
      </c>
      <c r="O1782">
        <f>Table1[[#This Row],[Unit_Price]]*Table1[[#This Row],[Quantity]]</f>
        <v>260</v>
      </c>
    </row>
    <row r="1783" spans="1:15" x14ac:dyDescent="0.3">
      <c r="A1783" t="s">
        <v>3551</v>
      </c>
      <c r="B1783" t="s">
        <v>3552</v>
      </c>
      <c r="C1783" t="s">
        <v>110</v>
      </c>
      <c r="D1783" t="s">
        <v>1075</v>
      </c>
      <c r="E1783">
        <v>1</v>
      </c>
      <c r="F1783">
        <f>_xlfn.XLOOKUP(Table1[[#This Row],[ProductID]],Products!A:A,Products!D:D,,0)</f>
        <v>80</v>
      </c>
      <c r="I1783">
        <v>499</v>
      </c>
      <c r="J1783">
        <v>424</v>
      </c>
      <c r="K1783" t="s">
        <v>1092</v>
      </c>
      <c r="L1783">
        <v>424</v>
      </c>
      <c r="M1783" t="s">
        <v>1098</v>
      </c>
      <c r="N1783" t="s">
        <v>1099</v>
      </c>
      <c r="O1783">
        <f>Table1[[#This Row],[Unit_Price]]*Table1[[#This Row],[Quantity]]</f>
        <v>80</v>
      </c>
    </row>
    <row r="1784" spans="1:15" x14ac:dyDescent="0.3">
      <c r="A1784" t="s">
        <v>3553</v>
      </c>
      <c r="B1784" t="s">
        <v>1795</v>
      </c>
      <c r="C1784" t="s">
        <v>995</v>
      </c>
      <c r="D1784" t="s">
        <v>1059</v>
      </c>
      <c r="E1784">
        <v>1</v>
      </c>
      <c r="F1784">
        <f>_xlfn.XLOOKUP(Table1[[#This Row],[ProductID]],Products!A:A,Products!D:D,,0)</f>
        <v>110</v>
      </c>
      <c r="I1784">
        <v>399</v>
      </c>
      <c r="J1784">
        <v>339</v>
      </c>
      <c r="K1784" t="s">
        <v>1092</v>
      </c>
      <c r="L1784">
        <v>339</v>
      </c>
      <c r="M1784" t="s">
        <v>1098</v>
      </c>
      <c r="N1784" t="s">
        <v>1099</v>
      </c>
      <c r="O1784">
        <f>Table1[[#This Row],[Unit_Price]]*Table1[[#This Row],[Quantity]]</f>
        <v>110</v>
      </c>
    </row>
    <row r="1785" spans="1:15" x14ac:dyDescent="0.3">
      <c r="A1785" t="s">
        <v>3554</v>
      </c>
      <c r="B1785" t="s">
        <v>3312</v>
      </c>
      <c r="C1785" t="s">
        <v>609</v>
      </c>
      <c r="D1785" t="s">
        <v>1071</v>
      </c>
      <c r="E1785">
        <v>3</v>
      </c>
      <c r="F1785">
        <f>_xlfn.XLOOKUP(Table1[[#This Row],[ProductID]],Products!A:A,Products!D:D,,0)</f>
        <v>125</v>
      </c>
      <c r="I1785">
        <v>399</v>
      </c>
      <c r="J1785">
        <v>399</v>
      </c>
      <c r="K1785" t="s">
        <v>1102</v>
      </c>
      <c r="L1785">
        <v>1197</v>
      </c>
      <c r="M1785" t="s">
        <v>1093</v>
      </c>
      <c r="N1785" t="s">
        <v>1094</v>
      </c>
      <c r="O1785">
        <f>Table1[[#This Row],[Unit_Price]]*Table1[[#This Row],[Quantity]]</f>
        <v>375</v>
      </c>
    </row>
    <row r="1786" spans="1:15" x14ac:dyDescent="0.3">
      <c r="A1786" t="s">
        <v>3555</v>
      </c>
      <c r="B1786" t="s">
        <v>3235</v>
      </c>
      <c r="C1786" t="s">
        <v>327</v>
      </c>
      <c r="D1786" t="s">
        <v>1071</v>
      </c>
      <c r="E1786">
        <v>1</v>
      </c>
      <c r="F1786">
        <f>_xlfn.XLOOKUP(Table1[[#This Row],[ProductID]],Products!A:A,Products!D:D,,0)</f>
        <v>125</v>
      </c>
      <c r="I1786">
        <v>399</v>
      </c>
      <c r="J1786">
        <v>399</v>
      </c>
      <c r="K1786" t="s">
        <v>1102</v>
      </c>
      <c r="L1786">
        <v>399</v>
      </c>
      <c r="M1786" t="s">
        <v>1093</v>
      </c>
      <c r="N1786" t="s">
        <v>1094</v>
      </c>
      <c r="O1786">
        <f>Table1[[#This Row],[Unit_Price]]*Table1[[#This Row],[Quantity]]</f>
        <v>125</v>
      </c>
    </row>
    <row r="1787" spans="1:15" x14ac:dyDescent="0.3">
      <c r="A1787" t="s">
        <v>3556</v>
      </c>
      <c r="B1787" t="s">
        <v>2555</v>
      </c>
      <c r="C1787" t="s">
        <v>527</v>
      </c>
      <c r="D1787" t="s">
        <v>1073</v>
      </c>
      <c r="E1787">
        <v>1</v>
      </c>
      <c r="F1787">
        <f>_xlfn.XLOOKUP(Table1[[#This Row],[ProductID]],Products!A:A,Products!D:D,,0)</f>
        <v>100</v>
      </c>
      <c r="I1787">
        <v>349</v>
      </c>
      <c r="J1787">
        <v>297</v>
      </c>
      <c r="K1787" t="s">
        <v>1092</v>
      </c>
      <c r="L1787">
        <v>297</v>
      </c>
      <c r="M1787" t="s">
        <v>1098</v>
      </c>
      <c r="N1787" t="s">
        <v>1099</v>
      </c>
      <c r="O1787">
        <f>Table1[[#This Row],[Unit_Price]]*Table1[[#This Row],[Quantity]]</f>
        <v>100</v>
      </c>
    </row>
    <row r="1788" spans="1:15" x14ac:dyDescent="0.3">
      <c r="A1788" t="s">
        <v>3557</v>
      </c>
      <c r="B1788" t="s">
        <v>2377</v>
      </c>
      <c r="C1788" t="s">
        <v>615</v>
      </c>
      <c r="D1788" t="s">
        <v>1073</v>
      </c>
      <c r="E1788">
        <v>2</v>
      </c>
      <c r="F1788">
        <f>_xlfn.XLOOKUP(Table1[[#This Row],[ProductID]],Products!A:A,Products!D:D,,0)</f>
        <v>100</v>
      </c>
      <c r="I1788">
        <v>349</v>
      </c>
      <c r="J1788">
        <v>297</v>
      </c>
      <c r="K1788" t="s">
        <v>1092</v>
      </c>
      <c r="L1788">
        <v>594</v>
      </c>
      <c r="M1788" t="s">
        <v>1098</v>
      </c>
      <c r="N1788" t="s">
        <v>1099</v>
      </c>
      <c r="O1788">
        <f>Table1[[#This Row],[Unit_Price]]*Table1[[#This Row],[Quantity]]</f>
        <v>200</v>
      </c>
    </row>
    <row r="1789" spans="1:15" x14ac:dyDescent="0.3">
      <c r="A1789" t="s">
        <v>3558</v>
      </c>
      <c r="B1789" t="s">
        <v>2890</v>
      </c>
      <c r="C1789" t="s">
        <v>403</v>
      </c>
      <c r="D1789" t="s">
        <v>1071</v>
      </c>
      <c r="E1789">
        <v>2</v>
      </c>
      <c r="F1789">
        <f>_xlfn.XLOOKUP(Table1[[#This Row],[ProductID]],Products!A:A,Products!D:D,,0)</f>
        <v>125</v>
      </c>
      <c r="I1789">
        <v>399</v>
      </c>
      <c r="J1789">
        <v>399</v>
      </c>
      <c r="K1789" t="s">
        <v>1102</v>
      </c>
      <c r="L1789">
        <v>798</v>
      </c>
      <c r="M1789" t="s">
        <v>1093</v>
      </c>
      <c r="N1789" t="s">
        <v>1099</v>
      </c>
      <c r="O1789">
        <f>Table1[[#This Row],[Unit_Price]]*Table1[[#This Row],[Quantity]]</f>
        <v>250</v>
      </c>
    </row>
    <row r="1790" spans="1:15" x14ac:dyDescent="0.3">
      <c r="A1790" t="s">
        <v>3559</v>
      </c>
      <c r="B1790" t="s">
        <v>1298</v>
      </c>
      <c r="C1790" t="s">
        <v>497</v>
      </c>
      <c r="D1790" t="s">
        <v>1066</v>
      </c>
      <c r="E1790">
        <v>2</v>
      </c>
      <c r="F1790">
        <f>_xlfn.XLOOKUP(Table1[[#This Row],[ProductID]],Products!A:A,Products!D:D,,0)</f>
        <v>140</v>
      </c>
      <c r="I1790">
        <v>499</v>
      </c>
      <c r="J1790">
        <v>399</v>
      </c>
      <c r="K1790" t="s">
        <v>1097</v>
      </c>
      <c r="L1790">
        <v>798</v>
      </c>
      <c r="M1790" t="s">
        <v>1093</v>
      </c>
      <c r="N1790" t="s">
        <v>1094</v>
      </c>
      <c r="O1790">
        <f>Table1[[#This Row],[Unit_Price]]*Table1[[#This Row],[Quantity]]</f>
        <v>280</v>
      </c>
    </row>
    <row r="1791" spans="1:15" x14ac:dyDescent="0.3">
      <c r="A1791" t="s">
        <v>3560</v>
      </c>
      <c r="B1791" t="s">
        <v>1602</v>
      </c>
      <c r="C1791" t="s">
        <v>857</v>
      </c>
      <c r="D1791" t="s">
        <v>1071</v>
      </c>
      <c r="E1791">
        <v>1</v>
      </c>
      <c r="F1791">
        <f>_xlfn.XLOOKUP(Table1[[#This Row],[ProductID]],Products!A:A,Products!D:D,,0)</f>
        <v>125</v>
      </c>
      <c r="I1791">
        <v>399</v>
      </c>
      <c r="J1791">
        <v>339</v>
      </c>
      <c r="K1791" t="s">
        <v>1092</v>
      </c>
      <c r="L1791">
        <v>339</v>
      </c>
      <c r="M1791" t="s">
        <v>1093</v>
      </c>
      <c r="N1791" t="s">
        <v>1099</v>
      </c>
      <c r="O1791">
        <f>Table1[[#This Row],[Unit_Price]]*Table1[[#This Row],[Quantity]]</f>
        <v>125</v>
      </c>
    </row>
    <row r="1792" spans="1:15" x14ac:dyDescent="0.3">
      <c r="A1792" t="s">
        <v>3561</v>
      </c>
      <c r="B1792" t="s">
        <v>3562</v>
      </c>
      <c r="C1792" t="s">
        <v>901</v>
      </c>
      <c r="D1792" t="s">
        <v>1051</v>
      </c>
      <c r="E1792">
        <v>2</v>
      </c>
      <c r="F1792">
        <f>_xlfn.XLOOKUP(Table1[[#This Row],[ProductID]],Products!A:A,Products!D:D,,0)</f>
        <v>150</v>
      </c>
      <c r="I1792">
        <v>499</v>
      </c>
      <c r="J1792">
        <v>424</v>
      </c>
      <c r="K1792" t="s">
        <v>1092</v>
      </c>
      <c r="L1792">
        <v>848</v>
      </c>
      <c r="M1792" t="s">
        <v>1093</v>
      </c>
      <c r="N1792" t="s">
        <v>1123</v>
      </c>
      <c r="O1792">
        <f>Table1[[#This Row],[Unit_Price]]*Table1[[#This Row],[Quantity]]</f>
        <v>300</v>
      </c>
    </row>
    <row r="1793" spans="1:15" x14ac:dyDescent="0.3">
      <c r="A1793" t="s">
        <v>3563</v>
      </c>
      <c r="B1793" t="s">
        <v>2563</v>
      </c>
      <c r="C1793" t="s">
        <v>1013</v>
      </c>
      <c r="D1793" t="s">
        <v>1051</v>
      </c>
      <c r="E1793">
        <v>1</v>
      </c>
      <c r="F1793">
        <f>_xlfn.XLOOKUP(Table1[[#This Row],[ProductID]],Products!A:A,Products!D:D,,0)</f>
        <v>150</v>
      </c>
      <c r="I1793">
        <v>499</v>
      </c>
      <c r="J1793">
        <v>424</v>
      </c>
      <c r="K1793" t="s">
        <v>1092</v>
      </c>
      <c r="L1793">
        <v>424</v>
      </c>
      <c r="M1793" t="s">
        <v>1093</v>
      </c>
      <c r="N1793" t="s">
        <v>1099</v>
      </c>
      <c r="O1793">
        <f>Table1[[#This Row],[Unit_Price]]*Table1[[#This Row],[Quantity]]</f>
        <v>150</v>
      </c>
    </row>
    <row r="1794" spans="1:15" x14ac:dyDescent="0.3">
      <c r="A1794" t="s">
        <v>3564</v>
      </c>
      <c r="B1794" t="s">
        <v>1459</v>
      </c>
      <c r="C1794" t="s">
        <v>577</v>
      </c>
      <c r="D1794" t="s">
        <v>1071</v>
      </c>
      <c r="E1794">
        <v>1</v>
      </c>
      <c r="F1794">
        <f>_xlfn.XLOOKUP(Table1[[#This Row],[ProductID]],Products!A:A,Products!D:D,,0)</f>
        <v>125</v>
      </c>
      <c r="I1794">
        <v>399</v>
      </c>
      <c r="J1794">
        <v>359</v>
      </c>
      <c r="K1794" t="s">
        <v>1107</v>
      </c>
      <c r="L1794">
        <v>359</v>
      </c>
      <c r="M1794" t="s">
        <v>1098</v>
      </c>
      <c r="N1794" t="s">
        <v>1099</v>
      </c>
      <c r="O1794">
        <f>Table1[[#This Row],[Unit_Price]]*Table1[[#This Row],[Quantity]]</f>
        <v>125</v>
      </c>
    </row>
    <row r="1795" spans="1:15" x14ac:dyDescent="0.3">
      <c r="A1795" t="s">
        <v>3565</v>
      </c>
      <c r="B1795" t="s">
        <v>2285</v>
      </c>
      <c r="C1795" t="s">
        <v>555</v>
      </c>
      <c r="D1795" t="s">
        <v>1071</v>
      </c>
      <c r="E1795">
        <v>2</v>
      </c>
      <c r="F1795">
        <f>_xlfn.XLOOKUP(Table1[[#This Row],[ProductID]],Products!A:A,Products!D:D,,0)</f>
        <v>125</v>
      </c>
      <c r="I1795">
        <v>399</v>
      </c>
      <c r="J1795">
        <v>359</v>
      </c>
      <c r="K1795" t="s">
        <v>1107</v>
      </c>
      <c r="L1795">
        <v>718</v>
      </c>
      <c r="M1795" t="s">
        <v>1098</v>
      </c>
      <c r="N1795" t="s">
        <v>1099</v>
      </c>
      <c r="O1795">
        <f>Table1[[#This Row],[Unit_Price]]*Table1[[#This Row],[Quantity]]</f>
        <v>250</v>
      </c>
    </row>
    <row r="1796" spans="1:15" x14ac:dyDescent="0.3">
      <c r="A1796" t="s">
        <v>3566</v>
      </c>
      <c r="B1796" t="s">
        <v>3567</v>
      </c>
      <c r="C1796" t="s">
        <v>567</v>
      </c>
      <c r="D1796" t="s">
        <v>1066</v>
      </c>
      <c r="E1796">
        <v>2</v>
      </c>
      <c r="F1796">
        <f>_xlfn.XLOOKUP(Table1[[#This Row],[ProductID]],Products!A:A,Products!D:D,,0)</f>
        <v>140</v>
      </c>
      <c r="I1796">
        <v>499</v>
      </c>
      <c r="J1796">
        <v>449</v>
      </c>
      <c r="K1796" t="s">
        <v>1107</v>
      </c>
      <c r="L1796">
        <v>898</v>
      </c>
      <c r="M1796" t="s">
        <v>1093</v>
      </c>
      <c r="N1796" t="s">
        <v>1094</v>
      </c>
      <c r="O1796">
        <f>Table1[[#This Row],[Unit_Price]]*Table1[[#This Row],[Quantity]]</f>
        <v>280</v>
      </c>
    </row>
    <row r="1797" spans="1:15" x14ac:dyDescent="0.3">
      <c r="A1797" t="s">
        <v>3568</v>
      </c>
      <c r="B1797" t="s">
        <v>1582</v>
      </c>
      <c r="C1797" t="s">
        <v>641</v>
      </c>
      <c r="D1797" t="s">
        <v>1055</v>
      </c>
      <c r="E1797">
        <v>1</v>
      </c>
      <c r="F1797">
        <f>_xlfn.XLOOKUP(Table1[[#This Row],[ProductID]],Products!A:A,Products!D:D,,0)</f>
        <v>75</v>
      </c>
      <c r="I1797">
        <v>299</v>
      </c>
      <c r="J1797">
        <v>269</v>
      </c>
      <c r="K1797" t="s">
        <v>1107</v>
      </c>
      <c r="L1797">
        <v>269</v>
      </c>
      <c r="M1797" t="s">
        <v>1098</v>
      </c>
      <c r="N1797" t="s">
        <v>1099</v>
      </c>
      <c r="O1797">
        <f>Table1[[#This Row],[Unit_Price]]*Table1[[#This Row],[Quantity]]</f>
        <v>75</v>
      </c>
    </row>
    <row r="1798" spans="1:15" x14ac:dyDescent="0.3">
      <c r="A1798" t="s">
        <v>3569</v>
      </c>
      <c r="B1798" t="s">
        <v>2924</v>
      </c>
      <c r="C1798" t="s">
        <v>469</v>
      </c>
      <c r="D1798" t="s">
        <v>1075</v>
      </c>
      <c r="E1798">
        <v>1</v>
      </c>
      <c r="F1798">
        <f>_xlfn.XLOOKUP(Table1[[#This Row],[ProductID]],Products!A:A,Products!D:D,,0)</f>
        <v>80</v>
      </c>
      <c r="I1798">
        <v>499</v>
      </c>
      <c r="J1798">
        <v>499</v>
      </c>
      <c r="K1798" t="s">
        <v>1102</v>
      </c>
      <c r="L1798">
        <v>499</v>
      </c>
      <c r="M1798" t="s">
        <v>1118</v>
      </c>
      <c r="N1798" t="s">
        <v>1099</v>
      </c>
      <c r="O1798">
        <f>Table1[[#This Row],[Unit_Price]]*Table1[[#This Row],[Quantity]]</f>
        <v>80</v>
      </c>
    </row>
    <row r="1799" spans="1:15" x14ac:dyDescent="0.3">
      <c r="A1799" t="s">
        <v>3570</v>
      </c>
      <c r="B1799" t="s">
        <v>2210</v>
      </c>
      <c r="C1799" t="s">
        <v>152</v>
      </c>
      <c r="D1799" t="s">
        <v>1048</v>
      </c>
      <c r="E1799">
        <v>1</v>
      </c>
      <c r="F1799">
        <f>_xlfn.XLOOKUP(Table1[[#This Row],[ProductID]],Products!A:A,Products!D:D,,0)</f>
        <v>120</v>
      </c>
      <c r="I1799">
        <v>599</v>
      </c>
      <c r="J1799">
        <v>539</v>
      </c>
      <c r="K1799" t="s">
        <v>1107</v>
      </c>
      <c r="L1799">
        <v>539</v>
      </c>
      <c r="M1799" t="s">
        <v>1098</v>
      </c>
      <c r="N1799" t="s">
        <v>1099</v>
      </c>
      <c r="O1799">
        <f>Table1[[#This Row],[Unit_Price]]*Table1[[#This Row],[Quantity]]</f>
        <v>120</v>
      </c>
    </row>
    <row r="1800" spans="1:15" x14ac:dyDescent="0.3">
      <c r="A1800" t="s">
        <v>3571</v>
      </c>
      <c r="B1800" t="s">
        <v>3265</v>
      </c>
      <c r="C1800" t="s">
        <v>150</v>
      </c>
      <c r="D1800" t="s">
        <v>1066</v>
      </c>
      <c r="E1800">
        <v>2</v>
      </c>
      <c r="F1800">
        <f>_xlfn.XLOOKUP(Table1[[#This Row],[ProductID]],Products!A:A,Products!D:D,,0)</f>
        <v>140</v>
      </c>
      <c r="I1800">
        <v>499</v>
      </c>
      <c r="J1800">
        <v>499</v>
      </c>
      <c r="K1800" t="s">
        <v>1102</v>
      </c>
      <c r="L1800">
        <v>998</v>
      </c>
      <c r="M1800" t="s">
        <v>1093</v>
      </c>
      <c r="N1800" t="s">
        <v>1099</v>
      </c>
      <c r="O1800">
        <f>Table1[[#This Row],[Unit_Price]]*Table1[[#This Row],[Quantity]]</f>
        <v>280</v>
      </c>
    </row>
    <row r="1801" spans="1:15" x14ac:dyDescent="0.3">
      <c r="A1801" t="s">
        <v>3572</v>
      </c>
      <c r="B1801" t="s">
        <v>1953</v>
      </c>
      <c r="C1801" t="s">
        <v>291</v>
      </c>
      <c r="D1801" t="s">
        <v>1068</v>
      </c>
      <c r="E1801">
        <v>1</v>
      </c>
      <c r="F1801">
        <f>_xlfn.XLOOKUP(Table1[[#This Row],[ProductID]],Products!A:A,Products!D:D,,0)</f>
        <v>180</v>
      </c>
      <c r="I1801">
        <v>449</v>
      </c>
      <c r="J1801">
        <v>404</v>
      </c>
      <c r="K1801" t="s">
        <v>1107</v>
      </c>
      <c r="L1801">
        <v>404</v>
      </c>
      <c r="M1801" t="s">
        <v>1093</v>
      </c>
      <c r="N1801" t="s">
        <v>1094</v>
      </c>
      <c r="O1801">
        <f>Table1[[#This Row],[Unit_Price]]*Table1[[#This Row],[Quantity]]</f>
        <v>180</v>
      </c>
    </row>
    <row r="1802" spans="1:15" x14ac:dyDescent="0.3">
      <c r="A1802" t="s">
        <v>3573</v>
      </c>
      <c r="B1802" t="s">
        <v>1513</v>
      </c>
      <c r="C1802" t="s">
        <v>621</v>
      </c>
      <c r="D1802" t="s">
        <v>1064</v>
      </c>
      <c r="E1802">
        <v>1</v>
      </c>
      <c r="F1802">
        <f>_xlfn.XLOOKUP(Table1[[#This Row],[ProductID]],Products!A:A,Products!D:D,,0)</f>
        <v>160</v>
      </c>
      <c r="I1802">
        <v>699</v>
      </c>
      <c r="J1802">
        <v>629</v>
      </c>
      <c r="K1802" t="s">
        <v>1107</v>
      </c>
      <c r="L1802">
        <v>629</v>
      </c>
      <c r="M1802" t="s">
        <v>1098</v>
      </c>
      <c r="N1802" t="s">
        <v>1099</v>
      </c>
      <c r="O1802">
        <f>Table1[[#This Row],[Unit_Price]]*Table1[[#This Row],[Quantity]]</f>
        <v>160</v>
      </c>
    </row>
    <row r="1803" spans="1:15" x14ac:dyDescent="0.3">
      <c r="A1803" t="s">
        <v>3574</v>
      </c>
      <c r="B1803" t="s">
        <v>1498</v>
      </c>
      <c r="C1803" t="s">
        <v>191</v>
      </c>
      <c r="D1803" t="s">
        <v>1053</v>
      </c>
      <c r="E1803">
        <v>2</v>
      </c>
      <c r="F1803">
        <f>_xlfn.XLOOKUP(Table1[[#This Row],[ProductID]],Products!A:A,Products!D:D,,0)</f>
        <v>200</v>
      </c>
      <c r="I1803">
        <v>899</v>
      </c>
      <c r="J1803">
        <v>764</v>
      </c>
      <c r="K1803" t="s">
        <v>1092</v>
      </c>
      <c r="L1803">
        <v>1528</v>
      </c>
      <c r="M1803" t="s">
        <v>1098</v>
      </c>
      <c r="N1803" t="s">
        <v>1099</v>
      </c>
      <c r="O1803">
        <f>Table1[[#This Row],[Unit_Price]]*Table1[[#This Row],[Quantity]]</f>
        <v>400</v>
      </c>
    </row>
    <row r="1804" spans="1:15" x14ac:dyDescent="0.3">
      <c r="A1804" t="s">
        <v>3575</v>
      </c>
      <c r="B1804" t="s">
        <v>1935</v>
      </c>
      <c r="C1804" t="s">
        <v>921</v>
      </c>
      <c r="D1804" t="s">
        <v>1051</v>
      </c>
      <c r="E1804">
        <v>4</v>
      </c>
      <c r="F1804">
        <f>_xlfn.XLOOKUP(Table1[[#This Row],[ProductID]],Products!A:A,Products!D:D,,0)</f>
        <v>150</v>
      </c>
      <c r="I1804">
        <v>499</v>
      </c>
      <c r="J1804">
        <v>399</v>
      </c>
      <c r="K1804" t="s">
        <v>1097</v>
      </c>
      <c r="L1804">
        <v>1596</v>
      </c>
      <c r="M1804" t="s">
        <v>1098</v>
      </c>
      <c r="N1804" t="s">
        <v>1123</v>
      </c>
      <c r="O1804">
        <f>Table1[[#This Row],[Unit_Price]]*Table1[[#This Row],[Quantity]]</f>
        <v>600</v>
      </c>
    </row>
    <row r="1805" spans="1:15" x14ac:dyDescent="0.3">
      <c r="A1805" t="s">
        <v>3576</v>
      </c>
      <c r="B1805" t="s">
        <v>3577</v>
      </c>
      <c r="C1805" t="s">
        <v>697</v>
      </c>
      <c r="D1805" t="s">
        <v>1068</v>
      </c>
      <c r="E1805">
        <v>2</v>
      </c>
      <c r="F1805">
        <f>_xlfn.XLOOKUP(Table1[[#This Row],[ProductID]],Products!A:A,Products!D:D,,0)</f>
        <v>180</v>
      </c>
      <c r="I1805">
        <v>449</v>
      </c>
      <c r="J1805">
        <v>359</v>
      </c>
      <c r="K1805" t="s">
        <v>1097</v>
      </c>
      <c r="L1805">
        <v>718</v>
      </c>
      <c r="M1805" t="s">
        <v>1126</v>
      </c>
      <c r="N1805" t="s">
        <v>1099</v>
      </c>
      <c r="O1805">
        <f>Table1[[#This Row],[Unit_Price]]*Table1[[#This Row],[Quantity]]</f>
        <v>360</v>
      </c>
    </row>
    <row r="1806" spans="1:15" x14ac:dyDescent="0.3">
      <c r="A1806" t="s">
        <v>3578</v>
      </c>
      <c r="B1806" t="s">
        <v>1113</v>
      </c>
      <c r="C1806" t="s">
        <v>150</v>
      </c>
      <c r="D1806" t="s">
        <v>1055</v>
      </c>
      <c r="E1806">
        <v>1</v>
      </c>
      <c r="F1806">
        <f>_xlfn.XLOOKUP(Table1[[#This Row],[ProductID]],Products!A:A,Products!D:D,,0)</f>
        <v>75</v>
      </c>
      <c r="I1806">
        <v>299</v>
      </c>
      <c r="J1806">
        <v>254</v>
      </c>
      <c r="K1806" t="s">
        <v>1092</v>
      </c>
      <c r="L1806">
        <v>254</v>
      </c>
      <c r="M1806" t="s">
        <v>1093</v>
      </c>
      <c r="N1806" t="s">
        <v>1099</v>
      </c>
      <c r="O1806">
        <f>Table1[[#This Row],[Unit_Price]]*Table1[[#This Row],[Quantity]]</f>
        <v>75</v>
      </c>
    </row>
    <row r="1807" spans="1:15" x14ac:dyDescent="0.3">
      <c r="A1807" t="s">
        <v>3579</v>
      </c>
      <c r="B1807" t="s">
        <v>1811</v>
      </c>
      <c r="C1807" t="s">
        <v>359</v>
      </c>
      <c r="D1807" t="s">
        <v>1051</v>
      </c>
      <c r="E1807">
        <v>2</v>
      </c>
      <c r="F1807">
        <f>_xlfn.XLOOKUP(Table1[[#This Row],[ProductID]],Products!A:A,Products!D:D,,0)</f>
        <v>150</v>
      </c>
      <c r="I1807">
        <v>499</v>
      </c>
      <c r="J1807">
        <v>449</v>
      </c>
      <c r="K1807" t="s">
        <v>1107</v>
      </c>
      <c r="L1807">
        <v>898</v>
      </c>
      <c r="M1807" t="s">
        <v>1093</v>
      </c>
      <c r="N1807" t="s">
        <v>1099</v>
      </c>
      <c r="O1807">
        <f>Table1[[#This Row],[Unit_Price]]*Table1[[#This Row],[Quantity]]</f>
        <v>300</v>
      </c>
    </row>
    <row r="1808" spans="1:15" x14ac:dyDescent="0.3">
      <c r="A1808" t="s">
        <v>3580</v>
      </c>
      <c r="B1808" t="s">
        <v>1154</v>
      </c>
      <c r="C1808" t="s">
        <v>112</v>
      </c>
      <c r="D1808" t="s">
        <v>1062</v>
      </c>
      <c r="E1808">
        <v>1</v>
      </c>
      <c r="F1808">
        <f>_xlfn.XLOOKUP(Table1[[#This Row],[ProductID]],Products!A:A,Products!D:D,,0)</f>
        <v>95</v>
      </c>
      <c r="I1808">
        <v>349</v>
      </c>
      <c r="J1808">
        <v>349</v>
      </c>
      <c r="K1808" t="s">
        <v>1102</v>
      </c>
      <c r="L1808">
        <v>349</v>
      </c>
      <c r="M1808" t="s">
        <v>1126</v>
      </c>
      <c r="N1808" t="s">
        <v>1099</v>
      </c>
      <c r="O1808">
        <f>Table1[[#This Row],[Unit_Price]]*Table1[[#This Row],[Quantity]]</f>
        <v>95</v>
      </c>
    </row>
    <row r="1809" spans="1:15" x14ac:dyDescent="0.3">
      <c r="A1809" t="s">
        <v>3581</v>
      </c>
      <c r="B1809" t="s">
        <v>1304</v>
      </c>
      <c r="C1809" t="s">
        <v>601</v>
      </c>
      <c r="D1809" t="s">
        <v>1068</v>
      </c>
      <c r="E1809">
        <v>2</v>
      </c>
      <c r="F1809">
        <f>_xlfn.XLOOKUP(Table1[[#This Row],[ProductID]],Products!A:A,Products!D:D,,0)</f>
        <v>180</v>
      </c>
      <c r="I1809">
        <v>449</v>
      </c>
      <c r="J1809">
        <v>449</v>
      </c>
      <c r="K1809" t="s">
        <v>1102</v>
      </c>
      <c r="L1809">
        <v>898</v>
      </c>
      <c r="M1809" t="s">
        <v>1118</v>
      </c>
      <c r="N1809" t="s">
        <v>1099</v>
      </c>
      <c r="O1809">
        <f>Table1[[#This Row],[Unit_Price]]*Table1[[#This Row],[Quantity]]</f>
        <v>360</v>
      </c>
    </row>
    <row r="1810" spans="1:15" x14ac:dyDescent="0.3">
      <c r="A1810" t="s">
        <v>3582</v>
      </c>
      <c r="B1810" t="s">
        <v>1701</v>
      </c>
      <c r="C1810" t="s">
        <v>1039</v>
      </c>
      <c r="D1810" t="s">
        <v>1062</v>
      </c>
      <c r="E1810">
        <v>1</v>
      </c>
      <c r="F1810">
        <f>_xlfn.XLOOKUP(Table1[[#This Row],[ProductID]],Products!A:A,Products!D:D,,0)</f>
        <v>95</v>
      </c>
      <c r="I1810">
        <v>349</v>
      </c>
      <c r="J1810">
        <v>349</v>
      </c>
      <c r="K1810" t="s">
        <v>1102</v>
      </c>
      <c r="L1810">
        <v>349</v>
      </c>
      <c r="M1810" t="s">
        <v>1098</v>
      </c>
      <c r="N1810" t="s">
        <v>1099</v>
      </c>
      <c r="O1810">
        <f>Table1[[#This Row],[Unit_Price]]*Table1[[#This Row],[Quantity]]</f>
        <v>95</v>
      </c>
    </row>
    <row r="1811" spans="1:15" x14ac:dyDescent="0.3">
      <c r="A1811" t="s">
        <v>3583</v>
      </c>
      <c r="B1811" t="s">
        <v>1882</v>
      </c>
      <c r="C1811" t="s">
        <v>729</v>
      </c>
      <c r="D1811" t="s">
        <v>1071</v>
      </c>
      <c r="E1811">
        <v>1</v>
      </c>
      <c r="F1811">
        <f>_xlfn.XLOOKUP(Table1[[#This Row],[ProductID]],Products!A:A,Products!D:D,,0)</f>
        <v>125</v>
      </c>
      <c r="I1811">
        <v>399</v>
      </c>
      <c r="J1811">
        <v>359</v>
      </c>
      <c r="K1811" t="s">
        <v>1107</v>
      </c>
      <c r="L1811">
        <v>359</v>
      </c>
      <c r="M1811" t="s">
        <v>1118</v>
      </c>
      <c r="N1811" t="s">
        <v>1094</v>
      </c>
      <c r="O1811">
        <f>Table1[[#This Row],[Unit_Price]]*Table1[[#This Row],[Quantity]]</f>
        <v>125</v>
      </c>
    </row>
    <row r="1812" spans="1:15" x14ac:dyDescent="0.3">
      <c r="A1812" t="s">
        <v>3584</v>
      </c>
      <c r="B1812" t="s">
        <v>2705</v>
      </c>
      <c r="C1812" t="s">
        <v>855</v>
      </c>
      <c r="D1812" t="s">
        <v>1055</v>
      </c>
      <c r="E1812">
        <v>1</v>
      </c>
      <c r="F1812">
        <f>_xlfn.XLOOKUP(Table1[[#This Row],[ProductID]],Products!A:A,Products!D:D,,0)</f>
        <v>75</v>
      </c>
      <c r="I1812">
        <v>299</v>
      </c>
      <c r="J1812">
        <v>269</v>
      </c>
      <c r="K1812" t="s">
        <v>1107</v>
      </c>
      <c r="L1812">
        <v>269</v>
      </c>
      <c r="M1812" t="s">
        <v>1093</v>
      </c>
      <c r="N1812" t="s">
        <v>1094</v>
      </c>
      <c r="O1812">
        <f>Table1[[#This Row],[Unit_Price]]*Table1[[#This Row],[Quantity]]</f>
        <v>75</v>
      </c>
    </row>
    <row r="1813" spans="1:15" x14ac:dyDescent="0.3">
      <c r="A1813" t="s">
        <v>3585</v>
      </c>
      <c r="B1813" t="s">
        <v>1999</v>
      </c>
      <c r="C1813" t="s">
        <v>150</v>
      </c>
      <c r="D1813" t="s">
        <v>1066</v>
      </c>
      <c r="E1813">
        <v>1</v>
      </c>
      <c r="F1813">
        <f>_xlfn.XLOOKUP(Table1[[#This Row],[ProductID]],Products!A:A,Products!D:D,,0)</f>
        <v>140</v>
      </c>
      <c r="I1813">
        <v>499</v>
      </c>
      <c r="J1813">
        <v>499</v>
      </c>
      <c r="K1813" t="s">
        <v>1102</v>
      </c>
      <c r="L1813">
        <v>499</v>
      </c>
      <c r="M1813" t="s">
        <v>1118</v>
      </c>
      <c r="N1813" t="s">
        <v>1099</v>
      </c>
      <c r="O1813">
        <f>Table1[[#This Row],[Unit_Price]]*Table1[[#This Row],[Quantity]]</f>
        <v>140</v>
      </c>
    </row>
    <row r="1814" spans="1:15" x14ac:dyDescent="0.3">
      <c r="A1814" t="s">
        <v>3586</v>
      </c>
      <c r="B1814" t="s">
        <v>1164</v>
      </c>
      <c r="C1814" t="s">
        <v>71</v>
      </c>
      <c r="D1814" t="s">
        <v>1048</v>
      </c>
      <c r="E1814">
        <v>1</v>
      </c>
      <c r="F1814">
        <f>_xlfn.XLOOKUP(Table1[[#This Row],[ProductID]],Products!A:A,Products!D:D,,0)</f>
        <v>120</v>
      </c>
      <c r="I1814">
        <v>599</v>
      </c>
      <c r="J1814">
        <v>479</v>
      </c>
      <c r="K1814" t="s">
        <v>1097</v>
      </c>
      <c r="L1814">
        <v>479</v>
      </c>
      <c r="M1814" t="s">
        <v>1093</v>
      </c>
      <c r="N1814" t="s">
        <v>1099</v>
      </c>
      <c r="O1814">
        <f>Table1[[#This Row],[Unit_Price]]*Table1[[#This Row],[Quantity]]</f>
        <v>120</v>
      </c>
    </row>
    <row r="1815" spans="1:15" x14ac:dyDescent="0.3">
      <c r="A1815" t="s">
        <v>3587</v>
      </c>
      <c r="B1815" t="s">
        <v>2611</v>
      </c>
      <c r="C1815" t="s">
        <v>663</v>
      </c>
      <c r="D1815" t="s">
        <v>1051</v>
      </c>
      <c r="E1815">
        <v>1</v>
      </c>
      <c r="F1815">
        <f>_xlfn.XLOOKUP(Table1[[#This Row],[ProductID]],Products!A:A,Products!D:D,,0)</f>
        <v>150</v>
      </c>
      <c r="I1815">
        <v>499</v>
      </c>
      <c r="J1815">
        <v>424</v>
      </c>
      <c r="K1815" t="s">
        <v>1092</v>
      </c>
      <c r="L1815">
        <v>424</v>
      </c>
      <c r="M1815" t="s">
        <v>1126</v>
      </c>
      <c r="N1815" t="s">
        <v>1099</v>
      </c>
      <c r="O1815">
        <f>Table1[[#This Row],[Unit_Price]]*Table1[[#This Row],[Quantity]]</f>
        <v>150</v>
      </c>
    </row>
    <row r="1816" spans="1:15" x14ac:dyDescent="0.3">
      <c r="A1816" t="s">
        <v>3588</v>
      </c>
      <c r="B1816" t="s">
        <v>3589</v>
      </c>
      <c r="C1816" t="s">
        <v>753</v>
      </c>
      <c r="D1816" t="s">
        <v>1068</v>
      </c>
      <c r="E1816">
        <v>1</v>
      </c>
      <c r="F1816">
        <f>_xlfn.XLOOKUP(Table1[[#This Row],[ProductID]],Products!A:A,Products!D:D,,0)</f>
        <v>180</v>
      </c>
      <c r="I1816">
        <v>449</v>
      </c>
      <c r="J1816">
        <v>359</v>
      </c>
      <c r="K1816" t="s">
        <v>1097</v>
      </c>
      <c r="L1816">
        <v>359</v>
      </c>
      <c r="M1816" t="s">
        <v>1093</v>
      </c>
      <c r="N1816" t="s">
        <v>1094</v>
      </c>
      <c r="O1816">
        <f>Table1[[#This Row],[Unit_Price]]*Table1[[#This Row],[Quantity]]</f>
        <v>180</v>
      </c>
    </row>
    <row r="1817" spans="1:15" x14ac:dyDescent="0.3">
      <c r="A1817" t="s">
        <v>3590</v>
      </c>
      <c r="B1817" t="s">
        <v>3591</v>
      </c>
      <c r="C1817" t="s">
        <v>329</v>
      </c>
      <c r="D1817" t="s">
        <v>1078</v>
      </c>
      <c r="E1817">
        <v>1</v>
      </c>
      <c r="F1817">
        <f>_xlfn.XLOOKUP(Table1[[#This Row],[ProductID]],Products!A:A,Products!D:D,,0)</f>
        <v>80</v>
      </c>
      <c r="I1817">
        <v>499</v>
      </c>
      <c r="J1817">
        <v>449</v>
      </c>
      <c r="K1817" t="s">
        <v>1107</v>
      </c>
      <c r="L1817">
        <v>449</v>
      </c>
      <c r="M1817" t="s">
        <v>1093</v>
      </c>
      <c r="N1817" t="s">
        <v>1094</v>
      </c>
      <c r="O1817">
        <f>Table1[[#This Row],[Unit_Price]]*Table1[[#This Row],[Quantity]]</f>
        <v>80</v>
      </c>
    </row>
    <row r="1818" spans="1:15" x14ac:dyDescent="0.3">
      <c r="A1818" t="s">
        <v>3592</v>
      </c>
      <c r="B1818" t="s">
        <v>3593</v>
      </c>
      <c r="C1818" t="s">
        <v>365</v>
      </c>
      <c r="D1818" t="s">
        <v>1064</v>
      </c>
      <c r="E1818">
        <v>4</v>
      </c>
      <c r="F1818">
        <f>_xlfn.XLOOKUP(Table1[[#This Row],[ProductID]],Products!A:A,Products!D:D,,0)</f>
        <v>160</v>
      </c>
      <c r="I1818">
        <v>699</v>
      </c>
      <c r="J1818">
        <v>699</v>
      </c>
      <c r="K1818" t="s">
        <v>1102</v>
      </c>
      <c r="L1818">
        <v>2796</v>
      </c>
      <c r="M1818" t="s">
        <v>1093</v>
      </c>
      <c r="N1818" t="s">
        <v>1123</v>
      </c>
      <c r="O1818">
        <f>Table1[[#This Row],[Unit_Price]]*Table1[[#This Row],[Quantity]]</f>
        <v>640</v>
      </c>
    </row>
    <row r="1819" spans="1:15" x14ac:dyDescent="0.3">
      <c r="A1819" t="s">
        <v>3594</v>
      </c>
      <c r="B1819" t="s">
        <v>1582</v>
      </c>
      <c r="C1819" t="s">
        <v>271</v>
      </c>
      <c r="D1819" t="s">
        <v>1075</v>
      </c>
      <c r="E1819">
        <v>1</v>
      </c>
      <c r="F1819">
        <f>_xlfn.XLOOKUP(Table1[[#This Row],[ProductID]],Products!A:A,Products!D:D,,0)</f>
        <v>80</v>
      </c>
      <c r="I1819">
        <v>499</v>
      </c>
      <c r="J1819">
        <v>449</v>
      </c>
      <c r="K1819" t="s">
        <v>1107</v>
      </c>
      <c r="L1819">
        <v>449</v>
      </c>
      <c r="M1819" t="s">
        <v>1126</v>
      </c>
      <c r="N1819" t="s">
        <v>1099</v>
      </c>
      <c r="O1819">
        <f>Table1[[#This Row],[Unit_Price]]*Table1[[#This Row],[Quantity]]</f>
        <v>80</v>
      </c>
    </row>
    <row r="1820" spans="1:15" x14ac:dyDescent="0.3">
      <c r="A1820" t="s">
        <v>3595</v>
      </c>
      <c r="B1820" t="s">
        <v>1162</v>
      </c>
      <c r="C1820" t="s">
        <v>573</v>
      </c>
      <c r="D1820" t="s">
        <v>1073</v>
      </c>
      <c r="E1820">
        <v>2</v>
      </c>
      <c r="F1820">
        <f>_xlfn.XLOOKUP(Table1[[#This Row],[ProductID]],Products!A:A,Products!D:D,,0)</f>
        <v>100</v>
      </c>
      <c r="I1820">
        <v>349</v>
      </c>
      <c r="J1820">
        <v>314</v>
      </c>
      <c r="K1820" t="s">
        <v>1107</v>
      </c>
      <c r="L1820">
        <v>628</v>
      </c>
      <c r="M1820" t="s">
        <v>1098</v>
      </c>
      <c r="N1820" t="s">
        <v>1099</v>
      </c>
      <c r="O1820">
        <f>Table1[[#This Row],[Unit_Price]]*Table1[[#This Row],[Quantity]]</f>
        <v>200</v>
      </c>
    </row>
    <row r="1821" spans="1:15" x14ac:dyDescent="0.3">
      <c r="A1821" t="s">
        <v>3596</v>
      </c>
      <c r="B1821" t="s">
        <v>3051</v>
      </c>
      <c r="C1821" t="s">
        <v>1003</v>
      </c>
      <c r="D1821" t="s">
        <v>1053</v>
      </c>
      <c r="E1821">
        <v>2</v>
      </c>
      <c r="F1821">
        <f>_xlfn.XLOOKUP(Table1[[#This Row],[ProductID]],Products!A:A,Products!D:D,,0)</f>
        <v>200</v>
      </c>
      <c r="I1821">
        <v>899</v>
      </c>
      <c r="J1821">
        <v>899</v>
      </c>
      <c r="K1821" t="s">
        <v>1102</v>
      </c>
      <c r="L1821">
        <v>1798</v>
      </c>
      <c r="M1821" t="s">
        <v>1098</v>
      </c>
      <c r="N1821" t="s">
        <v>1099</v>
      </c>
      <c r="O1821">
        <f>Table1[[#This Row],[Unit_Price]]*Table1[[#This Row],[Quantity]]</f>
        <v>400</v>
      </c>
    </row>
    <row r="1822" spans="1:15" x14ac:dyDescent="0.3">
      <c r="A1822" t="s">
        <v>3597</v>
      </c>
      <c r="B1822" t="s">
        <v>2668</v>
      </c>
      <c r="C1822" t="s">
        <v>225</v>
      </c>
      <c r="D1822" t="s">
        <v>1055</v>
      </c>
      <c r="E1822">
        <v>2</v>
      </c>
      <c r="F1822">
        <f>_xlfn.XLOOKUP(Table1[[#This Row],[ProductID]],Products!A:A,Products!D:D,,0)</f>
        <v>75</v>
      </c>
      <c r="I1822">
        <v>299</v>
      </c>
      <c r="J1822">
        <v>299</v>
      </c>
      <c r="K1822" t="s">
        <v>1102</v>
      </c>
      <c r="L1822">
        <v>598</v>
      </c>
      <c r="M1822" t="s">
        <v>1098</v>
      </c>
      <c r="N1822" t="s">
        <v>1123</v>
      </c>
      <c r="O1822">
        <f>Table1[[#This Row],[Unit_Price]]*Table1[[#This Row],[Quantity]]</f>
        <v>150</v>
      </c>
    </row>
    <row r="1823" spans="1:15" x14ac:dyDescent="0.3">
      <c r="A1823" t="s">
        <v>3598</v>
      </c>
      <c r="B1823" t="s">
        <v>1634</v>
      </c>
      <c r="C1823" t="s">
        <v>461</v>
      </c>
      <c r="D1823" t="s">
        <v>1071</v>
      </c>
      <c r="E1823">
        <v>1</v>
      </c>
      <c r="F1823">
        <f>_xlfn.XLOOKUP(Table1[[#This Row],[ProductID]],Products!A:A,Products!D:D,,0)</f>
        <v>125</v>
      </c>
      <c r="I1823">
        <v>399</v>
      </c>
      <c r="J1823">
        <v>359</v>
      </c>
      <c r="K1823" t="s">
        <v>1107</v>
      </c>
      <c r="L1823">
        <v>359</v>
      </c>
      <c r="M1823" t="s">
        <v>1098</v>
      </c>
      <c r="N1823" t="s">
        <v>1099</v>
      </c>
      <c r="O1823">
        <f>Table1[[#This Row],[Unit_Price]]*Table1[[#This Row],[Quantity]]</f>
        <v>125</v>
      </c>
    </row>
    <row r="1824" spans="1:15" x14ac:dyDescent="0.3">
      <c r="A1824" t="s">
        <v>3599</v>
      </c>
      <c r="B1824" t="s">
        <v>1997</v>
      </c>
      <c r="C1824" t="s">
        <v>387</v>
      </c>
      <c r="D1824" t="s">
        <v>1057</v>
      </c>
      <c r="E1824">
        <v>2</v>
      </c>
      <c r="F1824">
        <f>_xlfn.XLOOKUP(Table1[[#This Row],[ProductID]],Products!A:A,Products!D:D,,0)</f>
        <v>130</v>
      </c>
      <c r="I1824">
        <v>549</v>
      </c>
      <c r="J1824">
        <v>467</v>
      </c>
      <c r="K1824" t="s">
        <v>1092</v>
      </c>
      <c r="L1824">
        <v>934</v>
      </c>
      <c r="M1824" t="s">
        <v>1093</v>
      </c>
      <c r="N1824" t="s">
        <v>1099</v>
      </c>
      <c r="O1824">
        <f>Table1[[#This Row],[Unit_Price]]*Table1[[#This Row],[Quantity]]</f>
        <v>260</v>
      </c>
    </row>
    <row r="1825" spans="1:15" x14ac:dyDescent="0.3">
      <c r="A1825" t="s">
        <v>3600</v>
      </c>
      <c r="B1825" t="s">
        <v>1555</v>
      </c>
      <c r="C1825" t="s">
        <v>977</v>
      </c>
      <c r="D1825" t="s">
        <v>1051</v>
      </c>
      <c r="E1825">
        <v>1</v>
      </c>
      <c r="F1825">
        <f>_xlfn.XLOOKUP(Table1[[#This Row],[ProductID]],Products!A:A,Products!D:D,,0)</f>
        <v>150</v>
      </c>
      <c r="I1825">
        <v>499</v>
      </c>
      <c r="J1825">
        <v>499</v>
      </c>
      <c r="K1825" t="s">
        <v>1102</v>
      </c>
      <c r="L1825">
        <v>499</v>
      </c>
      <c r="M1825" t="s">
        <v>1093</v>
      </c>
      <c r="N1825" t="s">
        <v>1123</v>
      </c>
      <c r="O1825">
        <f>Table1[[#This Row],[Unit_Price]]*Table1[[#This Row],[Quantity]]</f>
        <v>150</v>
      </c>
    </row>
    <row r="1826" spans="1:15" x14ac:dyDescent="0.3">
      <c r="A1826" t="s">
        <v>3601</v>
      </c>
      <c r="B1826" t="s">
        <v>2370</v>
      </c>
      <c r="C1826" t="s">
        <v>717</v>
      </c>
      <c r="D1826" t="s">
        <v>1078</v>
      </c>
      <c r="E1826">
        <v>1</v>
      </c>
      <c r="F1826">
        <f>_xlfn.XLOOKUP(Table1[[#This Row],[ProductID]],Products!A:A,Products!D:D,,0)</f>
        <v>80</v>
      </c>
      <c r="I1826">
        <v>499</v>
      </c>
      <c r="J1826">
        <v>399</v>
      </c>
      <c r="K1826" t="s">
        <v>1097</v>
      </c>
      <c r="L1826">
        <v>399</v>
      </c>
      <c r="M1826" t="s">
        <v>1098</v>
      </c>
      <c r="N1826" t="s">
        <v>1099</v>
      </c>
      <c r="O1826">
        <f>Table1[[#This Row],[Unit_Price]]*Table1[[#This Row],[Quantity]]</f>
        <v>80</v>
      </c>
    </row>
    <row r="1827" spans="1:15" x14ac:dyDescent="0.3">
      <c r="A1827" t="s">
        <v>3602</v>
      </c>
      <c r="B1827" t="s">
        <v>1428</v>
      </c>
      <c r="C1827" t="s">
        <v>959</v>
      </c>
      <c r="D1827" t="s">
        <v>1053</v>
      </c>
      <c r="E1827">
        <v>1</v>
      </c>
      <c r="F1827">
        <f>_xlfn.XLOOKUP(Table1[[#This Row],[ProductID]],Products!A:A,Products!D:D,,0)</f>
        <v>200</v>
      </c>
      <c r="I1827">
        <v>899</v>
      </c>
      <c r="J1827">
        <v>719</v>
      </c>
      <c r="K1827" t="s">
        <v>1097</v>
      </c>
      <c r="L1827">
        <v>719</v>
      </c>
      <c r="M1827" t="s">
        <v>1093</v>
      </c>
      <c r="N1827" t="s">
        <v>1099</v>
      </c>
      <c r="O1827">
        <f>Table1[[#This Row],[Unit_Price]]*Table1[[#This Row],[Quantity]]</f>
        <v>200</v>
      </c>
    </row>
    <row r="1828" spans="1:15" x14ac:dyDescent="0.3">
      <c r="A1828" t="s">
        <v>3603</v>
      </c>
      <c r="B1828" t="s">
        <v>2496</v>
      </c>
      <c r="C1828" t="s">
        <v>413</v>
      </c>
      <c r="D1828" t="s">
        <v>1075</v>
      </c>
      <c r="E1828">
        <v>4</v>
      </c>
      <c r="F1828">
        <f>_xlfn.XLOOKUP(Table1[[#This Row],[ProductID]],Products!A:A,Products!D:D,,0)</f>
        <v>80</v>
      </c>
      <c r="I1828">
        <v>499</v>
      </c>
      <c r="J1828">
        <v>449</v>
      </c>
      <c r="K1828" t="s">
        <v>1107</v>
      </c>
      <c r="L1828">
        <v>1796</v>
      </c>
      <c r="M1828" t="s">
        <v>1093</v>
      </c>
      <c r="N1828" t="s">
        <v>1099</v>
      </c>
      <c r="O1828">
        <f>Table1[[#This Row],[Unit_Price]]*Table1[[#This Row],[Quantity]]</f>
        <v>320</v>
      </c>
    </row>
    <row r="1829" spans="1:15" x14ac:dyDescent="0.3">
      <c r="A1829" t="s">
        <v>3604</v>
      </c>
      <c r="B1829" t="s">
        <v>1558</v>
      </c>
      <c r="C1829" t="s">
        <v>721</v>
      </c>
      <c r="D1829" t="s">
        <v>1068</v>
      </c>
      <c r="E1829">
        <v>2</v>
      </c>
      <c r="F1829">
        <f>_xlfn.XLOOKUP(Table1[[#This Row],[ProductID]],Products!A:A,Products!D:D,,0)</f>
        <v>180</v>
      </c>
      <c r="I1829">
        <v>449</v>
      </c>
      <c r="J1829">
        <v>382</v>
      </c>
      <c r="K1829" t="s">
        <v>1092</v>
      </c>
      <c r="L1829">
        <v>764</v>
      </c>
      <c r="M1829" t="s">
        <v>1098</v>
      </c>
      <c r="N1829" t="s">
        <v>1099</v>
      </c>
      <c r="O1829">
        <f>Table1[[#This Row],[Unit_Price]]*Table1[[#This Row],[Quantity]]</f>
        <v>360</v>
      </c>
    </row>
    <row r="1830" spans="1:15" x14ac:dyDescent="0.3">
      <c r="A1830" t="s">
        <v>3605</v>
      </c>
      <c r="B1830" t="s">
        <v>1140</v>
      </c>
      <c r="C1830" t="s">
        <v>47</v>
      </c>
      <c r="D1830" t="s">
        <v>1055</v>
      </c>
      <c r="E1830">
        <v>3</v>
      </c>
      <c r="F1830">
        <f>_xlfn.XLOOKUP(Table1[[#This Row],[ProductID]],Products!A:A,Products!D:D,,0)</f>
        <v>75</v>
      </c>
      <c r="I1830">
        <v>299</v>
      </c>
      <c r="J1830">
        <v>254</v>
      </c>
      <c r="K1830" t="s">
        <v>1092</v>
      </c>
      <c r="L1830">
        <v>762</v>
      </c>
      <c r="M1830" t="s">
        <v>1093</v>
      </c>
      <c r="N1830" t="s">
        <v>1094</v>
      </c>
      <c r="O1830">
        <f>Table1[[#This Row],[Unit_Price]]*Table1[[#This Row],[Quantity]]</f>
        <v>225</v>
      </c>
    </row>
    <row r="1831" spans="1:15" x14ac:dyDescent="0.3">
      <c r="A1831" t="s">
        <v>3606</v>
      </c>
      <c r="B1831" t="s">
        <v>3607</v>
      </c>
      <c r="C1831" t="s">
        <v>253</v>
      </c>
      <c r="D1831" t="s">
        <v>1048</v>
      </c>
      <c r="E1831">
        <v>1</v>
      </c>
      <c r="F1831">
        <f>_xlfn.XLOOKUP(Table1[[#This Row],[ProductID]],Products!A:A,Products!D:D,,0)</f>
        <v>120</v>
      </c>
      <c r="I1831">
        <v>599</v>
      </c>
      <c r="J1831">
        <v>509</v>
      </c>
      <c r="K1831" t="s">
        <v>1092</v>
      </c>
      <c r="L1831">
        <v>509</v>
      </c>
      <c r="M1831" t="s">
        <v>1126</v>
      </c>
      <c r="N1831" t="s">
        <v>1099</v>
      </c>
      <c r="O1831">
        <f>Table1[[#This Row],[Unit_Price]]*Table1[[#This Row],[Quantity]]</f>
        <v>120</v>
      </c>
    </row>
    <row r="1832" spans="1:15" x14ac:dyDescent="0.3">
      <c r="A1832" t="s">
        <v>3608</v>
      </c>
      <c r="B1832" t="s">
        <v>1648</v>
      </c>
      <c r="C1832" t="s">
        <v>821</v>
      </c>
      <c r="D1832" t="s">
        <v>1064</v>
      </c>
      <c r="E1832">
        <v>1</v>
      </c>
      <c r="F1832">
        <f>_xlfn.XLOOKUP(Table1[[#This Row],[ProductID]],Products!A:A,Products!D:D,,0)</f>
        <v>160</v>
      </c>
      <c r="I1832">
        <v>699</v>
      </c>
      <c r="J1832">
        <v>559</v>
      </c>
      <c r="K1832" t="s">
        <v>1097</v>
      </c>
      <c r="L1832">
        <v>559</v>
      </c>
      <c r="M1832" t="s">
        <v>1093</v>
      </c>
      <c r="N1832" t="s">
        <v>1099</v>
      </c>
      <c r="O1832">
        <f>Table1[[#This Row],[Unit_Price]]*Table1[[#This Row],[Quantity]]</f>
        <v>160</v>
      </c>
    </row>
    <row r="1833" spans="1:15" x14ac:dyDescent="0.3">
      <c r="A1833" t="s">
        <v>3609</v>
      </c>
      <c r="B1833" t="s">
        <v>3610</v>
      </c>
      <c r="C1833" t="s">
        <v>991</v>
      </c>
      <c r="D1833" t="s">
        <v>1048</v>
      </c>
      <c r="E1833">
        <v>1</v>
      </c>
      <c r="F1833">
        <f>_xlfn.XLOOKUP(Table1[[#This Row],[ProductID]],Products!A:A,Products!D:D,,0)</f>
        <v>120</v>
      </c>
      <c r="I1833">
        <v>599</v>
      </c>
      <c r="J1833">
        <v>599</v>
      </c>
      <c r="K1833" t="s">
        <v>1102</v>
      </c>
      <c r="L1833">
        <v>599</v>
      </c>
      <c r="M1833" t="s">
        <v>1098</v>
      </c>
      <c r="N1833" t="s">
        <v>1099</v>
      </c>
      <c r="O1833">
        <f>Table1[[#This Row],[Unit_Price]]*Table1[[#This Row],[Quantity]]</f>
        <v>120</v>
      </c>
    </row>
    <row r="1834" spans="1:15" x14ac:dyDescent="0.3">
      <c r="A1834" t="s">
        <v>3611</v>
      </c>
      <c r="B1834" t="s">
        <v>1770</v>
      </c>
      <c r="C1834" t="s">
        <v>663</v>
      </c>
      <c r="D1834" t="s">
        <v>1071</v>
      </c>
      <c r="E1834">
        <v>2</v>
      </c>
      <c r="F1834">
        <f>_xlfn.XLOOKUP(Table1[[#This Row],[ProductID]],Products!A:A,Products!D:D,,0)</f>
        <v>125</v>
      </c>
      <c r="I1834">
        <v>399</v>
      </c>
      <c r="J1834">
        <v>359</v>
      </c>
      <c r="K1834" t="s">
        <v>1107</v>
      </c>
      <c r="L1834">
        <v>718</v>
      </c>
      <c r="M1834" t="s">
        <v>1093</v>
      </c>
      <c r="N1834" t="s">
        <v>1099</v>
      </c>
      <c r="O1834">
        <f>Table1[[#This Row],[Unit_Price]]*Table1[[#This Row],[Quantity]]</f>
        <v>250</v>
      </c>
    </row>
    <row r="1835" spans="1:15" x14ac:dyDescent="0.3">
      <c r="A1835" t="s">
        <v>3612</v>
      </c>
      <c r="B1835" t="s">
        <v>1188</v>
      </c>
      <c r="C1835" t="s">
        <v>83</v>
      </c>
      <c r="D1835" t="s">
        <v>1055</v>
      </c>
      <c r="E1835">
        <v>2</v>
      </c>
      <c r="F1835">
        <f>_xlfn.XLOOKUP(Table1[[#This Row],[ProductID]],Products!A:A,Products!D:D,,0)</f>
        <v>75</v>
      </c>
      <c r="I1835">
        <v>299</v>
      </c>
      <c r="J1835">
        <v>269</v>
      </c>
      <c r="K1835" t="s">
        <v>1107</v>
      </c>
      <c r="L1835">
        <v>538</v>
      </c>
      <c r="M1835" t="s">
        <v>1098</v>
      </c>
      <c r="N1835" t="s">
        <v>1099</v>
      </c>
      <c r="O1835">
        <f>Table1[[#This Row],[Unit_Price]]*Table1[[#This Row],[Quantity]]</f>
        <v>150</v>
      </c>
    </row>
    <row r="1836" spans="1:15" x14ac:dyDescent="0.3">
      <c r="A1836" t="s">
        <v>3613</v>
      </c>
      <c r="B1836" t="s">
        <v>2304</v>
      </c>
      <c r="C1836" t="s">
        <v>425</v>
      </c>
      <c r="D1836" t="s">
        <v>1057</v>
      </c>
      <c r="E1836">
        <v>2</v>
      </c>
      <c r="F1836">
        <f>_xlfn.XLOOKUP(Table1[[#This Row],[ProductID]],Products!A:A,Products!D:D,,0)</f>
        <v>130</v>
      </c>
      <c r="I1836">
        <v>549</v>
      </c>
      <c r="J1836">
        <v>439</v>
      </c>
      <c r="K1836" t="s">
        <v>1097</v>
      </c>
      <c r="L1836">
        <v>878</v>
      </c>
      <c r="M1836" t="s">
        <v>1098</v>
      </c>
      <c r="N1836" t="s">
        <v>1099</v>
      </c>
      <c r="O1836">
        <f>Table1[[#This Row],[Unit_Price]]*Table1[[#This Row],[Quantity]]</f>
        <v>260</v>
      </c>
    </row>
    <row r="1837" spans="1:15" x14ac:dyDescent="0.3">
      <c r="A1837" t="s">
        <v>3614</v>
      </c>
      <c r="B1837" t="s">
        <v>1451</v>
      </c>
      <c r="C1837" t="s">
        <v>961</v>
      </c>
      <c r="D1837" t="s">
        <v>1075</v>
      </c>
      <c r="E1837">
        <v>2</v>
      </c>
      <c r="F1837">
        <f>_xlfn.XLOOKUP(Table1[[#This Row],[ProductID]],Products!A:A,Products!D:D,,0)</f>
        <v>80</v>
      </c>
      <c r="I1837">
        <v>499</v>
      </c>
      <c r="J1837">
        <v>449</v>
      </c>
      <c r="K1837" t="s">
        <v>1107</v>
      </c>
      <c r="L1837">
        <v>898</v>
      </c>
      <c r="M1837" t="s">
        <v>1093</v>
      </c>
      <c r="N1837" t="s">
        <v>1094</v>
      </c>
      <c r="O1837">
        <f>Table1[[#This Row],[Unit_Price]]*Table1[[#This Row],[Quantity]]</f>
        <v>160</v>
      </c>
    </row>
    <row r="1838" spans="1:15" x14ac:dyDescent="0.3">
      <c r="A1838" t="s">
        <v>3615</v>
      </c>
      <c r="B1838" t="s">
        <v>3213</v>
      </c>
      <c r="C1838" t="s">
        <v>1017</v>
      </c>
      <c r="D1838" t="s">
        <v>1059</v>
      </c>
      <c r="E1838">
        <v>2</v>
      </c>
      <c r="F1838">
        <f>_xlfn.XLOOKUP(Table1[[#This Row],[ProductID]],Products!A:A,Products!D:D,,0)</f>
        <v>110</v>
      </c>
      <c r="I1838">
        <v>399</v>
      </c>
      <c r="J1838">
        <v>399</v>
      </c>
      <c r="K1838" t="s">
        <v>1102</v>
      </c>
      <c r="L1838">
        <v>798</v>
      </c>
      <c r="M1838" t="s">
        <v>1098</v>
      </c>
      <c r="N1838" t="s">
        <v>1099</v>
      </c>
      <c r="O1838">
        <f>Table1[[#This Row],[Unit_Price]]*Table1[[#This Row],[Quantity]]</f>
        <v>220</v>
      </c>
    </row>
    <row r="1839" spans="1:15" x14ac:dyDescent="0.3">
      <c r="A1839" t="s">
        <v>3616</v>
      </c>
      <c r="B1839" t="s">
        <v>1541</v>
      </c>
      <c r="C1839" t="s">
        <v>833</v>
      </c>
      <c r="D1839" t="s">
        <v>1078</v>
      </c>
      <c r="E1839">
        <v>1</v>
      </c>
      <c r="F1839">
        <f>_xlfn.XLOOKUP(Table1[[#This Row],[ProductID]],Products!A:A,Products!D:D,,0)</f>
        <v>80</v>
      </c>
      <c r="I1839">
        <v>499</v>
      </c>
      <c r="J1839">
        <v>399</v>
      </c>
      <c r="K1839" t="s">
        <v>1097</v>
      </c>
      <c r="L1839">
        <v>399</v>
      </c>
      <c r="M1839" t="s">
        <v>1098</v>
      </c>
      <c r="N1839" t="s">
        <v>1099</v>
      </c>
      <c r="O1839">
        <f>Table1[[#This Row],[Unit_Price]]*Table1[[#This Row],[Quantity]]</f>
        <v>80</v>
      </c>
    </row>
    <row r="1840" spans="1:15" x14ac:dyDescent="0.3">
      <c r="A1840" t="s">
        <v>3617</v>
      </c>
      <c r="B1840" t="s">
        <v>2454</v>
      </c>
      <c r="C1840" t="s">
        <v>603</v>
      </c>
      <c r="D1840" t="s">
        <v>1080</v>
      </c>
      <c r="E1840">
        <v>1</v>
      </c>
      <c r="F1840">
        <f>_xlfn.XLOOKUP(Table1[[#This Row],[ProductID]],Products!A:A,Products!D:D,,0)</f>
        <v>45</v>
      </c>
      <c r="I1840">
        <v>249</v>
      </c>
      <c r="J1840">
        <v>249</v>
      </c>
      <c r="K1840" t="s">
        <v>1102</v>
      </c>
      <c r="L1840">
        <v>249</v>
      </c>
      <c r="M1840" t="s">
        <v>1093</v>
      </c>
      <c r="N1840" t="s">
        <v>1123</v>
      </c>
      <c r="O1840">
        <f>Table1[[#This Row],[Unit_Price]]*Table1[[#This Row],[Quantity]]</f>
        <v>45</v>
      </c>
    </row>
    <row r="1841" spans="1:15" x14ac:dyDescent="0.3">
      <c r="A1841" t="s">
        <v>3618</v>
      </c>
      <c r="B1841" t="s">
        <v>3191</v>
      </c>
      <c r="C1841" t="s">
        <v>583</v>
      </c>
      <c r="D1841" t="s">
        <v>1075</v>
      </c>
      <c r="E1841">
        <v>2</v>
      </c>
      <c r="F1841">
        <f>_xlfn.XLOOKUP(Table1[[#This Row],[ProductID]],Products!A:A,Products!D:D,,0)</f>
        <v>80</v>
      </c>
      <c r="I1841">
        <v>499</v>
      </c>
      <c r="J1841">
        <v>449</v>
      </c>
      <c r="K1841" t="s">
        <v>1107</v>
      </c>
      <c r="L1841">
        <v>898</v>
      </c>
      <c r="M1841" t="s">
        <v>1098</v>
      </c>
      <c r="N1841" t="s">
        <v>1099</v>
      </c>
      <c r="O1841">
        <f>Table1[[#This Row],[Unit_Price]]*Table1[[#This Row],[Quantity]]</f>
        <v>160</v>
      </c>
    </row>
    <row r="1842" spans="1:15" x14ac:dyDescent="0.3">
      <c r="A1842" t="s">
        <v>3619</v>
      </c>
      <c r="B1842" t="s">
        <v>3243</v>
      </c>
      <c r="C1842" t="s">
        <v>613</v>
      </c>
      <c r="D1842" t="s">
        <v>1051</v>
      </c>
      <c r="E1842">
        <v>1</v>
      </c>
      <c r="F1842">
        <f>_xlfn.XLOOKUP(Table1[[#This Row],[ProductID]],Products!A:A,Products!D:D,,0)</f>
        <v>150</v>
      </c>
      <c r="I1842">
        <v>499</v>
      </c>
      <c r="J1842">
        <v>449</v>
      </c>
      <c r="K1842" t="s">
        <v>1107</v>
      </c>
      <c r="L1842">
        <v>449</v>
      </c>
      <c r="M1842" t="s">
        <v>1093</v>
      </c>
      <c r="N1842" t="s">
        <v>1094</v>
      </c>
      <c r="O1842">
        <f>Table1[[#This Row],[Unit_Price]]*Table1[[#This Row],[Quantity]]</f>
        <v>150</v>
      </c>
    </row>
    <row r="1843" spans="1:15" x14ac:dyDescent="0.3">
      <c r="A1843" t="s">
        <v>3620</v>
      </c>
      <c r="B1843" t="s">
        <v>1539</v>
      </c>
      <c r="C1843" t="s">
        <v>725</v>
      </c>
      <c r="D1843" t="s">
        <v>1055</v>
      </c>
      <c r="E1843">
        <v>1</v>
      </c>
      <c r="F1843">
        <f>_xlfn.XLOOKUP(Table1[[#This Row],[ProductID]],Products!A:A,Products!D:D,,0)</f>
        <v>75</v>
      </c>
      <c r="I1843">
        <v>299</v>
      </c>
      <c r="J1843">
        <v>254</v>
      </c>
      <c r="K1843" t="s">
        <v>1092</v>
      </c>
      <c r="L1843">
        <v>254</v>
      </c>
      <c r="M1843" t="s">
        <v>1118</v>
      </c>
      <c r="N1843" t="s">
        <v>1099</v>
      </c>
      <c r="O1843">
        <f>Table1[[#This Row],[Unit_Price]]*Table1[[#This Row],[Quantity]]</f>
        <v>75</v>
      </c>
    </row>
    <row r="1844" spans="1:15" x14ac:dyDescent="0.3">
      <c r="A1844" t="s">
        <v>3621</v>
      </c>
      <c r="B1844" t="s">
        <v>2251</v>
      </c>
      <c r="C1844" t="s">
        <v>1029</v>
      </c>
      <c r="D1844" t="s">
        <v>1068</v>
      </c>
      <c r="E1844">
        <v>2</v>
      </c>
      <c r="F1844">
        <f>_xlfn.XLOOKUP(Table1[[#This Row],[ProductID]],Products!A:A,Products!D:D,,0)</f>
        <v>180</v>
      </c>
      <c r="I1844">
        <v>449</v>
      </c>
      <c r="J1844">
        <v>404</v>
      </c>
      <c r="K1844" t="s">
        <v>1107</v>
      </c>
      <c r="L1844">
        <v>808</v>
      </c>
      <c r="M1844" t="s">
        <v>1093</v>
      </c>
      <c r="N1844" t="s">
        <v>1094</v>
      </c>
      <c r="O1844">
        <f>Table1[[#This Row],[Unit_Price]]*Table1[[#This Row],[Quantity]]</f>
        <v>360</v>
      </c>
    </row>
    <row r="1845" spans="1:15" x14ac:dyDescent="0.3">
      <c r="A1845" t="s">
        <v>3622</v>
      </c>
      <c r="B1845" t="s">
        <v>1333</v>
      </c>
      <c r="C1845" t="s">
        <v>701</v>
      </c>
      <c r="D1845" t="s">
        <v>1055</v>
      </c>
      <c r="E1845">
        <v>2</v>
      </c>
      <c r="F1845">
        <f>_xlfn.XLOOKUP(Table1[[#This Row],[ProductID]],Products!A:A,Products!D:D,,0)</f>
        <v>75</v>
      </c>
      <c r="I1845">
        <v>299</v>
      </c>
      <c r="J1845">
        <v>239</v>
      </c>
      <c r="K1845" t="s">
        <v>1097</v>
      </c>
      <c r="L1845">
        <v>478</v>
      </c>
      <c r="M1845" t="s">
        <v>1093</v>
      </c>
      <c r="N1845" t="s">
        <v>1099</v>
      </c>
      <c r="O1845">
        <f>Table1[[#This Row],[Unit_Price]]*Table1[[#This Row],[Quantity]]</f>
        <v>150</v>
      </c>
    </row>
    <row r="1846" spans="1:15" x14ac:dyDescent="0.3">
      <c r="A1846" t="s">
        <v>3623</v>
      </c>
      <c r="B1846" t="s">
        <v>2709</v>
      </c>
      <c r="C1846" t="s">
        <v>447</v>
      </c>
      <c r="D1846" t="s">
        <v>1073</v>
      </c>
      <c r="E1846">
        <v>1</v>
      </c>
      <c r="F1846">
        <f>_xlfn.XLOOKUP(Table1[[#This Row],[ProductID]],Products!A:A,Products!D:D,,0)</f>
        <v>100</v>
      </c>
      <c r="I1846">
        <v>349</v>
      </c>
      <c r="J1846">
        <v>297</v>
      </c>
      <c r="K1846" t="s">
        <v>1092</v>
      </c>
      <c r="L1846">
        <v>297</v>
      </c>
      <c r="M1846" t="s">
        <v>1098</v>
      </c>
      <c r="N1846" t="s">
        <v>1099</v>
      </c>
      <c r="O1846">
        <f>Table1[[#This Row],[Unit_Price]]*Table1[[#This Row],[Quantity]]</f>
        <v>100</v>
      </c>
    </row>
    <row r="1847" spans="1:15" x14ac:dyDescent="0.3">
      <c r="A1847" t="s">
        <v>3624</v>
      </c>
      <c r="B1847" t="s">
        <v>1705</v>
      </c>
      <c r="C1847" t="s">
        <v>883</v>
      </c>
      <c r="D1847" t="s">
        <v>1075</v>
      </c>
      <c r="E1847">
        <v>1</v>
      </c>
      <c r="F1847">
        <f>_xlfn.XLOOKUP(Table1[[#This Row],[ProductID]],Products!A:A,Products!D:D,,0)</f>
        <v>80</v>
      </c>
      <c r="I1847">
        <v>499</v>
      </c>
      <c r="J1847">
        <v>499</v>
      </c>
      <c r="K1847" t="s">
        <v>1102</v>
      </c>
      <c r="L1847">
        <v>499</v>
      </c>
      <c r="M1847" t="s">
        <v>1098</v>
      </c>
      <c r="N1847" t="s">
        <v>1099</v>
      </c>
      <c r="O1847">
        <f>Table1[[#This Row],[Unit_Price]]*Table1[[#This Row],[Quantity]]</f>
        <v>80</v>
      </c>
    </row>
    <row r="1848" spans="1:15" x14ac:dyDescent="0.3">
      <c r="A1848" t="s">
        <v>3625</v>
      </c>
      <c r="B1848" t="s">
        <v>1272</v>
      </c>
      <c r="C1848" t="s">
        <v>14</v>
      </c>
      <c r="D1848" t="s">
        <v>1057</v>
      </c>
      <c r="E1848">
        <v>1</v>
      </c>
      <c r="F1848">
        <f>_xlfn.XLOOKUP(Table1[[#This Row],[ProductID]],Products!A:A,Products!D:D,,0)</f>
        <v>130</v>
      </c>
      <c r="I1848">
        <v>549</v>
      </c>
      <c r="J1848">
        <v>549</v>
      </c>
      <c r="K1848" t="s">
        <v>1102</v>
      </c>
      <c r="L1848">
        <v>549</v>
      </c>
      <c r="M1848" t="s">
        <v>1098</v>
      </c>
      <c r="N1848" t="s">
        <v>1099</v>
      </c>
      <c r="O1848">
        <f>Table1[[#This Row],[Unit_Price]]*Table1[[#This Row],[Quantity]]</f>
        <v>130</v>
      </c>
    </row>
    <row r="1849" spans="1:15" x14ac:dyDescent="0.3">
      <c r="A1849" t="s">
        <v>3626</v>
      </c>
      <c r="B1849" t="s">
        <v>2067</v>
      </c>
      <c r="C1849" t="s">
        <v>795</v>
      </c>
      <c r="D1849" t="s">
        <v>1068</v>
      </c>
      <c r="E1849">
        <v>3</v>
      </c>
      <c r="F1849">
        <f>_xlfn.XLOOKUP(Table1[[#This Row],[ProductID]],Products!A:A,Products!D:D,,0)</f>
        <v>180</v>
      </c>
      <c r="I1849">
        <v>449</v>
      </c>
      <c r="J1849">
        <v>359</v>
      </c>
      <c r="K1849" t="s">
        <v>1097</v>
      </c>
      <c r="L1849">
        <v>1077</v>
      </c>
      <c r="M1849" t="s">
        <v>1093</v>
      </c>
      <c r="N1849" t="s">
        <v>1099</v>
      </c>
      <c r="O1849">
        <f>Table1[[#This Row],[Unit_Price]]*Table1[[#This Row],[Quantity]]</f>
        <v>540</v>
      </c>
    </row>
    <row r="1850" spans="1:15" x14ac:dyDescent="0.3">
      <c r="A1850" t="s">
        <v>3627</v>
      </c>
      <c r="B1850" t="s">
        <v>2243</v>
      </c>
      <c r="C1850" t="s">
        <v>577</v>
      </c>
      <c r="D1850" t="s">
        <v>1059</v>
      </c>
      <c r="E1850">
        <v>1</v>
      </c>
      <c r="F1850">
        <f>_xlfn.XLOOKUP(Table1[[#This Row],[ProductID]],Products!A:A,Products!D:D,,0)</f>
        <v>110</v>
      </c>
      <c r="I1850">
        <v>399</v>
      </c>
      <c r="J1850">
        <v>359</v>
      </c>
      <c r="K1850" t="s">
        <v>1107</v>
      </c>
      <c r="L1850">
        <v>359</v>
      </c>
      <c r="M1850" t="s">
        <v>1098</v>
      </c>
      <c r="N1850" t="s">
        <v>1099</v>
      </c>
      <c r="O1850">
        <f>Table1[[#This Row],[Unit_Price]]*Table1[[#This Row],[Quantity]]</f>
        <v>110</v>
      </c>
    </row>
    <row r="1851" spans="1:15" x14ac:dyDescent="0.3">
      <c r="A1851" t="s">
        <v>3628</v>
      </c>
      <c r="B1851" t="s">
        <v>1379</v>
      </c>
      <c r="C1851" t="s">
        <v>829</v>
      </c>
      <c r="D1851" t="s">
        <v>1075</v>
      </c>
      <c r="E1851">
        <v>1</v>
      </c>
      <c r="F1851">
        <f>_xlfn.XLOOKUP(Table1[[#This Row],[ProductID]],Products!A:A,Products!D:D,,0)</f>
        <v>80</v>
      </c>
      <c r="I1851">
        <v>499</v>
      </c>
      <c r="J1851">
        <v>499</v>
      </c>
      <c r="K1851" t="s">
        <v>1102</v>
      </c>
      <c r="L1851">
        <v>499</v>
      </c>
      <c r="M1851" t="s">
        <v>1093</v>
      </c>
      <c r="N1851" t="s">
        <v>1099</v>
      </c>
      <c r="O1851">
        <f>Table1[[#This Row],[Unit_Price]]*Table1[[#This Row],[Quantity]]</f>
        <v>80</v>
      </c>
    </row>
    <row r="1852" spans="1:15" x14ac:dyDescent="0.3">
      <c r="A1852" t="s">
        <v>3629</v>
      </c>
      <c r="B1852" t="s">
        <v>2757</v>
      </c>
      <c r="C1852" t="s">
        <v>627</v>
      </c>
      <c r="D1852" t="s">
        <v>1048</v>
      </c>
      <c r="E1852">
        <v>1</v>
      </c>
      <c r="F1852">
        <f>_xlfn.XLOOKUP(Table1[[#This Row],[ProductID]],Products!A:A,Products!D:D,,0)</f>
        <v>120</v>
      </c>
      <c r="I1852">
        <v>599</v>
      </c>
      <c r="J1852">
        <v>479</v>
      </c>
      <c r="K1852" t="s">
        <v>1097</v>
      </c>
      <c r="L1852">
        <v>479</v>
      </c>
      <c r="M1852" t="s">
        <v>1098</v>
      </c>
      <c r="N1852" t="s">
        <v>1099</v>
      </c>
      <c r="O1852">
        <f>Table1[[#This Row],[Unit_Price]]*Table1[[#This Row],[Quantity]]</f>
        <v>120</v>
      </c>
    </row>
    <row r="1853" spans="1:15" x14ac:dyDescent="0.3">
      <c r="A1853" t="s">
        <v>3630</v>
      </c>
      <c r="B1853" t="s">
        <v>1688</v>
      </c>
      <c r="C1853" t="s">
        <v>689</v>
      </c>
      <c r="D1853" t="s">
        <v>1059</v>
      </c>
      <c r="E1853">
        <v>1</v>
      </c>
      <c r="F1853">
        <f>_xlfn.XLOOKUP(Table1[[#This Row],[ProductID]],Products!A:A,Products!D:D,,0)</f>
        <v>110</v>
      </c>
      <c r="I1853">
        <v>399</v>
      </c>
      <c r="J1853">
        <v>359</v>
      </c>
      <c r="K1853" t="s">
        <v>1107</v>
      </c>
      <c r="L1853">
        <v>359</v>
      </c>
      <c r="M1853" t="s">
        <v>1126</v>
      </c>
      <c r="N1853" t="s">
        <v>1099</v>
      </c>
      <c r="O1853">
        <f>Table1[[#This Row],[Unit_Price]]*Table1[[#This Row],[Quantity]]</f>
        <v>110</v>
      </c>
    </row>
    <row r="1854" spans="1:15" x14ac:dyDescent="0.3">
      <c r="A1854" t="s">
        <v>3631</v>
      </c>
      <c r="B1854" t="s">
        <v>2983</v>
      </c>
      <c r="C1854" t="s">
        <v>605</v>
      </c>
      <c r="D1854" t="s">
        <v>1075</v>
      </c>
      <c r="E1854">
        <v>1</v>
      </c>
      <c r="F1854">
        <f>_xlfn.XLOOKUP(Table1[[#This Row],[ProductID]],Products!A:A,Products!D:D,,0)</f>
        <v>80</v>
      </c>
      <c r="I1854">
        <v>499</v>
      </c>
      <c r="J1854">
        <v>449</v>
      </c>
      <c r="K1854" t="s">
        <v>1107</v>
      </c>
      <c r="L1854">
        <v>449</v>
      </c>
      <c r="M1854" t="s">
        <v>1126</v>
      </c>
      <c r="N1854" t="s">
        <v>1099</v>
      </c>
      <c r="O1854">
        <f>Table1[[#This Row],[Unit_Price]]*Table1[[#This Row],[Quantity]]</f>
        <v>80</v>
      </c>
    </row>
    <row r="1855" spans="1:15" x14ac:dyDescent="0.3">
      <c r="A1855" t="s">
        <v>3632</v>
      </c>
      <c r="B1855" t="s">
        <v>2555</v>
      </c>
      <c r="C1855" t="s">
        <v>505</v>
      </c>
      <c r="D1855" t="s">
        <v>1073</v>
      </c>
      <c r="E1855">
        <v>1</v>
      </c>
      <c r="F1855">
        <f>_xlfn.XLOOKUP(Table1[[#This Row],[ProductID]],Products!A:A,Products!D:D,,0)</f>
        <v>100</v>
      </c>
      <c r="I1855">
        <v>349</v>
      </c>
      <c r="J1855">
        <v>314</v>
      </c>
      <c r="K1855" t="s">
        <v>1107</v>
      </c>
      <c r="L1855">
        <v>314</v>
      </c>
      <c r="M1855" t="s">
        <v>1098</v>
      </c>
      <c r="N1855" t="s">
        <v>1099</v>
      </c>
      <c r="O1855">
        <f>Table1[[#This Row],[Unit_Price]]*Table1[[#This Row],[Quantity]]</f>
        <v>100</v>
      </c>
    </row>
    <row r="1856" spans="1:15" x14ac:dyDescent="0.3">
      <c r="A1856" t="s">
        <v>3633</v>
      </c>
      <c r="B1856" t="s">
        <v>1696</v>
      </c>
      <c r="C1856" t="s">
        <v>795</v>
      </c>
      <c r="D1856" t="s">
        <v>1073</v>
      </c>
      <c r="E1856">
        <v>1</v>
      </c>
      <c r="F1856">
        <f>_xlfn.XLOOKUP(Table1[[#This Row],[ProductID]],Products!A:A,Products!D:D,,0)</f>
        <v>100</v>
      </c>
      <c r="I1856">
        <v>349</v>
      </c>
      <c r="J1856">
        <v>314</v>
      </c>
      <c r="K1856" t="s">
        <v>1107</v>
      </c>
      <c r="L1856">
        <v>314</v>
      </c>
      <c r="M1856" t="s">
        <v>1093</v>
      </c>
      <c r="N1856" t="s">
        <v>1099</v>
      </c>
      <c r="O1856">
        <f>Table1[[#This Row],[Unit_Price]]*Table1[[#This Row],[Quantity]]</f>
        <v>100</v>
      </c>
    </row>
    <row r="1857" spans="1:15" x14ac:dyDescent="0.3">
      <c r="A1857" t="s">
        <v>3634</v>
      </c>
      <c r="B1857" t="s">
        <v>1136</v>
      </c>
      <c r="C1857" t="s">
        <v>537</v>
      </c>
      <c r="D1857" t="s">
        <v>1073</v>
      </c>
      <c r="E1857">
        <v>1</v>
      </c>
      <c r="F1857">
        <f>_xlfn.XLOOKUP(Table1[[#This Row],[ProductID]],Products!A:A,Products!D:D,,0)</f>
        <v>100</v>
      </c>
      <c r="I1857">
        <v>349</v>
      </c>
      <c r="J1857">
        <v>314</v>
      </c>
      <c r="K1857" t="s">
        <v>1107</v>
      </c>
      <c r="L1857">
        <v>314</v>
      </c>
      <c r="M1857" t="s">
        <v>1093</v>
      </c>
      <c r="N1857" t="s">
        <v>1099</v>
      </c>
      <c r="O1857">
        <f>Table1[[#This Row],[Unit_Price]]*Table1[[#This Row],[Quantity]]</f>
        <v>100</v>
      </c>
    </row>
    <row r="1858" spans="1:15" x14ac:dyDescent="0.3">
      <c r="A1858" t="s">
        <v>3635</v>
      </c>
      <c r="B1858" t="s">
        <v>2072</v>
      </c>
      <c r="C1858" t="s">
        <v>715</v>
      </c>
      <c r="D1858" t="s">
        <v>1078</v>
      </c>
      <c r="E1858">
        <v>1</v>
      </c>
      <c r="F1858">
        <f>_xlfn.XLOOKUP(Table1[[#This Row],[ProductID]],Products!A:A,Products!D:D,,0)</f>
        <v>80</v>
      </c>
      <c r="I1858">
        <v>499</v>
      </c>
      <c r="J1858">
        <v>499</v>
      </c>
      <c r="K1858" t="s">
        <v>1102</v>
      </c>
      <c r="L1858">
        <v>499</v>
      </c>
      <c r="M1858" t="s">
        <v>1126</v>
      </c>
      <c r="N1858" t="s">
        <v>1099</v>
      </c>
      <c r="O1858">
        <f>Table1[[#This Row],[Unit_Price]]*Table1[[#This Row],[Quantity]]</f>
        <v>80</v>
      </c>
    </row>
    <row r="1859" spans="1:15" x14ac:dyDescent="0.3">
      <c r="A1859" t="s">
        <v>3636</v>
      </c>
      <c r="B1859" t="s">
        <v>3320</v>
      </c>
      <c r="C1859" t="s">
        <v>901</v>
      </c>
      <c r="D1859" t="s">
        <v>1055</v>
      </c>
      <c r="E1859">
        <v>1</v>
      </c>
      <c r="F1859">
        <f>_xlfn.XLOOKUP(Table1[[#This Row],[ProductID]],Products!A:A,Products!D:D,,0)</f>
        <v>75</v>
      </c>
      <c r="I1859">
        <v>299</v>
      </c>
      <c r="J1859">
        <v>254</v>
      </c>
      <c r="K1859" t="s">
        <v>1092</v>
      </c>
      <c r="L1859">
        <v>254</v>
      </c>
      <c r="M1859" t="s">
        <v>1093</v>
      </c>
      <c r="N1859" t="s">
        <v>1123</v>
      </c>
      <c r="O1859">
        <f>Table1[[#This Row],[Unit_Price]]*Table1[[#This Row],[Quantity]]</f>
        <v>75</v>
      </c>
    </row>
    <row r="1860" spans="1:15" x14ac:dyDescent="0.3">
      <c r="A1860" t="s">
        <v>3637</v>
      </c>
      <c r="B1860" t="s">
        <v>2654</v>
      </c>
      <c r="C1860" t="s">
        <v>695</v>
      </c>
      <c r="D1860" t="s">
        <v>1055</v>
      </c>
      <c r="E1860">
        <v>2</v>
      </c>
      <c r="F1860">
        <f>_xlfn.XLOOKUP(Table1[[#This Row],[ProductID]],Products!A:A,Products!D:D,,0)</f>
        <v>75</v>
      </c>
      <c r="I1860">
        <v>299</v>
      </c>
      <c r="J1860">
        <v>299</v>
      </c>
      <c r="K1860" t="s">
        <v>1102</v>
      </c>
      <c r="L1860">
        <v>598</v>
      </c>
      <c r="M1860" t="s">
        <v>1098</v>
      </c>
      <c r="N1860" t="s">
        <v>1099</v>
      </c>
      <c r="O1860">
        <f>Table1[[#This Row],[Unit_Price]]*Table1[[#This Row],[Quantity]]</f>
        <v>150</v>
      </c>
    </row>
    <row r="1861" spans="1:15" x14ac:dyDescent="0.3">
      <c r="A1861" t="s">
        <v>3638</v>
      </c>
      <c r="B1861" t="s">
        <v>1529</v>
      </c>
      <c r="C1861" t="s">
        <v>529</v>
      </c>
      <c r="D1861" t="s">
        <v>1073</v>
      </c>
      <c r="E1861">
        <v>1</v>
      </c>
      <c r="F1861">
        <f>_xlfn.XLOOKUP(Table1[[#This Row],[ProductID]],Products!A:A,Products!D:D,,0)</f>
        <v>100</v>
      </c>
      <c r="I1861">
        <v>349</v>
      </c>
      <c r="J1861">
        <v>297</v>
      </c>
      <c r="K1861" t="s">
        <v>1092</v>
      </c>
      <c r="L1861">
        <v>297</v>
      </c>
      <c r="M1861" t="s">
        <v>1098</v>
      </c>
      <c r="N1861" t="s">
        <v>1099</v>
      </c>
      <c r="O1861">
        <f>Table1[[#This Row],[Unit_Price]]*Table1[[#This Row],[Quantity]]</f>
        <v>100</v>
      </c>
    </row>
    <row r="1862" spans="1:15" x14ac:dyDescent="0.3">
      <c r="A1862" t="s">
        <v>3639</v>
      </c>
      <c r="B1862" t="s">
        <v>1323</v>
      </c>
      <c r="C1862" t="s">
        <v>843</v>
      </c>
      <c r="D1862" t="s">
        <v>1053</v>
      </c>
      <c r="E1862">
        <v>1</v>
      </c>
      <c r="F1862">
        <f>_xlfn.XLOOKUP(Table1[[#This Row],[ProductID]],Products!A:A,Products!D:D,,0)</f>
        <v>200</v>
      </c>
      <c r="I1862">
        <v>899</v>
      </c>
      <c r="J1862">
        <v>899</v>
      </c>
      <c r="K1862" t="s">
        <v>1102</v>
      </c>
      <c r="L1862">
        <v>899</v>
      </c>
      <c r="M1862" t="s">
        <v>1126</v>
      </c>
      <c r="N1862" t="s">
        <v>1099</v>
      </c>
      <c r="O1862">
        <f>Table1[[#This Row],[Unit_Price]]*Table1[[#This Row],[Quantity]]</f>
        <v>200</v>
      </c>
    </row>
    <row r="1863" spans="1:15" x14ac:dyDescent="0.3">
      <c r="A1863" t="s">
        <v>3640</v>
      </c>
      <c r="B1863" t="s">
        <v>2368</v>
      </c>
      <c r="C1863" t="s">
        <v>507</v>
      </c>
      <c r="D1863" t="s">
        <v>1053</v>
      </c>
      <c r="E1863">
        <v>1</v>
      </c>
      <c r="F1863">
        <f>_xlfn.XLOOKUP(Table1[[#This Row],[ProductID]],Products!A:A,Products!D:D,,0)</f>
        <v>200</v>
      </c>
      <c r="I1863">
        <v>899</v>
      </c>
      <c r="J1863">
        <v>809</v>
      </c>
      <c r="K1863" t="s">
        <v>1107</v>
      </c>
      <c r="L1863">
        <v>809</v>
      </c>
      <c r="M1863" t="s">
        <v>1093</v>
      </c>
      <c r="N1863" t="s">
        <v>1099</v>
      </c>
      <c r="O1863">
        <f>Table1[[#This Row],[Unit_Price]]*Table1[[#This Row],[Quantity]]</f>
        <v>200</v>
      </c>
    </row>
    <row r="1864" spans="1:15" x14ac:dyDescent="0.3">
      <c r="A1864" t="s">
        <v>3641</v>
      </c>
      <c r="B1864" t="s">
        <v>1676</v>
      </c>
      <c r="C1864" t="s">
        <v>669</v>
      </c>
      <c r="D1864" t="s">
        <v>1075</v>
      </c>
      <c r="E1864">
        <v>2</v>
      </c>
      <c r="F1864">
        <f>_xlfn.XLOOKUP(Table1[[#This Row],[ProductID]],Products!A:A,Products!D:D,,0)</f>
        <v>80</v>
      </c>
      <c r="I1864">
        <v>499</v>
      </c>
      <c r="J1864">
        <v>499</v>
      </c>
      <c r="K1864" t="s">
        <v>1102</v>
      </c>
      <c r="L1864">
        <v>998</v>
      </c>
      <c r="M1864" t="s">
        <v>1126</v>
      </c>
      <c r="N1864" t="s">
        <v>1099</v>
      </c>
      <c r="O1864">
        <f>Table1[[#This Row],[Unit_Price]]*Table1[[#This Row],[Quantity]]</f>
        <v>160</v>
      </c>
    </row>
    <row r="1865" spans="1:15" x14ac:dyDescent="0.3">
      <c r="A1865" t="s">
        <v>3642</v>
      </c>
      <c r="B1865" t="s">
        <v>2231</v>
      </c>
      <c r="C1865" t="s">
        <v>751</v>
      </c>
      <c r="D1865" t="s">
        <v>1048</v>
      </c>
      <c r="E1865">
        <v>1</v>
      </c>
      <c r="F1865">
        <f>_xlfn.XLOOKUP(Table1[[#This Row],[ProductID]],Products!A:A,Products!D:D,,0)</f>
        <v>120</v>
      </c>
      <c r="I1865">
        <v>599</v>
      </c>
      <c r="J1865">
        <v>479</v>
      </c>
      <c r="K1865" t="s">
        <v>1097</v>
      </c>
      <c r="L1865">
        <v>479</v>
      </c>
      <c r="M1865" t="s">
        <v>1098</v>
      </c>
      <c r="N1865" t="s">
        <v>1099</v>
      </c>
      <c r="O1865">
        <f>Table1[[#This Row],[Unit_Price]]*Table1[[#This Row],[Quantity]]</f>
        <v>120</v>
      </c>
    </row>
    <row r="1866" spans="1:15" x14ac:dyDescent="0.3">
      <c r="A1866" t="s">
        <v>3643</v>
      </c>
      <c r="B1866" t="s">
        <v>1451</v>
      </c>
      <c r="C1866" t="s">
        <v>623</v>
      </c>
      <c r="D1866" t="s">
        <v>1057</v>
      </c>
      <c r="E1866">
        <v>2</v>
      </c>
      <c r="F1866">
        <f>_xlfn.XLOOKUP(Table1[[#This Row],[ProductID]],Products!A:A,Products!D:D,,0)</f>
        <v>130</v>
      </c>
      <c r="I1866">
        <v>549</v>
      </c>
      <c r="J1866">
        <v>439</v>
      </c>
      <c r="K1866" t="s">
        <v>1097</v>
      </c>
      <c r="L1866">
        <v>878</v>
      </c>
      <c r="M1866" t="s">
        <v>1098</v>
      </c>
      <c r="N1866" t="s">
        <v>1099</v>
      </c>
      <c r="O1866">
        <f>Table1[[#This Row],[Unit_Price]]*Table1[[#This Row],[Quantity]]</f>
        <v>260</v>
      </c>
    </row>
    <row r="1867" spans="1:15" x14ac:dyDescent="0.3">
      <c r="A1867" t="s">
        <v>3644</v>
      </c>
      <c r="B1867" t="s">
        <v>1488</v>
      </c>
      <c r="C1867" t="s">
        <v>687</v>
      </c>
      <c r="D1867" t="s">
        <v>1066</v>
      </c>
      <c r="E1867">
        <v>1</v>
      </c>
      <c r="F1867">
        <f>_xlfn.XLOOKUP(Table1[[#This Row],[ProductID]],Products!A:A,Products!D:D,,0)</f>
        <v>140</v>
      </c>
      <c r="I1867">
        <v>499</v>
      </c>
      <c r="J1867">
        <v>499</v>
      </c>
      <c r="K1867" t="s">
        <v>1102</v>
      </c>
      <c r="L1867">
        <v>499</v>
      </c>
      <c r="M1867" t="s">
        <v>1118</v>
      </c>
      <c r="N1867" t="s">
        <v>1099</v>
      </c>
      <c r="O1867">
        <f>Table1[[#This Row],[Unit_Price]]*Table1[[#This Row],[Quantity]]</f>
        <v>140</v>
      </c>
    </row>
    <row r="1868" spans="1:15" x14ac:dyDescent="0.3">
      <c r="A1868" t="s">
        <v>3645</v>
      </c>
      <c r="B1868" t="s">
        <v>2294</v>
      </c>
      <c r="C1868" t="s">
        <v>999</v>
      </c>
      <c r="D1868" t="s">
        <v>1053</v>
      </c>
      <c r="E1868">
        <v>1</v>
      </c>
      <c r="F1868">
        <f>_xlfn.XLOOKUP(Table1[[#This Row],[ProductID]],Products!A:A,Products!D:D,,0)</f>
        <v>200</v>
      </c>
      <c r="I1868">
        <v>899</v>
      </c>
      <c r="J1868">
        <v>809</v>
      </c>
      <c r="K1868" t="s">
        <v>1107</v>
      </c>
      <c r="L1868">
        <v>809</v>
      </c>
      <c r="M1868" t="s">
        <v>1093</v>
      </c>
      <c r="N1868" t="s">
        <v>1099</v>
      </c>
      <c r="O1868">
        <f>Table1[[#This Row],[Unit_Price]]*Table1[[#This Row],[Quantity]]</f>
        <v>200</v>
      </c>
    </row>
    <row r="1869" spans="1:15" x14ac:dyDescent="0.3">
      <c r="A1869" t="s">
        <v>3646</v>
      </c>
      <c r="B1869" t="s">
        <v>1698</v>
      </c>
      <c r="C1869" t="s">
        <v>279</v>
      </c>
      <c r="D1869" t="s">
        <v>1057</v>
      </c>
      <c r="E1869">
        <v>1</v>
      </c>
      <c r="F1869">
        <f>_xlfn.XLOOKUP(Table1[[#This Row],[ProductID]],Products!A:A,Products!D:D,,0)</f>
        <v>130</v>
      </c>
      <c r="I1869">
        <v>549</v>
      </c>
      <c r="J1869">
        <v>439</v>
      </c>
      <c r="K1869" t="s">
        <v>1097</v>
      </c>
      <c r="L1869">
        <v>439</v>
      </c>
      <c r="M1869" t="s">
        <v>1093</v>
      </c>
      <c r="N1869" t="s">
        <v>1099</v>
      </c>
      <c r="O1869">
        <f>Table1[[#This Row],[Unit_Price]]*Table1[[#This Row],[Quantity]]</f>
        <v>130</v>
      </c>
    </row>
    <row r="1870" spans="1:15" x14ac:dyDescent="0.3">
      <c r="A1870" t="s">
        <v>3647</v>
      </c>
      <c r="B1870" t="s">
        <v>1184</v>
      </c>
      <c r="C1870" t="s">
        <v>134</v>
      </c>
      <c r="D1870" t="s">
        <v>1062</v>
      </c>
      <c r="E1870">
        <v>1</v>
      </c>
      <c r="F1870">
        <f>_xlfn.XLOOKUP(Table1[[#This Row],[ProductID]],Products!A:A,Products!D:D,,0)</f>
        <v>95</v>
      </c>
      <c r="I1870">
        <v>349</v>
      </c>
      <c r="J1870">
        <v>349</v>
      </c>
      <c r="K1870" t="s">
        <v>1102</v>
      </c>
      <c r="L1870">
        <v>349</v>
      </c>
      <c r="M1870" t="s">
        <v>1098</v>
      </c>
      <c r="N1870" t="s">
        <v>1123</v>
      </c>
      <c r="O1870">
        <f>Table1[[#This Row],[Unit_Price]]*Table1[[#This Row],[Quantity]]</f>
        <v>95</v>
      </c>
    </row>
    <row r="1871" spans="1:15" x14ac:dyDescent="0.3">
      <c r="A1871" t="s">
        <v>3648</v>
      </c>
      <c r="B1871" t="s">
        <v>2668</v>
      </c>
      <c r="C1871" t="s">
        <v>567</v>
      </c>
      <c r="D1871" t="s">
        <v>1051</v>
      </c>
      <c r="E1871">
        <v>1</v>
      </c>
      <c r="F1871">
        <f>_xlfn.XLOOKUP(Table1[[#This Row],[ProductID]],Products!A:A,Products!D:D,,0)</f>
        <v>150</v>
      </c>
      <c r="I1871">
        <v>499</v>
      </c>
      <c r="J1871">
        <v>499</v>
      </c>
      <c r="K1871" t="s">
        <v>1102</v>
      </c>
      <c r="L1871">
        <v>499</v>
      </c>
      <c r="M1871" t="s">
        <v>1098</v>
      </c>
      <c r="N1871" t="s">
        <v>1099</v>
      </c>
      <c r="O1871">
        <f>Table1[[#This Row],[Unit_Price]]*Table1[[#This Row],[Quantity]]</f>
        <v>150</v>
      </c>
    </row>
    <row r="1872" spans="1:15" x14ac:dyDescent="0.3">
      <c r="A1872" t="s">
        <v>3649</v>
      </c>
      <c r="B1872" t="s">
        <v>3650</v>
      </c>
      <c r="C1872" t="s">
        <v>447</v>
      </c>
      <c r="D1872" t="s">
        <v>1051</v>
      </c>
      <c r="E1872">
        <v>4</v>
      </c>
      <c r="F1872">
        <f>_xlfn.XLOOKUP(Table1[[#This Row],[ProductID]],Products!A:A,Products!D:D,,0)</f>
        <v>150</v>
      </c>
      <c r="I1872">
        <v>499</v>
      </c>
      <c r="J1872">
        <v>424</v>
      </c>
      <c r="K1872" t="s">
        <v>1092</v>
      </c>
      <c r="L1872">
        <v>1696</v>
      </c>
      <c r="M1872" t="s">
        <v>1098</v>
      </c>
      <c r="N1872" t="s">
        <v>1099</v>
      </c>
      <c r="O1872">
        <f>Table1[[#This Row],[Unit_Price]]*Table1[[#This Row],[Quantity]]</f>
        <v>600</v>
      </c>
    </row>
    <row r="1873" spans="1:15" x14ac:dyDescent="0.3">
      <c r="A1873" t="s">
        <v>3651</v>
      </c>
      <c r="B1873" t="s">
        <v>3201</v>
      </c>
      <c r="C1873" t="s">
        <v>271</v>
      </c>
      <c r="D1873" t="s">
        <v>1048</v>
      </c>
      <c r="E1873">
        <v>1</v>
      </c>
      <c r="F1873">
        <f>_xlfn.XLOOKUP(Table1[[#This Row],[ProductID]],Products!A:A,Products!D:D,,0)</f>
        <v>120</v>
      </c>
      <c r="I1873">
        <v>599</v>
      </c>
      <c r="J1873">
        <v>479</v>
      </c>
      <c r="K1873" t="s">
        <v>1097</v>
      </c>
      <c r="L1873">
        <v>479</v>
      </c>
      <c r="M1873" t="s">
        <v>1098</v>
      </c>
      <c r="N1873" t="s">
        <v>1099</v>
      </c>
      <c r="O1873">
        <f>Table1[[#This Row],[Unit_Price]]*Table1[[#This Row],[Quantity]]</f>
        <v>120</v>
      </c>
    </row>
    <row r="1874" spans="1:15" x14ac:dyDescent="0.3">
      <c r="A1874" t="s">
        <v>3652</v>
      </c>
      <c r="B1874" t="s">
        <v>2119</v>
      </c>
      <c r="C1874" t="s">
        <v>931</v>
      </c>
      <c r="D1874" t="s">
        <v>1068</v>
      </c>
      <c r="E1874">
        <v>2</v>
      </c>
      <c r="F1874">
        <f>_xlfn.XLOOKUP(Table1[[#This Row],[ProductID]],Products!A:A,Products!D:D,,0)</f>
        <v>180</v>
      </c>
      <c r="I1874">
        <v>449</v>
      </c>
      <c r="J1874">
        <v>449</v>
      </c>
      <c r="K1874" t="s">
        <v>1102</v>
      </c>
      <c r="L1874">
        <v>898</v>
      </c>
      <c r="M1874" t="s">
        <v>1093</v>
      </c>
      <c r="N1874" t="s">
        <v>1099</v>
      </c>
      <c r="O1874">
        <f>Table1[[#This Row],[Unit_Price]]*Table1[[#This Row],[Quantity]]</f>
        <v>360</v>
      </c>
    </row>
    <row r="1875" spans="1:15" x14ac:dyDescent="0.3">
      <c r="A1875" t="s">
        <v>3653</v>
      </c>
      <c r="B1875" t="s">
        <v>1158</v>
      </c>
      <c r="C1875" t="s">
        <v>605</v>
      </c>
      <c r="D1875" t="s">
        <v>1073</v>
      </c>
      <c r="E1875">
        <v>1</v>
      </c>
      <c r="F1875">
        <f>_xlfn.XLOOKUP(Table1[[#This Row],[ProductID]],Products!A:A,Products!D:D,,0)</f>
        <v>100</v>
      </c>
      <c r="I1875">
        <v>349</v>
      </c>
      <c r="J1875">
        <v>314</v>
      </c>
      <c r="K1875" t="s">
        <v>1107</v>
      </c>
      <c r="L1875">
        <v>314</v>
      </c>
      <c r="M1875" t="s">
        <v>1093</v>
      </c>
      <c r="N1875" t="s">
        <v>1094</v>
      </c>
      <c r="O1875">
        <f>Table1[[#This Row],[Unit_Price]]*Table1[[#This Row],[Quantity]]</f>
        <v>100</v>
      </c>
    </row>
    <row r="1876" spans="1:15" x14ac:dyDescent="0.3">
      <c r="A1876" t="s">
        <v>3654</v>
      </c>
      <c r="B1876" t="s">
        <v>1845</v>
      </c>
      <c r="C1876" t="s">
        <v>87</v>
      </c>
      <c r="D1876" t="s">
        <v>1068</v>
      </c>
      <c r="E1876">
        <v>2</v>
      </c>
      <c r="F1876">
        <f>_xlfn.XLOOKUP(Table1[[#This Row],[ProductID]],Products!A:A,Products!D:D,,0)</f>
        <v>180</v>
      </c>
      <c r="I1876">
        <v>449</v>
      </c>
      <c r="J1876">
        <v>404</v>
      </c>
      <c r="K1876" t="s">
        <v>1107</v>
      </c>
      <c r="L1876">
        <v>808</v>
      </c>
      <c r="M1876" t="s">
        <v>1093</v>
      </c>
      <c r="N1876" t="s">
        <v>1099</v>
      </c>
      <c r="O1876">
        <f>Table1[[#This Row],[Unit_Price]]*Table1[[#This Row],[Quantity]]</f>
        <v>360</v>
      </c>
    </row>
    <row r="1877" spans="1:15" x14ac:dyDescent="0.3">
      <c r="A1877" t="s">
        <v>3655</v>
      </c>
      <c r="B1877" t="s">
        <v>2816</v>
      </c>
      <c r="C1877" t="s">
        <v>301</v>
      </c>
      <c r="D1877" t="s">
        <v>1075</v>
      </c>
      <c r="E1877">
        <v>2</v>
      </c>
      <c r="F1877">
        <f>_xlfn.XLOOKUP(Table1[[#This Row],[ProductID]],Products!A:A,Products!D:D,,0)</f>
        <v>80</v>
      </c>
      <c r="I1877">
        <v>499</v>
      </c>
      <c r="J1877">
        <v>499</v>
      </c>
      <c r="K1877" t="s">
        <v>1102</v>
      </c>
      <c r="L1877">
        <v>998</v>
      </c>
      <c r="M1877" t="s">
        <v>1126</v>
      </c>
      <c r="N1877" t="s">
        <v>1094</v>
      </c>
      <c r="O1877">
        <f>Table1[[#This Row],[Unit_Price]]*Table1[[#This Row],[Quantity]]</f>
        <v>160</v>
      </c>
    </row>
    <row r="1878" spans="1:15" x14ac:dyDescent="0.3">
      <c r="A1878" t="s">
        <v>3656</v>
      </c>
      <c r="B1878" t="s">
        <v>2512</v>
      </c>
      <c r="C1878" t="s">
        <v>617</v>
      </c>
      <c r="D1878" t="s">
        <v>1068</v>
      </c>
      <c r="E1878">
        <v>1</v>
      </c>
      <c r="F1878">
        <f>_xlfn.XLOOKUP(Table1[[#This Row],[ProductID]],Products!A:A,Products!D:D,,0)</f>
        <v>180</v>
      </c>
      <c r="I1878">
        <v>449</v>
      </c>
      <c r="J1878">
        <v>359</v>
      </c>
      <c r="K1878" t="s">
        <v>1097</v>
      </c>
      <c r="L1878">
        <v>359</v>
      </c>
      <c r="M1878" t="s">
        <v>1098</v>
      </c>
      <c r="N1878" t="s">
        <v>1099</v>
      </c>
      <c r="O1878">
        <f>Table1[[#This Row],[Unit_Price]]*Table1[[#This Row],[Quantity]]</f>
        <v>180</v>
      </c>
    </row>
    <row r="1879" spans="1:15" x14ac:dyDescent="0.3">
      <c r="A1879" t="s">
        <v>3657</v>
      </c>
      <c r="B1879" t="s">
        <v>1539</v>
      </c>
      <c r="C1879" t="s">
        <v>209</v>
      </c>
      <c r="D1879" t="s">
        <v>1073</v>
      </c>
      <c r="E1879">
        <v>1</v>
      </c>
      <c r="F1879">
        <f>_xlfn.XLOOKUP(Table1[[#This Row],[ProductID]],Products!A:A,Products!D:D,,0)</f>
        <v>100</v>
      </c>
      <c r="I1879">
        <v>349</v>
      </c>
      <c r="J1879">
        <v>297</v>
      </c>
      <c r="K1879" t="s">
        <v>1092</v>
      </c>
      <c r="L1879">
        <v>297</v>
      </c>
      <c r="M1879" t="s">
        <v>1098</v>
      </c>
      <c r="N1879" t="s">
        <v>1099</v>
      </c>
      <c r="O1879">
        <f>Table1[[#This Row],[Unit_Price]]*Table1[[#This Row],[Quantity]]</f>
        <v>100</v>
      </c>
    </row>
    <row r="1880" spans="1:15" x14ac:dyDescent="0.3">
      <c r="A1880" t="s">
        <v>3658</v>
      </c>
      <c r="B1880" t="s">
        <v>1091</v>
      </c>
      <c r="C1880" t="s">
        <v>555</v>
      </c>
      <c r="D1880" t="s">
        <v>1055</v>
      </c>
      <c r="E1880">
        <v>1</v>
      </c>
      <c r="F1880">
        <f>_xlfn.XLOOKUP(Table1[[#This Row],[ProductID]],Products!A:A,Products!D:D,,0)</f>
        <v>75</v>
      </c>
      <c r="I1880">
        <v>299</v>
      </c>
      <c r="J1880">
        <v>299</v>
      </c>
      <c r="K1880" t="s">
        <v>1102</v>
      </c>
      <c r="L1880">
        <v>299</v>
      </c>
      <c r="M1880" t="s">
        <v>1093</v>
      </c>
      <c r="N1880" t="s">
        <v>1099</v>
      </c>
      <c r="O1880">
        <f>Table1[[#This Row],[Unit_Price]]*Table1[[#This Row],[Quantity]]</f>
        <v>75</v>
      </c>
    </row>
    <row r="1881" spans="1:15" x14ac:dyDescent="0.3">
      <c r="A1881" t="s">
        <v>3659</v>
      </c>
      <c r="B1881" t="s">
        <v>3493</v>
      </c>
      <c r="C1881" t="s">
        <v>391</v>
      </c>
      <c r="D1881" t="s">
        <v>1073</v>
      </c>
      <c r="E1881">
        <v>4</v>
      </c>
      <c r="F1881">
        <f>_xlfn.XLOOKUP(Table1[[#This Row],[ProductID]],Products!A:A,Products!D:D,,0)</f>
        <v>100</v>
      </c>
      <c r="I1881">
        <v>349</v>
      </c>
      <c r="J1881">
        <v>314</v>
      </c>
      <c r="K1881" t="s">
        <v>1107</v>
      </c>
      <c r="L1881">
        <v>1256</v>
      </c>
      <c r="M1881" t="s">
        <v>1093</v>
      </c>
      <c r="N1881" t="s">
        <v>1123</v>
      </c>
      <c r="O1881">
        <f>Table1[[#This Row],[Unit_Price]]*Table1[[#This Row],[Quantity]]</f>
        <v>400</v>
      </c>
    </row>
    <row r="1882" spans="1:15" x14ac:dyDescent="0.3">
      <c r="A1882" t="s">
        <v>3660</v>
      </c>
      <c r="B1882" t="s">
        <v>1217</v>
      </c>
      <c r="C1882" t="s">
        <v>102</v>
      </c>
      <c r="D1882" t="s">
        <v>1057</v>
      </c>
      <c r="E1882">
        <v>2</v>
      </c>
      <c r="F1882">
        <f>_xlfn.XLOOKUP(Table1[[#This Row],[ProductID]],Products!A:A,Products!D:D,,0)</f>
        <v>130</v>
      </c>
      <c r="I1882">
        <v>549</v>
      </c>
      <c r="J1882">
        <v>439</v>
      </c>
      <c r="K1882" t="s">
        <v>1097</v>
      </c>
      <c r="L1882">
        <v>878</v>
      </c>
      <c r="M1882" t="s">
        <v>1093</v>
      </c>
      <c r="N1882" t="s">
        <v>1099</v>
      </c>
      <c r="O1882">
        <f>Table1[[#This Row],[Unit_Price]]*Table1[[#This Row],[Quantity]]</f>
        <v>260</v>
      </c>
    </row>
    <row r="1883" spans="1:15" x14ac:dyDescent="0.3">
      <c r="A1883" t="s">
        <v>3661</v>
      </c>
      <c r="B1883" t="s">
        <v>2444</v>
      </c>
      <c r="C1883" t="s">
        <v>355</v>
      </c>
      <c r="D1883" t="s">
        <v>1057</v>
      </c>
      <c r="E1883">
        <v>1</v>
      </c>
      <c r="F1883">
        <f>_xlfn.XLOOKUP(Table1[[#This Row],[ProductID]],Products!A:A,Products!D:D,,0)</f>
        <v>130</v>
      </c>
      <c r="I1883">
        <v>549</v>
      </c>
      <c r="J1883">
        <v>549</v>
      </c>
      <c r="K1883" t="s">
        <v>1102</v>
      </c>
      <c r="L1883">
        <v>549</v>
      </c>
      <c r="M1883" t="s">
        <v>1093</v>
      </c>
      <c r="N1883" t="s">
        <v>1094</v>
      </c>
      <c r="O1883">
        <f>Table1[[#This Row],[Unit_Price]]*Table1[[#This Row],[Quantity]]</f>
        <v>130</v>
      </c>
    </row>
    <row r="1884" spans="1:15" x14ac:dyDescent="0.3">
      <c r="A1884" t="s">
        <v>3662</v>
      </c>
      <c r="B1884" t="s">
        <v>2491</v>
      </c>
      <c r="C1884" t="s">
        <v>787</v>
      </c>
      <c r="D1884" t="s">
        <v>1059</v>
      </c>
      <c r="E1884">
        <v>1</v>
      </c>
      <c r="F1884">
        <f>_xlfn.XLOOKUP(Table1[[#This Row],[ProductID]],Products!A:A,Products!D:D,,0)</f>
        <v>110</v>
      </c>
      <c r="I1884">
        <v>399</v>
      </c>
      <c r="J1884">
        <v>399</v>
      </c>
      <c r="K1884" t="s">
        <v>1102</v>
      </c>
      <c r="L1884">
        <v>399</v>
      </c>
      <c r="M1884" t="s">
        <v>1126</v>
      </c>
      <c r="N1884" t="s">
        <v>1099</v>
      </c>
      <c r="O1884">
        <f>Table1[[#This Row],[Unit_Price]]*Table1[[#This Row],[Quantity]]</f>
        <v>110</v>
      </c>
    </row>
    <row r="1885" spans="1:15" x14ac:dyDescent="0.3">
      <c r="A1885" t="s">
        <v>3663</v>
      </c>
      <c r="B1885" t="s">
        <v>1170</v>
      </c>
      <c r="C1885" t="s">
        <v>747</v>
      </c>
      <c r="D1885" t="s">
        <v>1071</v>
      </c>
      <c r="E1885">
        <v>4</v>
      </c>
      <c r="F1885">
        <f>_xlfn.XLOOKUP(Table1[[#This Row],[ProductID]],Products!A:A,Products!D:D,,0)</f>
        <v>125</v>
      </c>
      <c r="I1885">
        <v>399</v>
      </c>
      <c r="J1885">
        <v>399</v>
      </c>
      <c r="K1885" t="s">
        <v>1102</v>
      </c>
      <c r="L1885">
        <v>1596</v>
      </c>
      <c r="M1885" t="s">
        <v>1126</v>
      </c>
      <c r="N1885" t="s">
        <v>1094</v>
      </c>
      <c r="O1885">
        <f>Table1[[#This Row],[Unit_Price]]*Table1[[#This Row],[Quantity]]</f>
        <v>500</v>
      </c>
    </row>
    <row r="1886" spans="1:15" x14ac:dyDescent="0.3">
      <c r="A1886" t="s">
        <v>3664</v>
      </c>
      <c r="B1886" t="s">
        <v>3562</v>
      </c>
      <c r="C1886" t="s">
        <v>1035</v>
      </c>
      <c r="D1886" t="s">
        <v>1062</v>
      </c>
      <c r="E1886">
        <v>2</v>
      </c>
      <c r="F1886">
        <f>_xlfn.XLOOKUP(Table1[[#This Row],[ProductID]],Products!A:A,Products!D:D,,0)</f>
        <v>95</v>
      </c>
      <c r="I1886">
        <v>349</v>
      </c>
      <c r="J1886">
        <v>314</v>
      </c>
      <c r="K1886" t="s">
        <v>1107</v>
      </c>
      <c r="L1886">
        <v>628</v>
      </c>
      <c r="M1886" t="s">
        <v>1126</v>
      </c>
      <c r="N1886" t="s">
        <v>1099</v>
      </c>
      <c r="O1886">
        <f>Table1[[#This Row],[Unit_Price]]*Table1[[#This Row],[Quantity]]</f>
        <v>190</v>
      </c>
    </row>
    <row r="1887" spans="1:15" x14ac:dyDescent="0.3">
      <c r="A1887" t="s">
        <v>3665</v>
      </c>
      <c r="B1887" t="s">
        <v>3607</v>
      </c>
      <c r="C1887" t="s">
        <v>701</v>
      </c>
      <c r="D1887" t="s">
        <v>1068</v>
      </c>
      <c r="E1887">
        <v>2</v>
      </c>
      <c r="F1887">
        <f>_xlfn.XLOOKUP(Table1[[#This Row],[ProductID]],Products!A:A,Products!D:D,,0)</f>
        <v>180</v>
      </c>
      <c r="I1887">
        <v>449</v>
      </c>
      <c r="J1887">
        <v>449</v>
      </c>
      <c r="K1887" t="s">
        <v>1102</v>
      </c>
      <c r="L1887">
        <v>898</v>
      </c>
      <c r="M1887" t="s">
        <v>1098</v>
      </c>
      <c r="N1887" t="s">
        <v>1099</v>
      </c>
      <c r="O1887">
        <f>Table1[[#This Row],[Unit_Price]]*Table1[[#This Row],[Quantity]]</f>
        <v>360</v>
      </c>
    </row>
    <row r="1888" spans="1:15" x14ac:dyDescent="0.3">
      <c r="A1888" t="s">
        <v>3666</v>
      </c>
      <c r="B1888" t="s">
        <v>1969</v>
      </c>
      <c r="C1888" t="s">
        <v>1021</v>
      </c>
      <c r="D1888" t="s">
        <v>1068</v>
      </c>
      <c r="E1888">
        <v>2</v>
      </c>
      <c r="F1888">
        <f>_xlfn.XLOOKUP(Table1[[#This Row],[ProductID]],Products!A:A,Products!D:D,,0)</f>
        <v>180</v>
      </c>
      <c r="I1888">
        <v>449</v>
      </c>
      <c r="J1888">
        <v>404</v>
      </c>
      <c r="K1888" t="s">
        <v>1107</v>
      </c>
      <c r="L1888">
        <v>808</v>
      </c>
      <c r="M1888" t="s">
        <v>1126</v>
      </c>
      <c r="N1888" t="s">
        <v>1099</v>
      </c>
      <c r="O1888">
        <f>Table1[[#This Row],[Unit_Price]]*Table1[[#This Row],[Quantity]]</f>
        <v>360</v>
      </c>
    </row>
    <row r="1889" spans="1:15" x14ac:dyDescent="0.3">
      <c r="A1889" t="s">
        <v>3667</v>
      </c>
      <c r="B1889" t="s">
        <v>2130</v>
      </c>
      <c r="C1889" t="s">
        <v>907</v>
      </c>
      <c r="D1889" t="s">
        <v>1068</v>
      </c>
      <c r="E1889">
        <v>2</v>
      </c>
      <c r="F1889">
        <f>_xlfn.XLOOKUP(Table1[[#This Row],[ProductID]],Products!A:A,Products!D:D,,0)</f>
        <v>180</v>
      </c>
      <c r="I1889">
        <v>449</v>
      </c>
      <c r="J1889">
        <v>382</v>
      </c>
      <c r="K1889" t="s">
        <v>1092</v>
      </c>
      <c r="L1889">
        <v>764</v>
      </c>
      <c r="M1889" t="s">
        <v>1126</v>
      </c>
      <c r="N1889" t="s">
        <v>1099</v>
      </c>
      <c r="O1889">
        <f>Table1[[#This Row],[Unit_Price]]*Table1[[#This Row],[Quantity]]</f>
        <v>360</v>
      </c>
    </row>
    <row r="1890" spans="1:15" x14ac:dyDescent="0.3">
      <c r="A1890" t="s">
        <v>3668</v>
      </c>
      <c r="B1890" t="s">
        <v>1872</v>
      </c>
      <c r="C1890" t="s">
        <v>439</v>
      </c>
      <c r="D1890" t="s">
        <v>1078</v>
      </c>
      <c r="E1890">
        <v>1</v>
      </c>
      <c r="F1890">
        <f>_xlfn.XLOOKUP(Table1[[#This Row],[ProductID]],Products!A:A,Products!D:D,,0)</f>
        <v>80</v>
      </c>
      <c r="I1890">
        <v>499</v>
      </c>
      <c r="J1890">
        <v>424</v>
      </c>
      <c r="K1890" t="s">
        <v>1092</v>
      </c>
      <c r="L1890">
        <v>424</v>
      </c>
      <c r="M1890" t="s">
        <v>1093</v>
      </c>
      <c r="N1890" t="s">
        <v>1099</v>
      </c>
      <c r="O1890">
        <f>Table1[[#This Row],[Unit_Price]]*Table1[[#This Row],[Quantity]]</f>
        <v>80</v>
      </c>
    </row>
    <row r="1891" spans="1:15" x14ac:dyDescent="0.3">
      <c r="A1891" t="s">
        <v>3669</v>
      </c>
      <c r="B1891" t="s">
        <v>3333</v>
      </c>
      <c r="C1891" t="s">
        <v>273</v>
      </c>
      <c r="D1891" t="s">
        <v>1051</v>
      </c>
      <c r="E1891">
        <v>2</v>
      </c>
      <c r="F1891">
        <f>_xlfn.XLOOKUP(Table1[[#This Row],[ProductID]],Products!A:A,Products!D:D,,0)</f>
        <v>150</v>
      </c>
      <c r="I1891">
        <v>499</v>
      </c>
      <c r="J1891">
        <v>499</v>
      </c>
      <c r="K1891" t="s">
        <v>1102</v>
      </c>
      <c r="L1891">
        <v>998</v>
      </c>
      <c r="M1891" t="s">
        <v>1093</v>
      </c>
      <c r="N1891" t="s">
        <v>1099</v>
      </c>
      <c r="O1891">
        <f>Table1[[#This Row],[Unit_Price]]*Table1[[#This Row],[Quantity]]</f>
        <v>300</v>
      </c>
    </row>
    <row r="1892" spans="1:15" x14ac:dyDescent="0.3">
      <c r="A1892" t="s">
        <v>3670</v>
      </c>
      <c r="B1892" t="s">
        <v>1420</v>
      </c>
      <c r="C1892" t="s">
        <v>603</v>
      </c>
      <c r="D1892" t="s">
        <v>1062</v>
      </c>
      <c r="E1892">
        <v>1</v>
      </c>
      <c r="F1892">
        <f>_xlfn.XLOOKUP(Table1[[#This Row],[ProductID]],Products!A:A,Products!D:D,,0)</f>
        <v>95</v>
      </c>
      <c r="I1892">
        <v>349</v>
      </c>
      <c r="J1892">
        <v>314</v>
      </c>
      <c r="K1892" t="s">
        <v>1107</v>
      </c>
      <c r="L1892">
        <v>314</v>
      </c>
      <c r="M1892" t="s">
        <v>1093</v>
      </c>
      <c r="N1892" t="s">
        <v>1099</v>
      </c>
      <c r="O1892">
        <f>Table1[[#This Row],[Unit_Price]]*Table1[[#This Row],[Quantity]]</f>
        <v>95</v>
      </c>
    </row>
    <row r="1893" spans="1:15" x14ac:dyDescent="0.3">
      <c r="A1893" t="s">
        <v>3671</v>
      </c>
      <c r="B1893" t="s">
        <v>1461</v>
      </c>
      <c r="C1893" t="s">
        <v>753</v>
      </c>
      <c r="D1893" t="s">
        <v>1075</v>
      </c>
      <c r="E1893">
        <v>1</v>
      </c>
      <c r="F1893">
        <f>_xlfn.XLOOKUP(Table1[[#This Row],[ProductID]],Products!A:A,Products!D:D,,0)</f>
        <v>80</v>
      </c>
      <c r="I1893">
        <v>499</v>
      </c>
      <c r="J1893">
        <v>499</v>
      </c>
      <c r="K1893" t="s">
        <v>1102</v>
      </c>
      <c r="L1893">
        <v>499</v>
      </c>
      <c r="M1893" t="s">
        <v>1093</v>
      </c>
      <c r="N1893" t="s">
        <v>1099</v>
      </c>
      <c r="O1893">
        <f>Table1[[#This Row],[Unit_Price]]*Table1[[#This Row],[Quantity]]</f>
        <v>80</v>
      </c>
    </row>
    <row r="1894" spans="1:15" x14ac:dyDescent="0.3">
      <c r="A1894" t="s">
        <v>3672</v>
      </c>
      <c r="B1894" t="s">
        <v>3113</v>
      </c>
      <c r="C1894" t="s">
        <v>481</v>
      </c>
      <c r="D1894" t="s">
        <v>1080</v>
      </c>
      <c r="E1894">
        <v>1</v>
      </c>
      <c r="F1894">
        <f>_xlfn.XLOOKUP(Table1[[#This Row],[ProductID]],Products!A:A,Products!D:D,,0)</f>
        <v>45</v>
      </c>
      <c r="I1894">
        <v>249</v>
      </c>
      <c r="J1894">
        <v>224</v>
      </c>
      <c r="K1894" t="s">
        <v>1107</v>
      </c>
      <c r="L1894">
        <v>224</v>
      </c>
      <c r="M1894" t="s">
        <v>1093</v>
      </c>
      <c r="N1894" t="s">
        <v>1099</v>
      </c>
      <c r="O1894">
        <f>Table1[[#This Row],[Unit_Price]]*Table1[[#This Row],[Quantity]]</f>
        <v>45</v>
      </c>
    </row>
    <row r="1895" spans="1:15" x14ac:dyDescent="0.3">
      <c r="A1895" t="s">
        <v>3673</v>
      </c>
      <c r="B1895" t="s">
        <v>3314</v>
      </c>
      <c r="C1895" t="s">
        <v>927</v>
      </c>
      <c r="D1895" t="s">
        <v>1078</v>
      </c>
      <c r="E1895">
        <v>1</v>
      </c>
      <c r="F1895">
        <f>_xlfn.XLOOKUP(Table1[[#This Row],[ProductID]],Products!A:A,Products!D:D,,0)</f>
        <v>80</v>
      </c>
      <c r="I1895">
        <v>499</v>
      </c>
      <c r="J1895">
        <v>424</v>
      </c>
      <c r="K1895" t="s">
        <v>1092</v>
      </c>
      <c r="L1895">
        <v>424</v>
      </c>
      <c r="M1895" t="s">
        <v>1098</v>
      </c>
      <c r="N1895" t="s">
        <v>1099</v>
      </c>
      <c r="O1895">
        <f>Table1[[#This Row],[Unit_Price]]*Table1[[#This Row],[Quantity]]</f>
        <v>80</v>
      </c>
    </row>
    <row r="1896" spans="1:15" x14ac:dyDescent="0.3">
      <c r="A1896" t="s">
        <v>3674</v>
      </c>
      <c r="B1896" t="s">
        <v>1436</v>
      </c>
      <c r="C1896" t="s">
        <v>849</v>
      </c>
      <c r="D1896" t="s">
        <v>1068</v>
      </c>
      <c r="E1896">
        <v>1</v>
      </c>
      <c r="F1896">
        <f>_xlfn.XLOOKUP(Table1[[#This Row],[ProductID]],Products!A:A,Products!D:D,,0)</f>
        <v>180</v>
      </c>
      <c r="I1896">
        <v>449</v>
      </c>
      <c r="J1896">
        <v>382</v>
      </c>
      <c r="K1896" t="s">
        <v>1092</v>
      </c>
      <c r="L1896">
        <v>382</v>
      </c>
      <c r="M1896" t="s">
        <v>1093</v>
      </c>
      <c r="N1896" t="s">
        <v>1099</v>
      </c>
      <c r="O1896">
        <f>Table1[[#This Row],[Unit_Price]]*Table1[[#This Row],[Quantity]]</f>
        <v>180</v>
      </c>
    </row>
    <row r="1897" spans="1:15" x14ac:dyDescent="0.3">
      <c r="A1897" t="s">
        <v>3675</v>
      </c>
      <c r="B1897" t="s">
        <v>2658</v>
      </c>
      <c r="C1897" t="s">
        <v>889</v>
      </c>
      <c r="D1897" t="s">
        <v>1068</v>
      </c>
      <c r="E1897">
        <v>1</v>
      </c>
      <c r="F1897">
        <f>_xlfn.XLOOKUP(Table1[[#This Row],[ProductID]],Products!A:A,Products!D:D,,0)</f>
        <v>180</v>
      </c>
      <c r="I1897">
        <v>449</v>
      </c>
      <c r="J1897">
        <v>359</v>
      </c>
      <c r="K1897" t="s">
        <v>1097</v>
      </c>
      <c r="L1897">
        <v>359</v>
      </c>
      <c r="M1897" t="s">
        <v>1098</v>
      </c>
      <c r="N1897" t="s">
        <v>1099</v>
      </c>
      <c r="O1897">
        <f>Table1[[#This Row],[Unit_Price]]*Table1[[#This Row],[Quantity]]</f>
        <v>180</v>
      </c>
    </row>
    <row r="1898" spans="1:15" x14ac:dyDescent="0.3">
      <c r="A1898" t="s">
        <v>3676</v>
      </c>
      <c r="B1898" t="s">
        <v>3677</v>
      </c>
      <c r="C1898" t="s">
        <v>883</v>
      </c>
      <c r="D1898" t="s">
        <v>1048</v>
      </c>
      <c r="E1898">
        <v>1</v>
      </c>
      <c r="F1898">
        <f>_xlfn.XLOOKUP(Table1[[#This Row],[ProductID]],Products!A:A,Products!D:D,,0)</f>
        <v>120</v>
      </c>
      <c r="I1898">
        <v>599</v>
      </c>
      <c r="J1898">
        <v>539</v>
      </c>
      <c r="K1898" t="s">
        <v>1107</v>
      </c>
      <c r="L1898">
        <v>539</v>
      </c>
      <c r="M1898" t="s">
        <v>1093</v>
      </c>
      <c r="N1898" t="s">
        <v>1099</v>
      </c>
      <c r="O1898">
        <f>Table1[[#This Row],[Unit_Price]]*Table1[[#This Row],[Quantity]]</f>
        <v>120</v>
      </c>
    </row>
    <row r="1899" spans="1:15" x14ac:dyDescent="0.3">
      <c r="A1899" t="s">
        <v>3678</v>
      </c>
      <c r="B1899" t="s">
        <v>1461</v>
      </c>
      <c r="C1899" t="s">
        <v>299</v>
      </c>
      <c r="D1899" t="s">
        <v>1053</v>
      </c>
      <c r="E1899">
        <v>1</v>
      </c>
      <c r="F1899">
        <f>_xlfn.XLOOKUP(Table1[[#This Row],[ProductID]],Products!A:A,Products!D:D,,0)</f>
        <v>200</v>
      </c>
      <c r="I1899">
        <v>899</v>
      </c>
      <c r="J1899">
        <v>809</v>
      </c>
      <c r="K1899" t="s">
        <v>1107</v>
      </c>
      <c r="L1899">
        <v>809</v>
      </c>
      <c r="M1899" t="s">
        <v>1098</v>
      </c>
      <c r="N1899" t="s">
        <v>1099</v>
      </c>
      <c r="O1899">
        <f>Table1[[#This Row],[Unit_Price]]*Table1[[#This Row],[Quantity]]</f>
        <v>200</v>
      </c>
    </row>
    <row r="1900" spans="1:15" x14ac:dyDescent="0.3">
      <c r="A1900" t="s">
        <v>3679</v>
      </c>
      <c r="B1900" t="s">
        <v>1412</v>
      </c>
      <c r="C1900" t="s">
        <v>409</v>
      </c>
      <c r="D1900" t="s">
        <v>1071</v>
      </c>
      <c r="E1900">
        <v>3</v>
      </c>
      <c r="F1900">
        <f>_xlfn.XLOOKUP(Table1[[#This Row],[ProductID]],Products!A:A,Products!D:D,,0)</f>
        <v>125</v>
      </c>
      <c r="I1900">
        <v>399</v>
      </c>
      <c r="J1900">
        <v>339</v>
      </c>
      <c r="K1900" t="s">
        <v>1092</v>
      </c>
      <c r="L1900">
        <v>1017</v>
      </c>
      <c r="M1900" t="s">
        <v>1098</v>
      </c>
      <c r="N1900" t="s">
        <v>1099</v>
      </c>
      <c r="O1900">
        <f>Table1[[#This Row],[Unit_Price]]*Table1[[#This Row],[Quantity]]</f>
        <v>375</v>
      </c>
    </row>
    <row r="1901" spans="1:15" x14ac:dyDescent="0.3">
      <c r="A1901" t="s">
        <v>3680</v>
      </c>
      <c r="B1901" t="s">
        <v>1414</v>
      </c>
      <c r="C1901" t="s">
        <v>935</v>
      </c>
      <c r="D1901" t="s">
        <v>1080</v>
      </c>
      <c r="E1901">
        <v>2</v>
      </c>
      <c r="F1901">
        <f>_xlfn.XLOOKUP(Table1[[#This Row],[ProductID]],Products!A:A,Products!D:D,,0)</f>
        <v>45</v>
      </c>
      <c r="I1901">
        <v>249</v>
      </c>
      <c r="J1901">
        <v>249</v>
      </c>
      <c r="K1901" t="s">
        <v>1102</v>
      </c>
      <c r="L1901">
        <v>498</v>
      </c>
      <c r="M1901" t="s">
        <v>1126</v>
      </c>
      <c r="N1901" t="s">
        <v>1099</v>
      </c>
      <c r="O1901">
        <f>Table1[[#This Row],[Unit_Price]]*Table1[[#This Row],[Quantity]]</f>
        <v>90</v>
      </c>
    </row>
    <row r="1902" spans="1:15" x14ac:dyDescent="0.3">
      <c r="A1902" t="s">
        <v>3681</v>
      </c>
      <c r="B1902" t="s">
        <v>1459</v>
      </c>
      <c r="C1902" t="s">
        <v>307</v>
      </c>
      <c r="D1902" t="s">
        <v>1066</v>
      </c>
      <c r="E1902">
        <v>2</v>
      </c>
      <c r="F1902">
        <f>_xlfn.XLOOKUP(Table1[[#This Row],[ProductID]],Products!A:A,Products!D:D,,0)</f>
        <v>140</v>
      </c>
      <c r="I1902">
        <v>499</v>
      </c>
      <c r="J1902">
        <v>399</v>
      </c>
      <c r="K1902" t="s">
        <v>1097</v>
      </c>
      <c r="L1902">
        <v>798</v>
      </c>
      <c r="M1902" t="s">
        <v>1093</v>
      </c>
      <c r="N1902" t="s">
        <v>1094</v>
      </c>
      <c r="O1902">
        <f>Table1[[#This Row],[Unit_Price]]*Table1[[#This Row],[Quantity]]</f>
        <v>280</v>
      </c>
    </row>
    <row r="1903" spans="1:15" x14ac:dyDescent="0.3">
      <c r="A1903" t="s">
        <v>3682</v>
      </c>
      <c r="B1903" t="s">
        <v>2792</v>
      </c>
      <c r="C1903" t="s">
        <v>223</v>
      </c>
      <c r="D1903" t="s">
        <v>1051</v>
      </c>
      <c r="E1903">
        <v>1</v>
      </c>
      <c r="F1903">
        <f>_xlfn.XLOOKUP(Table1[[#This Row],[ProductID]],Products!A:A,Products!D:D,,0)</f>
        <v>150</v>
      </c>
      <c r="I1903">
        <v>499</v>
      </c>
      <c r="J1903">
        <v>424</v>
      </c>
      <c r="K1903" t="s">
        <v>1092</v>
      </c>
      <c r="L1903">
        <v>424</v>
      </c>
      <c r="M1903" t="s">
        <v>1093</v>
      </c>
      <c r="N1903" t="s">
        <v>1094</v>
      </c>
      <c r="O1903">
        <f>Table1[[#This Row],[Unit_Price]]*Table1[[#This Row],[Quantity]]</f>
        <v>150</v>
      </c>
    </row>
    <row r="1904" spans="1:15" x14ac:dyDescent="0.3">
      <c r="A1904" t="s">
        <v>3683</v>
      </c>
      <c r="B1904" t="s">
        <v>2092</v>
      </c>
      <c r="C1904" t="s">
        <v>873</v>
      </c>
      <c r="D1904" t="s">
        <v>1080</v>
      </c>
      <c r="E1904">
        <v>1</v>
      </c>
      <c r="F1904">
        <f>_xlfn.XLOOKUP(Table1[[#This Row],[ProductID]],Products!A:A,Products!D:D,,0)</f>
        <v>45</v>
      </c>
      <c r="I1904">
        <v>249</v>
      </c>
      <c r="J1904">
        <v>224</v>
      </c>
      <c r="K1904" t="s">
        <v>1107</v>
      </c>
      <c r="L1904">
        <v>224</v>
      </c>
      <c r="M1904" t="s">
        <v>1098</v>
      </c>
      <c r="N1904" t="s">
        <v>1099</v>
      </c>
      <c r="O1904">
        <f>Table1[[#This Row],[Unit_Price]]*Table1[[#This Row],[Quantity]]</f>
        <v>45</v>
      </c>
    </row>
    <row r="1905" spans="1:15" x14ac:dyDescent="0.3">
      <c r="A1905" t="s">
        <v>3684</v>
      </c>
      <c r="B1905" t="s">
        <v>1198</v>
      </c>
      <c r="C1905" t="s">
        <v>265</v>
      </c>
      <c r="D1905" t="s">
        <v>1062</v>
      </c>
      <c r="E1905">
        <v>2</v>
      </c>
      <c r="F1905">
        <f>_xlfn.XLOOKUP(Table1[[#This Row],[ProductID]],Products!A:A,Products!D:D,,0)</f>
        <v>95</v>
      </c>
      <c r="I1905">
        <v>349</v>
      </c>
      <c r="J1905">
        <v>349</v>
      </c>
      <c r="K1905" t="s">
        <v>1102</v>
      </c>
      <c r="L1905">
        <v>698</v>
      </c>
      <c r="M1905" t="s">
        <v>1098</v>
      </c>
      <c r="N1905" t="s">
        <v>1099</v>
      </c>
      <c r="O1905">
        <f>Table1[[#This Row],[Unit_Price]]*Table1[[#This Row],[Quantity]]</f>
        <v>190</v>
      </c>
    </row>
    <row r="1906" spans="1:15" x14ac:dyDescent="0.3">
      <c r="A1906" t="s">
        <v>3685</v>
      </c>
      <c r="B1906" t="s">
        <v>1674</v>
      </c>
      <c r="C1906" t="s">
        <v>693</v>
      </c>
      <c r="D1906" t="s">
        <v>1080</v>
      </c>
      <c r="E1906">
        <v>1</v>
      </c>
      <c r="F1906">
        <f>_xlfn.XLOOKUP(Table1[[#This Row],[ProductID]],Products!A:A,Products!D:D,,0)</f>
        <v>45</v>
      </c>
      <c r="I1906">
        <v>249</v>
      </c>
      <c r="J1906">
        <v>212</v>
      </c>
      <c r="K1906" t="s">
        <v>1092</v>
      </c>
      <c r="L1906">
        <v>212</v>
      </c>
      <c r="M1906" t="s">
        <v>1098</v>
      </c>
      <c r="N1906" t="s">
        <v>1099</v>
      </c>
      <c r="O1906">
        <f>Table1[[#This Row],[Unit_Price]]*Table1[[#This Row],[Quantity]]</f>
        <v>45</v>
      </c>
    </row>
    <row r="1907" spans="1:15" x14ac:dyDescent="0.3">
      <c r="A1907" t="s">
        <v>3686</v>
      </c>
      <c r="B1907" t="s">
        <v>1666</v>
      </c>
      <c r="C1907" t="s">
        <v>901</v>
      </c>
      <c r="D1907" t="s">
        <v>1068</v>
      </c>
      <c r="E1907">
        <v>2</v>
      </c>
      <c r="F1907">
        <f>_xlfn.XLOOKUP(Table1[[#This Row],[ProductID]],Products!A:A,Products!D:D,,0)</f>
        <v>180</v>
      </c>
      <c r="I1907">
        <v>449</v>
      </c>
      <c r="J1907">
        <v>404</v>
      </c>
      <c r="K1907" t="s">
        <v>1107</v>
      </c>
      <c r="L1907">
        <v>808</v>
      </c>
      <c r="M1907" t="s">
        <v>1126</v>
      </c>
      <c r="N1907" t="s">
        <v>1094</v>
      </c>
      <c r="O1907">
        <f>Table1[[#This Row],[Unit_Price]]*Table1[[#This Row],[Quantity]]</f>
        <v>360</v>
      </c>
    </row>
    <row r="1908" spans="1:15" x14ac:dyDescent="0.3">
      <c r="A1908" t="s">
        <v>3687</v>
      </c>
      <c r="B1908" t="s">
        <v>2035</v>
      </c>
      <c r="C1908" t="s">
        <v>541</v>
      </c>
      <c r="D1908" t="s">
        <v>1071</v>
      </c>
      <c r="E1908">
        <v>3</v>
      </c>
      <c r="F1908">
        <f>_xlfn.XLOOKUP(Table1[[#This Row],[ProductID]],Products!A:A,Products!D:D,,0)</f>
        <v>125</v>
      </c>
      <c r="I1908">
        <v>399</v>
      </c>
      <c r="J1908">
        <v>319</v>
      </c>
      <c r="K1908" t="s">
        <v>1097</v>
      </c>
      <c r="L1908">
        <v>957</v>
      </c>
      <c r="M1908" t="s">
        <v>1098</v>
      </c>
      <c r="N1908" t="s">
        <v>1094</v>
      </c>
      <c r="O1908">
        <f>Table1[[#This Row],[Unit_Price]]*Table1[[#This Row],[Quantity]]</f>
        <v>375</v>
      </c>
    </row>
    <row r="1909" spans="1:15" x14ac:dyDescent="0.3">
      <c r="A1909" t="s">
        <v>3688</v>
      </c>
      <c r="B1909" t="s">
        <v>2202</v>
      </c>
      <c r="C1909" t="s">
        <v>347</v>
      </c>
      <c r="D1909" t="s">
        <v>1053</v>
      </c>
      <c r="E1909">
        <v>1</v>
      </c>
      <c r="F1909">
        <f>_xlfn.XLOOKUP(Table1[[#This Row],[ProductID]],Products!A:A,Products!D:D,,0)</f>
        <v>200</v>
      </c>
      <c r="I1909">
        <v>899</v>
      </c>
      <c r="J1909">
        <v>719</v>
      </c>
      <c r="K1909" t="s">
        <v>1097</v>
      </c>
      <c r="L1909">
        <v>719</v>
      </c>
      <c r="M1909" t="s">
        <v>1098</v>
      </c>
      <c r="N1909" t="s">
        <v>1099</v>
      </c>
      <c r="O1909">
        <f>Table1[[#This Row],[Unit_Price]]*Table1[[#This Row],[Quantity]]</f>
        <v>200</v>
      </c>
    </row>
    <row r="1910" spans="1:15" x14ac:dyDescent="0.3">
      <c r="A1910" t="s">
        <v>3689</v>
      </c>
      <c r="B1910" t="s">
        <v>2971</v>
      </c>
      <c r="C1910" t="s">
        <v>551</v>
      </c>
      <c r="D1910" t="s">
        <v>1075</v>
      </c>
      <c r="E1910">
        <v>1</v>
      </c>
      <c r="F1910">
        <f>_xlfn.XLOOKUP(Table1[[#This Row],[ProductID]],Products!A:A,Products!D:D,,0)</f>
        <v>80</v>
      </c>
      <c r="I1910">
        <v>499</v>
      </c>
      <c r="J1910">
        <v>499</v>
      </c>
      <c r="K1910" t="s">
        <v>1102</v>
      </c>
      <c r="L1910">
        <v>499</v>
      </c>
      <c r="M1910" t="s">
        <v>1093</v>
      </c>
      <c r="N1910" t="s">
        <v>1099</v>
      </c>
      <c r="O1910">
        <f>Table1[[#This Row],[Unit_Price]]*Table1[[#This Row],[Quantity]]</f>
        <v>80</v>
      </c>
    </row>
    <row r="1911" spans="1:15" x14ac:dyDescent="0.3">
      <c r="A1911" t="s">
        <v>3690</v>
      </c>
      <c r="B1911" t="s">
        <v>3493</v>
      </c>
      <c r="C1911" t="s">
        <v>985</v>
      </c>
      <c r="D1911" t="s">
        <v>1080</v>
      </c>
      <c r="E1911">
        <v>1</v>
      </c>
      <c r="F1911">
        <f>_xlfn.XLOOKUP(Table1[[#This Row],[ProductID]],Products!A:A,Products!D:D,,0)</f>
        <v>45</v>
      </c>
      <c r="I1911">
        <v>249</v>
      </c>
      <c r="J1911">
        <v>249</v>
      </c>
      <c r="K1911" t="s">
        <v>1102</v>
      </c>
      <c r="L1911">
        <v>249</v>
      </c>
      <c r="M1911" t="s">
        <v>1098</v>
      </c>
      <c r="N1911" t="s">
        <v>1099</v>
      </c>
      <c r="O1911">
        <f>Table1[[#This Row],[Unit_Price]]*Table1[[#This Row],[Quantity]]</f>
        <v>45</v>
      </c>
    </row>
    <row r="1912" spans="1:15" x14ac:dyDescent="0.3">
      <c r="A1912" t="s">
        <v>3691</v>
      </c>
      <c r="B1912" t="s">
        <v>1517</v>
      </c>
      <c r="C1912" t="s">
        <v>871</v>
      </c>
      <c r="D1912" t="s">
        <v>1051</v>
      </c>
      <c r="E1912">
        <v>1</v>
      </c>
      <c r="F1912">
        <f>_xlfn.XLOOKUP(Table1[[#This Row],[ProductID]],Products!A:A,Products!D:D,,0)</f>
        <v>150</v>
      </c>
      <c r="I1912">
        <v>499</v>
      </c>
      <c r="J1912">
        <v>499</v>
      </c>
      <c r="K1912" t="s">
        <v>1102</v>
      </c>
      <c r="L1912">
        <v>499</v>
      </c>
      <c r="M1912" t="s">
        <v>1093</v>
      </c>
      <c r="N1912" t="s">
        <v>1123</v>
      </c>
      <c r="O1912">
        <f>Table1[[#This Row],[Unit_Price]]*Table1[[#This Row],[Quantity]]</f>
        <v>150</v>
      </c>
    </row>
    <row r="1913" spans="1:15" x14ac:dyDescent="0.3">
      <c r="A1913" t="s">
        <v>3692</v>
      </c>
      <c r="B1913" t="s">
        <v>1422</v>
      </c>
      <c r="C1913" t="s">
        <v>367</v>
      </c>
      <c r="D1913" t="s">
        <v>1062</v>
      </c>
      <c r="E1913">
        <v>2</v>
      </c>
      <c r="F1913">
        <f>_xlfn.XLOOKUP(Table1[[#This Row],[ProductID]],Products!A:A,Products!D:D,,0)</f>
        <v>95</v>
      </c>
      <c r="I1913">
        <v>349</v>
      </c>
      <c r="J1913">
        <v>349</v>
      </c>
      <c r="K1913" t="s">
        <v>1102</v>
      </c>
      <c r="L1913">
        <v>698</v>
      </c>
      <c r="M1913" t="s">
        <v>1098</v>
      </c>
      <c r="N1913" t="s">
        <v>1099</v>
      </c>
      <c r="O1913">
        <f>Table1[[#This Row],[Unit_Price]]*Table1[[#This Row],[Quantity]]</f>
        <v>190</v>
      </c>
    </row>
    <row r="1914" spans="1:15" x14ac:dyDescent="0.3">
      <c r="A1914" t="s">
        <v>3693</v>
      </c>
      <c r="B1914" t="s">
        <v>3694</v>
      </c>
      <c r="C1914" t="s">
        <v>851</v>
      </c>
      <c r="D1914" t="s">
        <v>1078</v>
      </c>
      <c r="E1914">
        <v>1</v>
      </c>
      <c r="F1914">
        <f>_xlfn.XLOOKUP(Table1[[#This Row],[ProductID]],Products!A:A,Products!D:D,,0)</f>
        <v>80</v>
      </c>
      <c r="I1914">
        <v>499</v>
      </c>
      <c r="J1914">
        <v>424</v>
      </c>
      <c r="K1914" t="s">
        <v>1092</v>
      </c>
      <c r="L1914">
        <v>424</v>
      </c>
      <c r="M1914" t="s">
        <v>1093</v>
      </c>
      <c r="N1914" t="s">
        <v>1099</v>
      </c>
      <c r="O1914">
        <f>Table1[[#This Row],[Unit_Price]]*Table1[[#This Row],[Quantity]]</f>
        <v>80</v>
      </c>
    </row>
    <row r="1915" spans="1:15" x14ac:dyDescent="0.3">
      <c r="A1915" t="s">
        <v>3695</v>
      </c>
      <c r="B1915" t="s">
        <v>2924</v>
      </c>
      <c r="C1915" t="s">
        <v>1023</v>
      </c>
      <c r="D1915" t="s">
        <v>1048</v>
      </c>
      <c r="E1915">
        <v>2</v>
      </c>
      <c r="F1915">
        <f>_xlfn.XLOOKUP(Table1[[#This Row],[ProductID]],Products!A:A,Products!D:D,,0)</f>
        <v>120</v>
      </c>
      <c r="I1915">
        <v>599</v>
      </c>
      <c r="J1915">
        <v>479</v>
      </c>
      <c r="K1915" t="s">
        <v>1097</v>
      </c>
      <c r="L1915">
        <v>958</v>
      </c>
      <c r="M1915" t="s">
        <v>1098</v>
      </c>
      <c r="N1915" t="s">
        <v>1099</v>
      </c>
      <c r="O1915">
        <f>Table1[[#This Row],[Unit_Price]]*Table1[[#This Row],[Quantity]]</f>
        <v>240</v>
      </c>
    </row>
    <row r="1916" spans="1:15" x14ac:dyDescent="0.3">
      <c r="A1916" t="s">
        <v>3696</v>
      </c>
      <c r="B1916" t="s">
        <v>3265</v>
      </c>
      <c r="C1916" t="s">
        <v>757</v>
      </c>
      <c r="D1916" t="s">
        <v>1055</v>
      </c>
      <c r="E1916">
        <v>1</v>
      </c>
      <c r="F1916">
        <f>_xlfn.XLOOKUP(Table1[[#This Row],[ProductID]],Products!A:A,Products!D:D,,0)</f>
        <v>75</v>
      </c>
      <c r="I1916">
        <v>299</v>
      </c>
      <c r="J1916">
        <v>299</v>
      </c>
      <c r="K1916" t="s">
        <v>1102</v>
      </c>
      <c r="L1916">
        <v>299</v>
      </c>
      <c r="M1916" t="s">
        <v>1093</v>
      </c>
      <c r="N1916" t="s">
        <v>1094</v>
      </c>
      <c r="O1916">
        <f>Table1[[#This Row],[Unit_Price]]*Table1[[#This Row],[Quantity]]</f>
        <v>75</v>
      </c>
    </row>
    <row r="1917" spans="1:15" x14ac:dyDescent="0.3">
      <c r="A1917" t="s">
        <v>3697</v>
      </c>
      <c r="B1917" t="s">
        <v>3210</v>
      </c>
      <c r="C1917" t="s">
        <v>140</v>
      </c>
      <c r="D1917" t="s">
        <v>1057</v>
      </c>
      <c r="E1917">
        <v>4</v>
      </c>
      <c r="F1917">
        <f>_xlfn.XLOOKUP(Table1[[#This Row],[ProductID]],Products!A:A,Products!D:D,,0)</f>
        <v>130</v>
      </c>
      <c r="I1917">
        <v>549</v>
      </c>
      <c r="J1917">
        <v>467</v>
      </c>
      <c r="K1917" t="s">
        <v>1092</v>
      </c>
      <c r="L1917">
        <v>1868</v>
      </c>
      <c r="M1917" t="s">
        <v>1126</v>
      </c>
      <c r="N1917" t="s">
        <v>1099</v>
      </c>
      <c r="O1917">
        <f>Table1[[#This Row],[Unit_Price]]*Table1[[#This Row],[Quantity]]</f>
        <v>520</v>
      </c>
    </row>
    <row r="1918" spans="1:15" x14ac:dyDescent="0.3">
      <c r="A1918" t="s">
        <v>3698</v>
      </c>
      <c r="B1918" t="s">
        <v>3240</v>
      </c>
      <c r="C1918" t="s">
        <v>607</v>
      </c>
      <c r="D1918" t="s">
        <v>1071</v>
      </c>
      <c r="E1918">
        <v>3</v>
      </c>
      <c r="F1918">
        <f>_xlfn.XLOOKUP(Table1[[#This Row],[ProductID]],Products!A:A,Products!D:D,,0)</f>
        <v>125</v>
      </c>
      <c r="I1918">
        <v>399</v>
      </c>
      <c r="J1918">
        <v>399</v>
      </c>
      <c r="K1918" t="s">
        <v>1102</v>
      </c>
      <c r="L1918">
        <v>1197</v>
      </c>
      <c r="M1918" t="s">
        <v>1093</v>
      </c>
      <c r="N1918" t="s">
        <v>1099</v>
      </c>
      <c r="O1918">
        <f>Table1[[#This Row],[Unit_Price]]*Table1[[#This Row],[Quantity]]</f>
        <v>375</v>
      </c>
    </row>
    <row r="1919" spans="1:15" x14ac:dyDescent="0.3">
      <c r="A1919" t="s">
        <v>3699</v>
      </c>
      <c r="B1919" t="s">
        <v>3051</v>
      </c>
      <c r="C1919" t="s">
        <v>83</v>
      </c>
      <c r="D1919" t="s">
        <v>1075</v>
      </c>
      <c r="E1919">
        <v>2</v>
      </c>
      <c r="F1919">
        <f>_xlfn.XLOOKUP(Table1[[#This Row],[ProductID]],Products!A:A,Products!D:D,,0)</f>
        <v>80</v>
      </c>
      <c r="I1919">
        <v>499</v>
      </c>
      <c r="J1919">
        <v>499</v>
      </c>
      <c r="K1919" t="s">
        <v>1102</v>
      </c>
      <c r="L1919">
        <v>998</v>
      </c>
      <c r="M1919" t="s">
        <v>1098</v>
      </c>
      <c r="N1919" t="s">
        <v>1099</v>
      </c>
      <c r="O1919">
        <f>Table1[[#This Row],[Unit_Price]]*Table1[[#This Row],[Quantity]]</f>
        <v>160</v>
      </c>
    </row>
    <row r="1920" spans="1:15" x14ac:dyDescent="0.3">
      <c r="A1920" t="s">
        <v>3700</v>
      </c>
      <c r="B1920" t="s">
        <v>1551</v>
      </c>
      <c r="C1920" t="s">
        <v>553</v>
      </c>
      <c r="D1920" t="s">
        <v>1048</v>
      </c>
      <c r="E1920">
        <v>1</v>
      </c>
      <c r="F1920">
        <f>_xlfn.XLOOKUP(Table1[[#This Row],[ProductID]],Products!A:A,Products!D:D,,0)</f>
        <v>120</v>
      </c>
      <c r="I1920">
        <v>599</v>
      </c>
      <c r="J1920">
        <v>599</v>
      </c>
      <c r="K1920" t="s">
        <v>1102</v>
      </c>
      <c r="L1920">
        <v>599</v>
      </c>
      <c r="M1920" t="s">
        <v>1098</v>
      </c>
      <c r="N1920" t="s">
        <v>1099</v>
      </c>
      <c r="O1920">
        <f>Table1[[#This Row],[Unit_Price]]*Table1[[#This Row],[Quantity]]</f>
        <v>120</v>
      </c>
    </row>
    <row r="1921" spans="1:15" x14ac:dyDescent="0.3">
      <c r="A1921" t="s">
        <v>3701</v>
      </c>
      <c r="B1921" t="s">
        <v>1608</v>
      </c>
      <c r="C1921" t="s">
        <v>1041</v>
      </c>
      <c r="D1921" t="s">
        <v>1062</v>
      </c>
      <c r="E1921">
        <v>2</v>
      </c>
      <c r="F1921">
        <f>_xlfn.XLOOKUP(Table1[[#This Row],[ProductID]],Products!A:A,Products!D:D,,0)</f>
        <v>95</v>
      </c>
      <c r="I1921">
        <v>349</v>
      </c>
      <c r="J1921">
        <v>279</v>
      </c>
      <c r="K1921" t="s">
        <v>1097</v>
      </c>
      <c r="L1921">
        <v>558</v>
      </c>
      <c r="M1921" t="s">
        <v>1118</v>
      </c>
      <c r="N1921" t="s">
        <v>1099</v>
      </c>
      <c r="O1921">
        <f>Table1[[#This Row],[Unit_Price]]*Table1[[#This Row],[Quantity]]</f>
        <v>190</v>
      </c>
    </row>
    <row r="1922" spans="1:15" x14ac:dyDescent="0.3">
      <c r="A1922" t="s">
        <v>3702</v>
      </c>
      <c r="B1922" t="s">
        <v>2573</v>
      </c>
      <c r="C1922" t="s">
        <v>807</v>
      </c>
      <c r="D1922" t="s">
        <v>1048</v>
      </c>
      <c r="E1922">
        <v>1</v>
      </c>
      <c r="F1922">
        <f>_xlfn.XLOOKUP(Table1[[#This Row],[ProductID]],Products!A:A,Products!D:D,,0)</f>
        <v>120</v>
      </c>
      <c r="I1922">
        <v>599</v>
      </c>
      <c r="J1922">
        <v>539</v>
      </c>
      <c r="K1922" t="s">
        <v>1107</v>
      </c>
      <c r="L1922">
        <v>539</v>
      </c>
      <c r="M1922" t="s">
        <v>1098</v>
      </c>
      <c r="N1922" t="s">
        <v>1099</v>
      </c>
      <c r="O1922">
        <f>Table1[[#This Row],[Unit_Price]]*Table1[[#This Row],[Quantity]]</f>
        <v>120</v>
      </c>
    </row>
    <row r="1923" spans="1:15" x14ac:dyDescent="0.3">
      <c r="A1923" t="s">
        <v>3703</v>
      </c>
      <c r="B1923" t="s">
        <v>1432</v>
      </c>
      <c r="C1923" t="s">
        <v>559</v>
      </c>
      <c r="D1923" t="s">
        <v>1055</v>
      </c>
      <c r="E1923">
        <v>1</v>
      </c>
      <c r="F1923">
        <f>_xlfn.XLOOKUP(Table1[[#This Row],[ProductID]],Products!A:A,Products!D:D,,0)</f>
        <v>75</v>
      </c>
      <c r="I1923">
        <v>299</v>
      </c>
      <c r="J1923">
        <v>269</v>
      </c>
      <c r="K1923" t="s">
        <v>1107</v>
      </c>
      <c r="L1923">
        <v>269</v>
      </c>
      <c r="M1923" t="s">
        <v>1098</v>
      </c>
      <c r="N1923" t="s">
        <v>1099</v>
      </c>
      <c r="O1923">
        <f>Table1[[#This Row],[Unit_Price]]*Table1[[#This Row],[Quantity]]</f>
        <v>75</v>
      </c>
    </row>
    <row r="1924" spans="1:15" x14ac:dyDescent="0.3">
      <c r="A1924" t="s">
        <v>3704</v>
      </c>
      <c r="B1924" t="s">
        <v>2172</v>
      </c>
      <c r="C1924" t="s">
        <v>653</v>
      </c>
      <c r="D1924" t="s">
        <v>1057</v>
      </c>
      <c r="E1924">
        <v>3</v>
      </c>
      <c r="F1924">
        <f>_xlfn.XLOOKUP(Table1[[#This Row],[ProductID]],Products!A:A,Products!D:D,,0)</f>
        <v>130</v>
      </c>
      <c r="I1924">
        <v>549</v>
      </c>
      <c r="J1924">
        <v>494</v>
      </c>
      <c r="K1924" t="s">
        <v>1107</v>
      </c>
      <c r="L1924">
        <v>1482</v>
      </c>
      <c r="M1924" t="s">
        <v>1126</v>
      </c>
      <c r="N1924" t="s">
        <v>1099</v>
      </c>
      <c r="O1924">
        <f>Table1[[#This Row],[Unit_Price]]*Table1[[#This Row],[Quantity]]</f>
        <v>390</v>
      </c>
    </row>
    <row r="1925" spans="1:15" x14ac:dyDescent="0.3">
      <c r="A1925" t="s">
        <v>3705</v>
      </c>
      <c r="B1925" t="s">
        <v>2035</v>
      </c>
      <c r="C1925" t="s">
        <v>104</v>
      </c>
      <c r="D1925" t="s">
        <v>1051</v>
      </c>
      <c r="E1925">
        <v>1</v>
      </c>
      <c r="F1925">
        <f>_xlfn.XLOOKUP(Table1[[#This Row],[ProductID]],Products!A:A,Products!D:D,,0)</f>
        <v>150</v>
      </c>
      <c r="I1925">
        <v>499</v>
      </c>
      <c r="J1925">
        <v>499</v>
      </c>
      <c r="K1925" t="s">
        <v>1102</v>
      </c>
      <c r="L1925">
        <v>499</v>
      </c>
      <c r="M1925" t="s">
        <v>1098</v>
      </c>
      <c r="N1925" t="s">
        <v>1099</v>
      </c>
      <c r="O1925">
        <f>Table1[[#This Row],[Unit_Price]]*Table1[[#This Row],[Quantity]]</f>
        <v>150</v>
      </c>
    </row>
    <row r="1926" spans="1:15" x14ac:dyDescent="0.3">
      <c r="A1926" t="s">
        <v>3706</v>
      </c>
      <c r="B1926" t="s">
        <v>1990</v>
      </c>
      <c r="C1926" t="s">
        <v>245</v>
      </c>
      <c r="D1926" t="s">
        <v>1071</v>
      </c>
      <c r="E1926">
        <v>1</v>
      </c>
      <c r="F1926">
        <f>_xlfn.XLOOKUP(Table1[[#This Row],[ProductID]],Products!A:A,Products!D:D,,0)</f>
        <v>125</v>
      </c>
      <c r="I1926">
        <v>399</v>
      </c>
      <c r="J1926">
        <v>399</v>
      </c>
      <c r="K1926" t="s">
        <v>1102</v>
      </c>
      <c r="L1926">
        <v>399</v>
      </c>
      <c r="M1926" t="s">
        <v>1126</v>
      </c>
      <c r="N1926" t="s">
        <v>1099</v>
      </c>
      <c r="O1926">
        <f>Table1[[#This Row],[Unit_Price]]*Table1[[#This Row],[Quantity]]</f>
        <v>125</v>
      </c>
    </row>
    <row r="1927" spans="1:15" x14ac:dyDescent="0.3">
      <c r="A1927" t="s">
        <v>3707</v>
      </c>
      <c r="B1927" t="s">
        <v>2135</v>
      </c>
      <c r="C1927" t="s">
        <v>915</v>
      </c>
      <c r="D1927" t="s">
        <v>1075</v>
      </c>
      <c r="E1927">
        <v>3</v>
      </c>
      <c r="F1927">
        <f>_xlfn.XLOOKUP(Table1[[#This Row],[ProductID]],Products!A:A,Products!D:D,,0)</f>
        <v>80</v>
      </c>
      <c r="I1927">
        <v>499</v>
      </c>
      <c r="J1927">
        <v>499</v>
      </c>
      <c r="K1927" t="s">
        <v>1102</v>
      </c>
      <c r="L1927">
        <v>1497</v>
      </c>
      <c r="M1927" t="s">
        <v>1093</v>
      </c>
      <c r="N1927" t="s">
        <v>1099</v>
      </c>
      <c r="O1927">
        <f>Table1[[#This Row],[Unit_Price]]*Table1[[#This Row],[Quantity]]</f>
        <v>240</v>
      </c>
    </row>
    <row r="1928" spans="1:15" x14ac:dyDescent="0.3">
      <c r="A1928" t="s">
        <v>3708</v>
      </c>
      <c r="B1928" t="s">
        <v>3201</v>
      </c>
      <c r="C1928" t="s">
        <v>933</v>
      </c>
      <c r="D1928" t="s">
        <v>1059</v>
      </c>
      <c r="E1928">
        <v>1</v>
      </c>
      <c r="F1928">
        <f>_xlfn.XLOOKUP(Table1[[#This Row],[ProductID]],Products!A:A,Products!D:D,,0)</f>
        <v>110</v>
      </c>
      <c r="I1928">
        <v>399</v>
      </c>
      <c r="J1928">
        <v>359</v>
      </c>
      <c r="K1928" t="s">
        <v>1107</v>
      </c>
      <c r="L1928">
        <v>359</v>
      </c>
      <c r="M1928" t="s">
        <v>1098</v>
      </c>
      <c r="N1928" t="s">
        <v>1099</v>
      </c>
      <c r="O1928">
        <f>Table1[[#This Row],[Unit_Price]]*Table1[[#This Row],[Quantity]]</f>
        <v>110</v>
      </c>
    </row>
    <row r="1929" spans="1:15" x14ac:dyDescent="0.3">
      <c r="A1929" t="s">
        <v>3709</v>
      </c>
      <c r="B1929" t="s">
        <v>2969</v>
      </c>
      <c r="C1929" t="s">
        <v>601</v>
      </c>
      <c r="D1929" t="s">
        <v>1071</v>
      </c>
      <c r="E1929">
        <v>2</v>
      </c>
      <c r="F1929">
        <f>_xlfn.XLOOKUP(Table1[[#This Row],[ProductID]],Products!A:A,Products!D:D,,0)</f>
        <v>125</v>
      </c>
      <c r="I1929">
        <v>399</v>
      </c>
      <c r="J1929">
        <v>399</v>
      </c>
      <c r="K1929" t="s">
        <v>1102</v>
      </c>
      <c r="L1929">
        <v>798</v>
      </c>
      <c r="M1929" t="s">
        <v>1126</v>
      </c>
      <c r="N1929" t="s">
        <v>1099</v>
      </c>
      <c r="O1929">
        <f>Table1[[#This Row],[Unit_Price]]*Table1[[#This Row],[Quantity]]</f>
        <v>250</v>
      </c>
    </row>
    <row r="1930" spans="1:15" x14ac:dyDescent="0.3">
      <c r="A1930" t="s">
        <v>3710</v>
      </c>
      <c r="B1930" t="s">
        <v>2070</v>
      </c>
      <c r="C1930" t="s">
        <v>965</v>
      </c>
      <c r="D1930" t="s">
        <v>1057</v>
      </c>
      <c r="E1930">
        <v>1</v>
      </c>
      <c r="F1930">
        <f>_xlfn.XLOOKUP(Table1[[#This Row],[ProductID]],Products!A:A,Products!D:D,,0)</f>
        <v>130</v>
      </c>
      <c r="I1930">
        <v>549</v>
      </c>
      <c r="J1930">
        <v>467</v>
      </c>
      <c r="K1930" t="s">
        <v>1092</v>
      </c>
      <c r="L1930">
        <v>467</v>
      </c>
      <c r="M1930" t="s">
        <v>1098</v>
      </c>
      <c r="N1930" t="s">
        <v>1099</v>
      </c>
      <c r="O1930">
        <f>Table1[[#This Row],[Unit_Price]]*Table1[[#This Row],[Quantity]]</f>
        <v>130</v>
      </c>
    </row>
    <row r="1931" spans="1:15" x14ac:dyDescent="0.3">
      <c r="A1931" t="s">
        <v>3711</v>
      </c>
      <c r="B1931" t="s">
        <v>1712</v>
      </c>
      <c r="C1931" t="s">
        <v>779</v>
      </c>
      <c r="D1931" t="s">
        <v>1053</v>
      </c>
      <c r="E1931">
        <v>1</v>
      </c>
      <c r="F1931">
        <f>_xlfn.XLOOKUP(Table1[[#This Row],[ProductID]],Products!A:A,Products!D:D,,0)</f>
        <v>200</v>
      </c>
      <c r="I1931">
        <v>899</v>
      </c>
      <c r="J1931">
        <v>764</v>
      </c>
      <c r="K1931" t="s">
        <v>1092</v>
      </c>
      <c r="L1931">
        <v>764</v>
      </c>
      <c r="M1931" t="s">
        <v>1093</v>
      </c>
      <c r="N1931" t="s">
        <v>1099</v>
      </c>
      <c r="O1931">
        <f>Table1[[#This Row],[Unit_Price]]*Table1[[#This Row],[Quantity]]</f>
        <v>200</v>
      </c>
    </row>
    <row r="1932" spans="1:15" x14ac:dyDescent="0.3">
      <c r="A1932" t="s">
        <v>3712</v>
      </c>
      <c r="B1932" t="s">
        <v>3713</v>
      </c>
      <c r="C1932" t="s">
        <v>853</v>
      </c>
      <c r="D1932" t="s">
        <v>1066</v>
      </c>
      <c r="E1932">
        <v>1</v>
      </c>
      <c r="F1932">
        <f>_xlfn.XLOOKUP(Table1[[#This Row],[ProductID]],Products!A:A,Products!D:D,,0)</f>
        <v>140</v>
      </c>
      <c r="I1932">
        <v>499</v>
      </c>
      <c r="J1932">
        <v>499</v>
      </c>
      <c r="K1932" t="s">
        <v>1102</v>
      </c>
      <c r="L1932">
        <v>499</v>
      </c>
      <c r="M1932" t="s">
        <v>1093</v>
      </c>
      <c r="N1932" t="s">
        <v>1099</v>
      </c>
      <c r="O1932">
        <f>Table1[[#This Row],[Unit_Price]]*Table1[[#This Row],[Quantity]]</f>
        <v>140</v>
      </c>
    </row>
    <row r="1933" spans="1:15" x14ac:dyDescent="0.3">
      <c r="A1933" t="s">
        <v>3714</v>
      </c>
      <c r="B1933" t="s">
        <v>2337</v>
      </c>
      <c r="C1933" t="s">
        <v>709</v>
      </c>
      <c r="D1933" t="s">
        <v>1055</v>
      </c>
      <c r="E1933">
        <v>2</v>
      </c>
      <c r="F1933">
        <f>_xlfn.XLOOKUP(Table1[[#This Row],[ProductID]],Products!A:A,Products!D:D,,0)</f>
        <v>75</v>
      </c>
      <c r="I1933">
        <v>299</v>
      </c>
      <c r="J1933">
        <v>239</v>
      </c>
      <c r="K1933" t="s">
        <v>1097</v>
      </c>
      <c r="L1933">
        <v>478</v>
      </c>
      <c r="M1933" t="s">
        <v>1093</v>
      </c>
      <c r="N1933" t="s">
        <v>1123</v>
      </c>
      <c r="O1933">
        <f>Table1[[#This Row],[Unit_Price]]*Table1[[#This Row],[Quantity]]</f>
        <v>150</v>
      </c>
    </row>
    <row r="1934" spans="1:15" x14ac:dyDescent="0.3">
      <c r="A1934" t="s">
        <v>3715</v>
      </c>
      <c r="B1934" t="s">
        <v>3198</v>
      </c>
      <c r="C1934" t="s">
        <v>907</v>
      </c>
      <c r="D1934" t="s">
        <v>1051</v>
      </c>
      <c r="E1934">
        <v>1</v>
      </c>
      <c r="F1934">
        <f>_xlfn.XLOOKUP(Table1[[#This Row],[ProductID]],Products!A:A,Products!D:D,,0)</f>
        <v>150</v>
      </c>
      <c r="I1934">
        <v>499</v>
      </c>
      <c r="J1934">
        <v>399</v>
      </c>
      <c r="K1934" t="s">
        <v>1097</v>
      </c>
      <c r="L1934">
        <v>399</v>
      </c>
      <c r="M1934" t="s">
        <v>1093</v>
      </c>
      <c r="N1934" t="s">
        <v>1099</v>
      </c>
      <c r="O1934">
        <f>Table1[[#This Row],[Unit_Price]]*Table1[[#This Row],[Quantity]]</f>
        <v>150</v>
      </c>
    </row>
    <row r="1935" spans="1:15" x14ac:dyDescent="0.3">
      <c r="A1935" t="s">
        <v>3716</v>
      </c>
      <c r="B1935" t="s">
        <v>3567</v>
      </c>
      <c r="C1935" t="s">
        <v>317</v>
      </c>
      <c r="D1935" t="s">
        <v>1059</v>
      </c>
      <c r="E1935">
        <v>1</v>
      </c>
      <c r="F1935">
        <f>_xlfn.XLOOKUP(Table1[[#This Row],[ProductID]],Products!A:A,Products!D:D,,0)</f>
        <v>110</v>
      </c>
      <c r="I1935">
        <v>399</v>
      </c>
      <c r="J1935">
        <v>359</v>
      </c>
      <c r="K1935" t="s">
        <v>1107</v>
      </c>
      <c r="L1935">
        <v>359</v>
      </c>
      <c r="M1935" t="s">
        <v>1126</v>
      </c>
      <c r="N1935" t="s">
        <v>1099</v>
      </c>
      <c r="O1935">
        <f>Table1[[#This Row],[Unit_Price]]*Table1[[#This Row],[Quantity]]</f>
        <v>110</v>
      </c>
    </row>
    <row r="1936" spans="1:15" x14ac:dyDescent="0.3">
      <c r="A1936" t="s">
        <v>3717</v>
      </c>
      <c r="B1936" t="s">
        <v>1595</v>
      </c>
      <c r="C1936" t="s">
        <v>833</v>
      </c>
      <c r="D1936" t="s">
        <v>1051</v>
      </c>
      <c r="E1936">
        <v>4</v>
      </c>
      <c r="F1936">
        <f>_xlfn.XLOOKUP(Table1[[#This Row],[ProductID]],Products!A:A,Products!D:D,,0)</f>
        <v>150</v>
      </c>
      <c r="I1936">
        <v>499</v>
      </c>
      <c r="J1936">
        <v>399</v>
      </c>
      <c r="K1936" t="s">
        <v>1097</v>
      </c>
      <c r="L1936">
        <v>1596</v>
      </c>
      <c r="M1936" t="s">
        <v>1093</v>
      </c>
      <c r="N1936" t="s">
        <v>1099</v>
      </c>
      <c r="O1936">
        <f>Table1[[#This Row],[Unit_Price]]*Table1[[#This Row],[Quantity]]</f>
        <v>600</v>
      </c>
    </row>
    <row r="1937" spans="1:15" x14ac:dyDescent="0.3">
      <c r="A1937" t="s">
        <v>3718</v>
      </c>
      <c r="B1937" t="s">
        <v>2477</v>
      </c>
      <c r="C1937" t="s">
        <v>1007</v>
      </c>
      <c r="D1937" t="s">
        <v>1080</v>
      </c>
      <c r="E1937">
        <v>2</v>
      </c>
      <c r="F1937">
        <f>_xlfn.XLOOKUP(Table1[[#This Row],[ProductID]],Products!A:A,Products!D:D,,0)</f>
        <v>45</v>
      </c>
      <c r="I1937">
        <v>249</v>
      </c>
      <c r="J1937">
        <v>224</v>
      </c>
      <c r="K1937" t="s">
        <v>1107</v>
      </c>
      <c r="L1937">
        <v>448</v>
      </c>
      <c r="M1937" t="s">
        <v>1098</v>
      </c>
      <c r="N1937" t="s">
        <v>1099</v>
      </c>
      <c r="O1937">
        <f>Table1[[#This Row],[Unit_Price]]*Table1[[#This Row],[Quantity]]</f>
        <v>90</v>
      </c>
    </row>
    <row r="1938" spans="1:15" x14ac:dyDescent="0.3">
      <c r="A1938" t="s">
        <v>3719</v>
      </c>
      <c r="B1938" t="s">
        <v>1523</v>
      </c>
      <c r="C1938" t="s">
        <v>507</v>
      </c>
      <c r="D1938" t="s">
        <v>1055</v>
      </c>
      <c r="E1938">
        <v>2</v>
      </c>
      <c r="F1938">
        <f>_xlfn.XLOOKUP(Table1[[#This Row],[ProductID]],Products!A:A,Products!D:D,,0)</f>
        <v>75</v>
      </c>
      <c r="I1938">
        <v>299</v>
      </c>
      <c r="J1938">
        <v>254</v>
      </c>
      <c r="K1938" t="s">
        <v>1092</v>
      </c>
      <c r="L1938">
        <v>508</v>
      </c>
      <c r="M1938" t="s">
        <v>1118</v>
      </c>
      <c r="N1938" t="s">
        <v>1099</v>
      </c>
      <c r="O1938">
        <f>Table1[[#This Row],[Unit_Price]]*Table1[[#This Row],[Quantity]]</f>
        <v>150</v>
      </c>
    </row>
    <row r="1939" spans="1:15" x14ac:dyDescent="0.3">
      <c r="A1939" t="s">
        <v>3720</v>
      </c>
      <c r="B1939" t="s">
        <v>2391</v>
      </c>
      <c r="C1939" t="s">
        <v>893</v>
      </c>
      <c r="D1939" t="s">
        <v>1078</v>
      </c>
      <c r="E1939">
        <v>1</v>
      </c>
      <c r="F1939">
        <f>_xlfn.XLOOKUP(Table1[[#This Row],[ProductID]],Products!A:A,Products!D:D,,0)</f>
        <v>80</v>
      </c>
      <c r="I1939">
        <v>499</v>
      </c>
      <c r="J1939">
        <v>499</v>
      </c>
      <c r="K1939" t="s">
        <v>1102</v>
      </c>
      <c r="L1939">
        <v>499</v>
      </c>
      <c r="M1939" t="s">
        <v>1098</v>
      </c>
      <c r="N1939" t="s">
        <v>1099</v>
      </c>
      <c r="O1939">
        <f>Table1[[#This Row],[Unit_Price]]*Table1[[#This Row],[Quantity]]</f>
        <v>80</v>
      </c>
    </row>
    <row r="1940" spans="1:15" x14ac:dyDescent="0.3">
      <c r="A1940" t="s">
        <v>3721</v>
      </c>
      <c r="B1940" t="s">
        <v>2523</v>
      </c>
      <c r="C1940" t="s">
        <v>451</v>
      </c>
      <c r="D1940" t="s">
        <v>1073</v>
      </c>
      <c r="E1940">
        <v>2</v>
      </c>
      <c r="F1940">
        <f>_xlfn.XLOOKUP(Table1[[#This Row],[ProductID]],Products!A:A,Products!D:D,,0)</f>
        <v>100</v>
      </c>
      <c r="I1940">
        <v>349</v>
      </c>
      <c r="J1940">
        <v>279</v>
      </c>
      <c r="K1940" t="s">
        <v>1097</v>
      </c>
      <c r="L1940">
        <v>558</v>
      </c>
      <c r="M1940" t="s">
        <v>1098</v>
      </c>
      <c r="N1940" t="s">
        <v>1099</v>
      </c>
      <c r="O1940">
        <f>Table1[[#This Row],[Unit_Price]]*Table1[[#This Row],[Quantity]]</f>
        <v>200</v>
      </c>
    </row>
    <row r="1941" spans="1:15" x14ac:dyDescent="0.3">
      <c r="A1941" t="s">
        <v>3722</v>
      </c>
      <c r="B1941" t="s">
        <v>3723</v>
      </c>
      <c r="C1941" t="s">
        <v>253</v>
      </c>
      <c r="D1941" t="s">
        <v>1073</v>
      </c>
      <c r="E1941">
        <v>1</v>
      </c>
      <c r="F1941">
        <f>_xlfn.XLOOKUP(Table1[[#This Row],[ProductID]],Products!A:A,Products!D:D,,0)</f>
        <v>100</v>
      </c>
      <c r="I1941">
        <v>349</v>
      </c>
      <c r="J1941">
        <v>349</v>
      </c>
      <c r="K1941" t="s">
        <v>1102</v>
      </c>
      <c r="L1941">
        <v>349</v>
      </c>
      <c r="M1941" t="s">
        <v>1093</v>
      </c>
      <c r="N1941" t="s">
        <v>1099</v>
      </c>
      <c r="O1941">
        <f>Table1[[#This Row],[Unit_Price]]*Table1[[#This Row],[Quantity]]</f>
        <v>100</v>
      </c>
    </row>
    <row r="1942" spans="1:15" x14ac:dyDescent="0.3">
      <c r="A1942" t="s">
        <v>3724</v>
      </c>
      <c r="B1942" t="s">
        <v>1138</v>
      </c>
      <c r="C1942" t="s">
        <v>453</v>
      </c>
      <c r="D1942" t="s">
        <v>1064</v>
      </c>
      <c r="E1942">
        <v>2</v>
      </c>
      <c r="F1942">
        <f>_xlfn.XLOOKUP(Table1[[#This Row],[ProductID]],Products!A:A,Products!D:D,,0)</f>
        <v>160</v>
      </c>
      <c r="I1942">
        <v>699</v>
      </c>
      <c r="J1942">
        <v>629</v>
      </c>
      <c r="K1942" t="s">
        <v>1107</v>
      </c>
      <c r="L1942">
        <v>1258</v>
      </c>
      <c r="M1942" t="s">
        <v>1098</v>
      </c>
      <c r="N1942" t="s">
        <v>1099</v>
      </c>
      <c r="O1942">
        <f>Table1[[#This Row],[Unit_Price]]*Table1[[#This Row],[Quantity]]</f>
        <v>320</v>
      </c>
    </row>
    <row r="1943" spans="1:15" x14ac:dyDescent="0.3">
      <c r="A1943" t="s">
        <v>3725</v>
      </c>
      <c r="B1943" t="s">
        <v>1816</v>
      </c>
      <c r="C1943" t="s">
        <v>813</v>
      </c>
      <c r="D1943" t="s">
        <v>1078</v>
      </c>
      <c r="E1943">
        <v>1</v>
      </c>
      <c r="F1943">
        <f>_xlfn.XLOOKUP(Table1[[#This Row],[ProductID]],Products!A:A,Products!D:D,,0)</f>
        <v>80</v>
      </c>
      <c r="I1943">
        <v>499</v>
      </c>
      <c r="J1943">
        <v>499</v>
      </c>
      <c r="K1943" t="s">
        <v>1102</v>
      </c>
      <c r="L1943">
        <v>499</v>
      </c>
      <c r="M1943" t="s">
        <v>1098</v>
      </c>
      <c r="N1943" t="s">
        <v>1099</v>
      </c>
      <c r="O1943">
        <f>Table1[[#This Row],[Unit_Price]]*Table1[[#This Row],[Quantity]]</f>
        <v>80</v>
      </c>
    </row>
    <row r="1944" spans="1:15" x14ac:dyDescent="0.3">
      <c r="A1944" t="s">
        <v>3726</v>
      </c>
      <c r="B1944" t="s">
        <v>2730</v>
      </c>
      <c r="C1944" t="s">
        <v>219</v>
      </c>
      <c r="D1944" t="s">
        <v>1057</v>
      </c>
      <c r="E1944">
        <v>4</v>
      </c>
      <c r="F1944">
        <f>_xlfn.XLOOKUP(Table1[[#This Row],[ProductID]],Products!A:A,Products!D:D,,0)</f>
        <v>130</v>
      </c>
      <c r="I1944">
        <v>549</v>
      </c>
      <c r="J1944">
        <v>549</v>
      </c>
      <c r="K1944" t="s">
        <v>1102</v>
      </c>
      <c r="L1944">
        <v>2196</v>
      </c>
      <c r="M1944" t="s">
        <v>1098</v>
      </c>
      <c r="N1944" t="s">
        <v>1099</v>
      </c>
      <c r="O1944">
        <f>Table1[[#This Row],[Unit_Price]]*Table1[[#This Row],[Quantity]]</f>
        <v>520</v>
      </c>
    </row>
    <row r="1945" spans="1:15" x14ac:dyDescent="0.3">
      <c r="A1945" t="s">
        <v>3727</v>
      </c>
      <c r="B1945" t="s">
        <v>2263</v>
      </c>
      <c r="C1945" t="s">
        <v>709</v>
      </c>
      <c r="D1945" t="s">
        <v>1078</v>
      </c>
      <c r="E1945">
        <v>1</v>
      </c>
      <c r="F1945">
        <f>_xlfn.XLOOKUP(Table1[[#This Row],[ProductID]],Products!A:A,Products!D:D,,0)</f>
        <v>80</v>
      </c>
      <c r="I1945">
        <v>499</v>
      </c>
      <c r="J1945">
        <v>449</v>
      </c>
      <c r="K1945" t="s">
        <v>1107</v>
      </c>
      <c r="L1945">
        <v>449</v>
      </c>
      <c r="M1945" t="s">
        <v>1098</v>
      </c>
      <c r="N1945" t="s">
        <v>1099</v>
      </c>
      <c r="O1945">
        <f>Table1[[#This Row],[Unit_Price]]*Table1[[#This Row],[Quantity]]</f>
        <v>80</v>
      </c>
    </row>
    <row r="1946" spans="1:15" x14ac:dyDescent="0.3">
      <c r="A1946" t="s">
        <v>3728</v>
      </c>
      <c r="B1946" t="s">
        <v>1738</v>
      </c>
      <c r="C1946" t="s">
        <v>343</v>
      </c>
      <c r="D1946" t="s">
        <v>1078</v>
      </c>
      <c r="E1946">
        <v>1</v>
      </c>
      <c r="F1946">
        <f>_xlfn.XLOOKUP(Table1[[#This Row],[ProductID]],Products!A:A,Products!D:D,,0)</f>
        <v>80</v>
      </c>
      <c r="I1946">
        <v>499</v>
      </c>
      <c r="J1946">
        <v>499</v>
      </c>
      <c r="K1946" t="s">
        <v>1102</v>
      </c>
      <c r="L1946">
        <v>499</v>
      </c>
      <c r="M1946" t="s">
        <v>1093</v>
      </c>
      <c r="N1946" t="s">
        <v>1094</v>
      </c>
      <c r="O1946">
        <f>Table1[[#This Row],[Unit_Price]]*Table1[[#This Row],[Quantity]]</f>
        <v>80</v>
      </c>
    </row>
    <row r="1947" spans="1:15" x14ac:dyDescent="0.3">
      <c r="A1947" t="s">
        <v>3729</v>
      </c>
      <c r="B1947" t="s">
        <v>1158</v>
      </c>
      <c r="C1947" t="s">
        <v>871</v>
      </c>
      <c r="D1947" t="s">
        <v>1078</v>
      </c>
      <c r="E1947">
        <v>1</v>
      </c>
      <c r="F1947">
        <f>_xlfn.XLOOKUP(Table1[[#This Row],[ProductID]],Products!A:A,Products!D:D,,0)</f>
        <v>80</v>
      </c>
      <c r="I1947">
        <v>499</v>
      </c>
      <c r="J1947">
        <v>499</v>
      </c>
      <c r="K1947" t="s">
        <v>1102</v>
      </c>
      <c r="L1947">
        <v>499</v>
      </c>
      <c r="M1947" t="s">
        <v>1093</v>
      </c>
      <c r="N1947" t="s">
        <v>1094</v>
      </c>
      <c r="O1947">
        <f>Table1[[#This Row],[Unit_Price]]*Table1[[#This Row],[Quantity]]</f>
        <v>80</v>
      </c>
    </row>
    <row r="1948" spans="1:15" x14ac:dyDescent="0.3">
      <c r="A1948" t="s">
        <v>3730</v>
      </c>
      <c r="B1948" t="s">
        <v>1457</v>
      </c>
      <c r="C1948" t="s">
        <v>162</v>
      </c>
      <c r="D1948" t="s">
        <v>1051</v>
      </c>
      <c r="E1948">
        <v>1</v>
      </c>
      <c r="F1948">
        <f>_xlfn.XLOOKUP(Table1[[#This Row],[ProductID]],Products!A:A,Products!D:D,,0)</f>
        <v>150</v>
      </c>
      <c r="I1948">
        <v>499</v>
      </c>
      <c r="J1948">
        <v>424</v>
      </c>
      <c r="K1948" t="s">
        <v>1092</v>
      </c>
      <c r="L1948">
        <v>424</v>
      </c>
      <c r="M1948" t="s">
        <v>1093</v>
      </c>
      <c r="N1948" t="s">
        <v>1099</v>
      </c>
      <c r="O1948">
        <f>Table1[[#This Row],[Unit_Price]]*Table1[[#This Row],[Quantity]]</f>
        <v>150</v>
      </c>
    </row>
    <row r="1949" spans="1:15" x14ac:dyDescent="0.3">
      <c r="A1949" t="s">
        <v>3731</v>
      </c>
      <c r="B1949" t="s">
        <v>1428</v>
      </c>
      <c r="C1949" t="s">
        <v>635</v>
      </c>
      <c r="D1949" t="s">
        <v>1057</v>
      </c>
      <c r="E1949">
        <v>1</v>
      </c>
      <c r="F1949">
        <f>_xlfn.XLOOKUP(Table1[[#This Row],[ProductID]],Products!A:A,Products!D:D,,0)</f>
        <v>130</v>
      </c>
      <c r="I1949">
        <v>549</v>
      </c>
      <c r="J1949">
        <v>494</v>
      </c>
      <c r="K1949" t="s">
        <v>1107</v>
      </c>
      <c r="L1949">
        <v>494</v>
      </c>
      <c r="M1949" t="s">
        <v>1098</v>
      </c>
      <c r="N1949" t="s">
        <v>1099</v>
      </c>
      <c r="O1949">
        <f>Table1[[#This Row],[Unit_Price]]*Table1[[#This Row],[Quantity]]</f>
        <v>130</v>
      </c>
    </row>
    <row r="1950" spans="1:15" x14ac:dyDescent="0.3">
      <c r="A1950" t="s">
        <v>3732</v>
      </c>
      <c r="B1950" t="s">
        <v>3145</v>
      </c>
      <c r="C1950" t="s">
        <v>949</v>
      </c>
      <c r="D1950" t="s">
        <v>1080</v>
      </c>
      <c r="E1950">
        <v>1</v>
      </c>
      <c r="F1950">
        <f>_xlfn.XLOOKUP(Table1[[#This Row],[ProductID]],Products!A:A,Products!D:D,,0)</f>
        <v>45</v>
      </c>
      <c r="I1950">
        <v>249</v>
      </c>
      <c r="J1950">
        <v>249</v>
      </c>
      <c r="K1950" t="s">
        <v>1102</v>
      </c>
      <c r="L1950">
        <v>249</v>
      </c>
      <c r="M1950" t="s">
        <v>1093</v>
      </c>
      <c r="N1950" t="s">
        <v>1094</v>
      </c>
      <c r="O1950">
        <f>Table1[[#This Row],[Unit_Price]]*Table1[[#This Row],[Quantity]]</f>
        <v>45</v>
      </c>
    </row>
    <row r="1951" spans="1:15" x14ac:dyDescent="0.3">
      <c r="A1951" t="s">
        <v>3733</v>
      </c>
      <c r="B1951" t="s">
        <v>3201</v>
      </c>
      <c r="C1951" t="s">
        <v>353</v>
      </c>
      <c r="D1951" t="s">
        <v>1048</v>
      </c>
      <c r="E1951">
        <v>1</v>
      </c>
      <c r="F1951">
        <f>_xlfn.XLOOKUP(Table1[[#This Row],[ProductID]],Products!A:A,Products!D:D,,0)</f>
        <v>120</v>
      </c>
      <c r="I1951">
        <v>599</v>
      </c>
      <c r="J1951">
        <v>509</v>
      </c>
      <c r="K1951" t="s">
        <v>1092</v>
      </c>
      <c r="L1951">
        <v>509</v>
      </c>
      <c r="M1951" t="s">
        <v>1093</v>
      </c>
      <c r="N1951" t="s">
        <v>1099</v>
      </c>
      <c r="O1951">
        <f>Table1[[#This Row],[Unit_Price]]*Table1[[#This Row],[Quantity]]</f>
        <v>120</v>
      </c>
    </row>
    <row r="1952" spans="1:15" x14ac:dyDescent="0.3">
      <c r="A1952" t="s">
        <v>3734</v>
      </c>
      <c r="B1952" t="s">
        <v>1172</v>
      </c>
      <c r="C1952" t="s">
        <v>567</v>
      </c>
      <c r="D1952" t="s">
        <v>1051</v>
      </c>
      <c r="E1952">
        <v>2</v>
      </c>
      <c r="F1952">
        <f>_xlfn.XLOOKUP(Table1[[#This Row],[ProductID]],Products!A:A,Products!D:D,,0)</f>
        <v>150</v>
      </c>
      <c r="I1952">
        <v>499</v>
      </c>
      <c r="J1952">
        <v>449</v>
      </c>
      <c r="K1952" t="s">
        <v>1107</v>
      </c>
      <c r="L1952">
        <v>898</v>
      </c>
      <c r="M1952" t="s">
        <v>1098</v>
      </c>
      <c r="N1952" t="s">
        <v>1099</v>
      </c>
      <c r="O1952">
        <f>Table1[[#This Row],[Unit_Price]]*Table1[[#This Row],[Quantity]]</f>
        <v>300</v>
      </c>
    </row>
    <row r="1953" spans="1:15" x14ac:dyDescent="0.3">
      <c r="A1953" t="s">
        <v>3735</v>
      </c>
      <c r="B1953" t="s">
        <v>3333</v>
      </c>
      <c r="C1953" t="s">
        <v>439</v>
      </c>
      <c r="D1953" t="s">
        <v>1071</v>
      </c>
      <c r="E1953">
        <v>1</v>
      </c>
      <c r="F1953">
        <f>_xlfn.XLOOKUP(Table1[[#This Row],[ProductID]],Products!A:A,Products!D:D,,0)</f>
        <v>125</v>
      </c>
      <c r="I1953">
        <v>399</v>
      </c>
      <c r="J1953">
        <v>359</v>
      </c>
      <c r="K1953" t="s">
        <v>1107</v>
      </c>
      <c r="L1953">
        <v>359</v>
      </c>
      <c r="M1953" t="s">
        <v>1098</v>
      </c>
      <c r="N1953" t="s">
        <v>1099</v>
      </c>
      <c r="O1953">
        <f>Table1[[#This Row],[Unit_Price]]*Table1[[#This Row],[Quantity]]</f>
        <v>125</v>
      </c>
    </row>
    <row r="1954" spans="1:15" x14ac:dyDescent="0.3">
      <c r="A1954" t="s">
        <v>3736</v>
      </c>
      <c r="B1954" t="s">
        <v>3737</v>
      </c>
      <c r="C1954" t="s">
        <v>603</v>
      </c>
      <c r="D1954" t="s">
        <v>1057</v>
      </c>
      <c r="E1954">
        <v>1</v>
      </c>
      <c r="F1954">
        <f>_xlfn.XLOOKUP(Table1[[#This Row],[ProductID]],Products!A:A,Products!D:D,,0)</f>
        <v>130</v>
      </c>
      <c r="I1954">
        <v>549</v>
      </c>
      <c r="J1954">
        <v>467</v>
      </c>
      <c r="K1954" t="s">
        <v>1092</v>
      </c>
      <c r="L1954">
        <v>467</v>
      </c>
      <c r="M1954" t="s">
        <v>1098</v>
      </c>
      <c r="N1954" t="s">
        <v>1099</v>
      </c>
      <c r="O1954">
        <f>Table1[[#This Row],[Unit_Price]]*Table1[[#This Row],[Quantity]]</f>
        <v>130</v>
      </c>
    </row>
    <row r="1955" spans="1:15" x14ac:dyDescent="0.3">
      <c r="A1955" t="s">
        <v>3738</v>
      </c>
      <c r="B1955" t="s">
        <v>3210</v>
      </c>
      <c r="C1955" t="s">
        <v>797</v>
      </c>
      <c r="D1955" t="s">
        <v>1075</v>
      </c>
      <c r="E1955">
        <v>4</v>
      </c>
      <c r="F1955">
        <f>_xlfn.XLOOKUP(Table1[[#This Row],[ProductID]],Products!A:A,Products!D:D,,0)</f>
        <v>80</v>
      </c>
      <c r="I1955">
        <v>499</v>
      </c>
      <c r="J1955">
        <v>399</v>
      </c>
      <c r="K1955" t="s">
        <v>1097</v>
      </c>
      <c r="L1955">
        <v>1596</v>
      </c>
      <c r="M1955" t="s">
        <v>1093</v>
      </c>
      <c r="N1955" t="s">
        <v>1099</v>
      </c>
      <c r="O1955">
        <f>Table1[[#This Row],[Unit_Price]]*Table1[[#This Row],[Quantity]]</f>
        <v>320</v>
      </c>
    </row>
    <row r="1956" spans="1:15" x14ac:dyDescent="0.3">
      <c r="A1956" t="s">
        <v>3739</v>
      </c>
      <c r="B1956" t="s">
        <v>1662</v>
      </c>
      <c r="C1956" t="s">
        <v>29</v>
      </c>
      <c r="D1956" t="s">
        <v>1066</v>
      </c>
      <c r="E1956">
        <v>3</v>
      </c>
      <c r="F1956">
        <f>_xlfn.XLOOKUP(Table1[[#This Row],[ProductID]],Products!A:A,Products!D:D,,0)</f>
        <v>140</v>
      </c>
      <c r="I1956">
        <v>499</v>
      </c>
      <c r="J1956">
        <v>449</v>
      </c>
      <c r="K1956" t="s">
        <v>1107</v>
      </c>
      <c r="L1956">
        <v>1347</v>
      </c>
      <c r="M1956" t="s">
        <v>1098</v>
      </c>
      <c r="N1956" t="s">
        <v>1099</v>
      </c>
      <c r="O1956">
        <f>Table1[[#This Row],[Unit_Price]]*Table1[[#This Row],[Quantity]]</f>
        <v>420</v>
      </c>
    </row>
    <row r="1957" spans="1:15" x14ac:dyDescent="0.3">
      <c r="A1957" t="s">
        <v>3740</v>
      </c>
      <c r="B1957" t="s">
        <v>2535</v>
      </c>
      <c r="C1957" t="s">
        <v>961</v>
      </c>
      <c r="D1957" t="s">
        <v>1051</v>
      </c>
      <c r="E1957">
        <v>1</v>
      </c>
      <c r="F1957">
        <f>_xlfn.XLOOKUP(Table1[[#This Row],[ProductID]],Products!A:A,Products!D:D,,0)</f>
        <v>150</v>
      </c>
      <c r="I1957">
        <v>499</v>
      </c>
      <c r="J1957">
        <v>399</v>
      </c>
      <c r="K1957" t="s">
        <v>1097</v>
      </c>
      <c r="L1957">
        <v>399</v>
      </c>
      <c r="M1957" t="s">
        <v>1093</v>
      </c>
      <c r="N1957" t="s">
        <v>1099</v>
      </c>
      <c r="O1957">
        <f>Table1[[#This Row],[Unit_Price]]*Table1[[#This Row],[Quantity]]</f>
        <v>150</v>
      </c>
    </row>
    <row r="1958" spans="1:15" x14ac:dyDescent="0.3">
      <c r="A1958" t="s">
        <v>3741</v>
      </c>
      <c r="B1958" t="s">
        <v>3742</v>
      </c>
      <c r="C1958" t="s">
        <v>879</v>
      </c>
      <c r="D1958" t="s">
        <v>1066</v>
      </c>
      <c r="E1958">
        <v>2</v>
      </c>
      <c r="F1958">
        <f>_xlfn.XLOOKUP(Table1[[#This Row],[ProductID]],Products!A:A,Products!D:D,,0)</f>
        <v>140</v>
      </c>
      <c r="I1958">
        <v>499</v>
      </c>
      <c r="J1958">
        <v>449</v>
      </c>
      <c r="K1958" t="s">
        <v>1107</v>
      </c>
      <c r="L1958">
        <v>898</v>
      </c>
      <c r="M1958" t="s">
        <v>1093</v>
      </c>
      <c r="N1958" t="s">
        <v>1099</v>
      </c>
      <c r="O1958">
        <f>Table1[[#This Row],[Unit_Price]]*Table1[[#This Row],[Quantity]]</f>
        <v>280</v>
      </c>
    </row>
    <row r="1959" spans="1:15" x14ac:dyDescent="0.3">
      <c r="A1959" t="s">
        <v>3743</v>
      </c>
      <c r="B1959" t="s">
        <v>1759</v>
      </c>
      <c r="C1959" t="s">
        <v>74</v>
      </c>
      <c r="D1959" t="s">
        <v>1080</v>
      </c>
      <c r="E1959">
        <v>3</v>
      </c>
      <c r="F1959">
        <f>_xlfn.XLOOKUP(Table1[[#This Row],[ProductID]],Products!A:A,Products!D:D,,0)</f>
        <v>45</v>
      </c>
      <c r="I1959">
        <v>249</v>
      </c>
      <c r="J1959">
        <v>199</v>
      </c>
      <c r="K1959" t="s">
        <v>1097</v>
      </c>
      <c r="L1959">
        <v>597</v>
      </c>
      <c r="M1959" t="s">
        <v>1098</v>
      </c>
      <c r="N1959" t="s">
        <v>1099</v>
      </c>
      <c r="O1959">
        <f>Table1[[#This Row],[Unit_Price]]*Table1[[#This Row],[Quantity]]</f>
        <v>135</v>
      </c>
    </row>
    <row r="1960" spans="1:15" x14ac:dyDescent="0.3">
      <c r="A1960" t="s">
        <v>3744</v>
      </c>
      <c r="B1960" t="s">
        <v>3051</v>
      </c>
      <c r="C1960" t="s">
        <v>555</v>
      </c>
      <c r="D1960" t="s">
        <v>1051</v>
      </c>
      <c r="E1960">
        <v>1</v>
      </c>
      <c r="F1960">
        <f>_xlfn.XLOOKUP(Table1[[#This Row],[ProductID]],Products!A:A,Products!D:D,,0)</f>
        <v>150</v>
      </c>
      <c r="I1960">
        <v>499</v>
      </c>
      <c r="J1960">
        <v>499</v>
      </c>
      <c r="K1960" t="s">
        <v>1102</v>
      </c>
      <c r="L1960">
        <v>499</v>
      </c>
      <c r="M1960" t="s">
        <v>1093</v>
      </c>
      <c r="N1960" t="s">
        <v>1094</v>
      </c>
      <c r="O1960">
        <f>Table1[[#This Row],[Unit_Price]]*Table1[[#This Row],[Quantity]]</f>
        <v>150</v>
      </c>
    </row>
    <row r="1961" spans="1:15" x14ac:dyDescent="0.3">
      <c r="A1961" t="s">
        <v>3745</v>
      </c>
      <c r="B1961" t="s">
        <v>1136</v>
      </c>
      <c r="C1961" t="s">
        <v>1007</v>
      </c>
      <c r="D1961" t="s">
        <v>1048</v>
      </c>
      <c r="E1961">
        <v>1</v>
      </c>
      <c r="F1961">
        <f>_xlfn.XLOOKUP(Table1[[#This Row],[ProductID]],Products!A:A,Products!D:D,,0)</f>
        <v>120</v>
      </c>
      <c r="I1961">
        <v>599</v>
      </c>
      <c r="J1961">
        <v>539</v>
      </c>
      <c r="K1961" t="s">
        <v>1107</v>
      </c>
      <c r="L1961">
        <v>539</v>
      </c>
      <c r="M1961" t="s">
        <v>1098</v>
      </c>
      <c r="N1961" t="s">
        <v>1099</v>
      </c>
      <c r="O1961">
        <f>Table1[[#This Row],[Unit_Price]]*Table1[[#This Row],[Quantity]]</f>
        <v>120</v>
      </c>
    </row>
    <row r="1962" spans="1:15" x14ac:dyDescent="0.3">
      <c r="A1962" t="s">
        <v>3746</v>
      </c>
      <c r="B1962" t="s">
        <v>1470</v>
      </c>
      <c r="C1962" t="s">
        <v>545</v>
      </c>
      <c r="D1962" t="s">
        <v>1055</v>
      </c>
      <c r="E1962">
        <v>1</v>
      </c>
      <c r="F1962">
        <f>_xlfn.XLOOKUP(Table1[[#This Row],[ProductID]],Products!A:A,Products!D:D,,0)</f>
        <v>75</v>
      </c>
      <c r="I1962">
        <v>299</v>
      </c>
      <c r="J1962">
        <v>269</v>
      </c>
      <c r="K1962" t="s">
        <v>1107</v>
      </c>
      <c r="L1962">
        <v>269</v>
      </c>
      <c r="M1962" t="s">
        <v>1098</v>
      </c>
      <c r="N1962" t="s">
        <v>1099</v>
      </c>
      <c r="O1962">
        <f>Table1[[#This Row],[Unit_Price]]*Table1[[#This Row],[Quantity]]</f>
        <v>75</v>
      </c>
    </row>
    <row r="1963" spans="1:15" x14ac:dyDescent="0.3">
      <c r="A1963" t="s">
        <v>3747</v>
      </c>
      <c r="B1963" t="s">
        <v>2400</v>
      </c>
      <c r="C1963" t="s">
        <v>1007</v>
      </c>
      <c r="D1963" t="s">
        <v>1057</v>
      </c>
      <c r="E1963">
        <v>1</v>
      </c>
      <c r="F1963">
        <f>_xlfn.XLOOKUP(Table1[[#This Row],[ProductID]],Products!A:A,Products!D:D,,0)</f>
        <v>130</v>
      </c>
      <c r="I1963">
        <v>549</v>
      </c>
      <c r="J1963">
        <v>494</v>
      </c>
      <c r="K1963" t="s">
        <v>1107</v>
      </c>
      <c r="L1963">
        <v>494</v>
      </c>
      <c r="M1963" t="s">
        <v>1098</v>
      </c>
      <c r="N1963" t="s">
        <v>1099</v>
      </c>
      <c r="O1963">
        <f>Table1[[#This Row],[Unit_Price]]*Table1[[#This Row],[Quantity]]</f>
        <v>130</v>
      </c>
    </row>
    <row r="1964" spans="1:15" x14ac:dyDescent="0.3">
      <c r="A1964" t="s">
        <v>3748</v>
      </c>
      <c r="B1964" t="s">
        <v>3577</v>
      </c>
      <c r="C1964" t="s">
        <v>285</v>
      </c>
      <c r="D1964" t="s">
        <v>1048</v>
      </c>
      <c r="E1964">
        <v>1</v>
      </c>
      <c r="F1964">
        <f>_xlfn.XLOOKUP(Table1[[#This Row],[ProductID]],Products!A:A,Products!D:D,,0)</f>
        <v>120</v>
      </c>
      <c r="I1964">
        <v>599</v>
      </c>
      <c r="J1964">
        <v>509</v>
      </c>
      <c r="K1964" t="s">
        <v>1092</v>
      </c>
      <c r="L1964">
        <v>509</v>
      </c>
      <c r="M1964" t="s">
        <v>1126</v>
      </c>
      <c r="N1964" t="s">
        <v>1099</v>
      </c>
      <c r="O1964">
        <f>Table1[[#This Row],[Unit_Price]]*Table1[[#This Row],[Quantity]]</f>
        <v>120</v>
      </c>
    </row>
    <row r="1965" spans="1:15" x14ac:dyDescent="0.3">
      <c r="A1965" t="s">
        <v>3749</v>
      </c>
      <c r="B1965" t="s">
        <v>1337</v>
      </c>
      <c r="C1965" t="s">
        <v>363</v>
      </c>
      <c r="D1965" t="s">
        <v>1064</v>
      </c>
      <c r="E1965">
        <v>3</v>
      </c>
      <c r="F1965">
        <f>_xlfn.XLOOKUP(Table1[[#This Row],[ProductID]],Products!A:A,Products!D:D,,0)</f>
        <v>160</v>
      </c>
      <c r="I1965">
        <v>699</v>
      </c>
      <c r="J1965">
        <v>699</v>
      </c>
      <c r="K1965" t="s">
        <v>1102</v>
      </c>
      <c r="L1965">
        <v>2097</v>
      </c>
      <c r="M1965" t="s">
        <v>1098</v>
      </c>
      <c r="N1965" t="s">
        <v>1099</v>
      </c>
      <c r="O1965">
        <f>Table1[[#This Row],[Unit_Price]]*Table1[[#This Row],[Quantity]]</f>
        <v>480</v>
      </c>
    </row>
    <row r="1966" spans="1:15" x14ac:dyDescent="0.3">
      <c r="A1966" t="s">
        <v>3750</v>
      </c>
      <c r="B1966" t="s">
        <v>1337</v>
      </c>
      <c r="C1966" t="s">
        <v>445</v>
      </c>
      <c r="D1966" t="s">
        <v>1048</v>
      </c>
      <c r="E1966">
        <v>1</v>
      </c>
      <c r="F1966">
        <f>_xlfn.XLOOKUP(Table1[[#This Row],[ProductID]],Products!A:A,Products!D:D,,0)</f>
        <v>120</v>
      </c>
      <c r="I1966">
        <v>599</v>
      </c>
      <c r="J1966">
        <v>599</v>
      </c>
      <c r="K1966" t="s">
        <v>1102</v>
      </c>
      <c r="L1966">
        <v>599</v>
      </c>
      <c r="M1966" t="s">
        <v>1093</v>
      </c>
      <c r="N1966" t="s">
        <v>1099</v>
      </c>
      <c r="O1966">
        <f>Table1[[#This Row],[Unit_Price]]*Table1[[#This Row],[Quantity]]</f>
        <v>120</v>
      </c>
    </row>
    <row r="1967" spans="1:15" x14ac:dyDescent="0.3">
      <c r="A1967" t="s">
        <v>3751</v>
      </c>
      <c r="B1967" t="s">
        <v>1734</v>
      </c>
      <c r="C1967" t="s">
        <v>87</v>
      </c>
      <c r="D1967" t="s">
        <v>1068</v>
      </c>
      <c r="E1967">
        <v>2</v>
      </c>
      <c r="F1967">
        <f>_xlfn.XLOOKUP(Table1[[#This Row],[ProductID]],Products!A:A,Products!D:D,,0)</f>
        <v>180</v>
      </c>
      <c r="I1967">
        <v>449</v>
      </c>
      <c r="J1967">
        <v>449</v>
      </c>
      <c r="K1967" t="s">
        <v>1102</v>
      </c>
      <c r="L1967">
        <v>898</v>
      </c>
      <c r="M1967" t="s">
        <v>1098</v>
      </c>
      <c r="N1967" t="s">
        <v>1099</v>
      </c>
      <c r="O1967">
        <f>Table1[[#This Row],[Unit_Price]]*Table1[[#This Row],[Quantity]]</f>
        <v>360</v>
      </c>
    </row>
    <row r="1968" spans="1:15" x14ac:dyDescent="0.3">
      <c r="A1968" t="s">
        <v>3752</v>
      </c>
      <c r="B1968" t="s">
        <v>3723</v>
      </c>
      <c r="C1968" t="s">
        <v>769</v>
      </c>
      <c r="D1968" t="s">
        <v>1059</v>
      </c>
      <c r="E1968">
        <v>1</v>
      </c>
      <c r="F1968">
        <f>_xlfn.XLOOKUP(Table1[[#This Row],[ProductID]],Products!A:A,Products!D:D,,0)</f>
        <v>110</v>
      </c>
      <c r="I1968">
        <v>399</v>
      </c>
      <c r="J1968">
        <v>399</v>
      </c>
      <c r="K1968" t="s">
        <v>1102</v>
      </c>
      <c r="L1968">
        <v>399</v>
      </c>
      <c r="M1968" t="s">
        <v>1098</v>
      </c>
      <c r="N1968" t="s">
        <v>1123</v>
      </c>
      <c r="O1968">
        <f>Table1[[#This Row],[Unit_Price]]*Table1[[#This Row],[Quantity]]</f>
        <v>110</v>
      </c>
    </row>
    <row r="1969" spans="1:15" x14ac:dyDescent="0.3">
      <c r="A1969" t="s">
        <v>3753</v>
      </c>
      <c r="B1969" t="s">
        <v>2365</v>
      </c>
      <c r="C1969" t="s">
        <v>935</v>
      </c>
      <c r="D1969" t="s">
        <v>1051</v>
      </c>
      <c r="E1969">
        <v>3</v>
      </c>
      <c r="F1969">
        <f>_xlfn.XLOOKUP(Table1[[#This Row],[ProductID]],Products!A:A,Products!D:D,,0)</f>
        <v>150</v>
      </c>
      <c r="I1969">
        <v>499</v>
      </c>
      <c r="J1969">
        <v>449</v>
      </c>
      <c r="K1969" t="s">
        <v>1107</v>
      </c>
      <c r="L1969">
        <v>1347</v>
      </c>
      <c r="M1969" t="s">
        <v>1093</v>
      </c>
      <c r="N1969" t="s">
        <v>1094</v>
      </c>
      <c r="O1969">
        <f>Table1[[#This Row],[Unit_Price]]*Table1[[#This Row],[Quantity]]</f>
        <v>450</v>
      </c>
    </row>
    <row r="1970" spans="1:15" x14ac:dyDescent="0.3">
      <c r="A1970" t="s">
        <v>3754</v>
      </c>
      <c r="B1970" t="s">
        <v>3591</v>
      </c>
      <c r="C1970" t="s">
        <v>539</v>
      </c>
      <c r="D1970" t="s">
        <v>1064</v>
      </c>
      <c r="E1970">
        <v>1</v>
      </c>
      <c r="F1970">
        <f>_xlfn.XLOOKUP(Table1[[#This Row],[ProductID]],Products!A:A,Products!D:D,,0)</f>
        <v>160</v>
      </c>
      <c r="I1970">
        <v>699</v>
      </c>
      <c r="J1970">
        <v>594</v>
      </c>
      <c r="K1970" t="s">
        <v>1092</v>
      </c>
      <c r="L1970">
        <v>594</v>
      </c>
      <c r="M1970" t="s">
        <v>1126</v>
      </c>
      <c r="N1970" t="s">
        <v>1099</v>
      </c>
      <c r="O1970">
        <f>Table1[[#This Row],[Unit_Price]]*Table1[[#This Row],[Quantity]]</f>
        <v>160</v>
      </c>
    </row>
    <row r="1971" spans="1:15" x14ac:dyDescent="0.3">
      <c r="A1971" t="s">
        <v>3755</v>
      </c>
      <c r="B1971" t="s">
        <v>1122</v>
      </c>
      <c r="C1971" t="s">
        <v>349</v>
      </c>
      <c r="D1971" t="s">
        <v>1075</v>
      </c>
      <c r="E1971">
        <v>4</v>
      </c>
      <c r="F1971">
        <f>_xlfn.XLOOKUP(Table1[[#This Row],[ProductID]],Products!A:A,Products!D:D,,0)</f>
        <v>80</v>
      </c>
      <c r="I1971">
        <v>499</v>
      </c>
      <c r="J1971">
        <v>499</v>
      </c>
      <c r="K1971" t="s">
        <v>1102</v>
      </c>
      <c r="L1971">
        <v>1996</v>
      </c>
      <c r="M1971" t="s">
        <v>1098</v>
      </c>
      <c r="N1971" t="s">
        <v>1099</v>
      </c>
      <c r="O1971">
        <f>Table1[[#This Row],[Unit_Price]]*Table1[[#This Row],[Quantity]]</f>
        <v>320</v>
      </c>
    </row>
    <row r="1972" spans="1:15" x14ac:dyDescent="0.3">
      <c r="A1972" t="s">
        <v>3756</v>
      </c>
      <c r="B1972" t="s">
        <v>1507</v>
      </c>
      <c r="C1972" t="s">
        <v>1011</v>
      </c>
      <c r="D1972" t="s">
        <v>1075</v>
      </c>
      <c r="E1972">
        <v>1</v>
      </c>
      <c r="F1972">
        <f>_xlfn.XLOOKUP(Table1[[#This Row],[ProductID]],Products!A:A,Products!D:D,,0)</f>
        <v>80</v>
      </c>
      <c r="I1972">
        <v>499</v>
      </c>
      <c r="J1972">
        <v>424</v>
      </c>
      <c r="K1972" t="s">
        <v>1092</v>
      </c>
      <c r="L1972">
        <v>424</v>
      </c>
      <c r="M1972" t="s">
        <v>1098</v>
      </c>
      <c r="N1972" t="s">
        <v>1099</v>
      </c>
      <c r="O1972">
        <f>Table1[[#This Row],[Unit_Price]]*Table1[[#This Row],[Quantity]]</f>
        <v>80</v>
      </c>
    </row>
    <row r="1973" spans="1:15" x14ac:dyDescent="0.3">
      <c r="A1973" t="s">
        <v>3757</v>
      </c>
      <c r="B1973" t="s">
        <v>2608</v>
      </c>
      <c r="C1973" t="s">
        <v>815</v>
      </c>
      <c r="D1973" t="s">
        <v>1057</v>
      </c>
      <c r="E1973">
        <v>2</v>
      </c>
      <c r="F1973">
        <f>_xlfn.XLOOKUP(Table1[[#This Row],[ProductID]],Products!A:A,Products!D:D,,0)</f>
        <v>130</v>
      </c>
      <c r="I1973">
        <v>549</v>
      </c>
      <c r="J1973">
        <v>549</v>
      </c>
      <c r="K1973" t="s">
        <v>1102</v>
      </c>
      <c r="L1973">
        <v>1098</v>
      </c>
      <c r="M1973" t="s">
        <v>1098</v>
      </c>
      <c r="N1973" t="s">
        <v>1123</v>
      </c>
      <c r="O1973">
        <f>Table1[[#This Row],[Unit_Price]]*Table1[[#This Row],[Quantity]]</f>
        <v>260</v>
      </c>
    </row>
    <row r="1974" spans="1:15" x14ac:dyDescent="0.3">
      <c r="A1974" t="s">
        <v>3758</v>
      </c>
      <c r="B1974" t="s">
        <v>1575</v>
      </c>
      <c r="C1974" t="s">
        <v>259</v>
      </c>
      <c r="D1974" t="s">
        <v>1073</v>
      </c>
      <c r="E1974">
        <v>1</v>
      </c>
      <c r="F1974">
        <f>_xlfn.XLOOKUP(Table1[[#This Row],[ProductID]],Products!A:A,Products!D:D,,0)</f>
        <v>100</v>
      </c>
      <c r="I1974">
        <v>349</v>
      </c>
      <c r="J1974">
        <v>349</v>
      </c>
      <c r="K1974" t="s">
        <v>1102</v>
      </c>
      <c r="L1974">
        <v>349</v>
      </c>
      <c r="M1974" t="s">
        <v>1098</v>
      </c>
      <c r="N1974" t="s">
        <v>1099</v>
      </c>
      <c r="O1974">
        <f>Table1[[#This Row],[Unit_Price]]*Table1[[#This Row],[Quantity]]</f>
        <v>100</v>
      </c>
    </row>
    <row r="1975" spans="1:15" x14ac:dyDescent="0.3">
      <c r="A1975" t="s">
        <v>3759</v>
      </c>
      <c r="B1975" t="s">
        <v>2163</v>
      </c>
      <c r="C1975" t="s">
        <v>293</v>
      </c>
      <c r="D1975" t="s">
        <v>1053</v>
      </c>
      <c r="E1975">
        <v>1</v>
      </c>
      <c r="F1975">
        <f>_xlfn.XLOOKUP(Table1[[#This Row],[ProductID]],Products!A:A,Products!D:D,,0)</f>
        <v>200</v>
      </c>
      <c r="I1975">
        <v>899</v>
      </c>
      <c r="J1975">
        <v>899</v>
      </c>
      <c r="K1975" t="s">
        <v>1102</v>
      </c>
      <c r="L1975">
        <v>899</v>
      </c>
      <c r="M1975" t="s">
        <v>1098</v>
      </c>
      <c r="N1975" t="s">
        <v>1099</v>
      </c>
      <c r="O1975">
        <f>Table1[[#This Row],[Unit_Price]]*Table1[[#This Row],[Quantity]]</f>
        <v>200</v>
      </c>
    </row>
    <row r="1976" spans="1:15" x14ac:dyDescent="0.3">
      <c r="A1976" t="s">
        <v>3760</v>
      </c>
      <c r="B1976" t="s">
        <v>1684</v>
      </c>
      <c r="C1976" t="s">
        <v>729</v>
      </c>
      <c r="D1976" t="s">
        <v>1075</v>
      </c>
      <c r="E1976">
        <v>2</v>
      </c>
      <c r="F1976">
        <f>_xlfn.XLOOKUP(Table1[[#This Row],[ProductID]],Products!A:A,Products!D:D,,0)</f>
        <v>80</v>
      </c>
      <c r="I1976">
        <v>499</v>
      </c>
      <c r="J1976">
        <v>499</v>
      </c>
      <c r="K1976" t="s">
        <v>1102</v>
      </c>
      <c r="L1976">
        <v>998</v>
      </c>
      <c r="M1976" t="s">
        <v>1126</v>
      </c>
      <c r="N1976" t="s">
        <v>1099</v>
      </c>
      <c r="O1976">
        <f>Table1[[#This Row],[Unit_Price]]*Table1[[#This Row],[Quantity]]</f>
        <v>160</v>
      </c>
    </row>
    <row r="1977" spans="1:15" x14ac:dyDescent="0.3">
      <c r="A1977" t="s">
        <v>3761</v>
      </c>
      <c r="B1977" t="s">
        <v>3145</v>
      </c>
      <c r="C1977" t="s">
        <v>329</v>
      </c>
      <c r="D1977" t="s">
        <v>1062</v>
      </c>
      <c r="E1977">
        <v>2</v>
      </c>
      <c r="F1977">
        <f>_xlfn.XLOOKUP(Table1[[#This Row],[ProductID]],Products!A:A,Products!D:D,,0)</f>
        <v>95</v>
      </c>
      <c r="I1977">
        <v>349</v>
      </c>
      <c r="J1977">
        <v>279</v>
      </c>
      <c r="K1977" t="s">
        <v>1097</v>
      </c>
      <c r="L1977">
        <v>558</v>
      </c>
      <c r="M1977" t="s">
        <v>1098</v>
      </c>
      <c r="N1977" t="s">
        <v>1099</v>
      </c>
      <c r="O1977">
        <f>Table1[[#This Row],[Unit_Price]]*Table1[[#This Row],[Quantity]]</f>
        <v>190</v>
      </c>
    </row>
    <row r="1978" spans="1:15" x14ac:dyDescent="0.3">
      <c r="A1978" t="s">
        <v>3762</v>
      </c>
      <c r="B1978" t="s">
        <v>1242</v>
      </c>
      <c r="C1978" t="s">
        <v>677</v>
      </c>
      <c r="D1978" t="s">
        <v>1062</v>
      </c>
      <c r="E1978">
        <v>1</v>
      </c>
      <c r="F1978">
        <f>_xlfn.XLOOKUP(Table1[[#This Row],[ProductID]],Products!A:A,Products!D:D,,0)</f>
        <v>95</v>
      </c>
      <c r="I1978">
        <v>349</v>
      </c>
      <c r="J1978">
        <v>314</v>
      </c>
      <c r="K1978" t="s">
        <v>1107</v>
      </c>
      <c r="L1978">
        <v>314</v>
      </c>
      <c r="M1978" t="s">
        <v>1098</v>
      </c>
      <c r="N1978" t="s">
        <v>1099</v>
      </c>
      <c r="O1978">
        <f>Table1[[#This Row],[Unit_Price]]*Table1[[#This Row],[Quantity]]</f>
        <v>95</v>
      </c>
    </row>
    <row r="1979" spans="1:15" x14ac:dyDescent="0.3">
      <c r="A1979" t="s">
        <v>3763</v>
      </c>
      <c r="B1979" t="s">
        <v>1672</v>
      </c>
      <c r="C1979" t="s">
        <v>641</v>
      </c>
      <c r="D1979" t="s">
        <v>1064</v>
      </c>
      <c r="E1979">
        <v>4</v>
      </c>
      <c r="F1979">
        <f>_xlfn.XLOOKUP(Table1[[#This Row],[ProductID]],Products!A:A,Products!D:D,,0)</f>
        <v>160</v>
      </c>
      <c r="I1979">
        <v>699</v>
      </c>
      <c r="J1979">
        <v>559</v>
      </c>
      <c r="K1979" t="s">
        <v>1097</v>
      </c>
      <c r="L1979">
        <v>2236</v>
      </c>
      <c r="M1979" t="s">
        <v>1093</v>
      </c>
      <c r="N1979" t="s">
        <v>1094</v>
      </c>
      <c r="O1979">
        <f>Table1[[#This Row],[Unit_Price]]*Table1[[#This Row],[Quantity]]</f>
        <v>640</v>
      </c>
    </row>
    <row r="1980" spans="1:15" x14ac:dyDescent="0.3">
      <c r="A1980" t="s">
        <v>3764</v>
      </c>
      <c r="B1980" t="s">
        <v>1953</v>
      </c>
      <c r="C1980" t="s">
        <v>191</v>
      </c>
      <c r="D1980" t="s">
        <v>1078</v>
      </c>
      <c r="E1980">
        <v>1</v>
      </c>
      <c r="F1980">
        <f>_xlfn.XLOOKUP(Table1[[#This Row],[ProductID]],Products!A:A,Products!D:D,,0)</f>
        <v>80</v>
      </c>
      <c r="I1980">
        <v>499</v>
      </c>
      <c r="J1980">
        <v>499</v>
      </c>
      <c r="K1980" t="s">
        <v>1102</v>
      </c>
      <c r="L1980">
        <v>499</v>
      </c>
      <c r="M1980" t="s">
        <v>1098</v>
      </c>
      <c r="N1980" t="s">
        <v>1099</v>
      </c>
      <c r="O1980">
        <f>Table1[[#This Row],[Unit_Price]]*Table1[[#This Row],[Quantity]]</f>
        <v>80</v>
      </c>
    </row>
    <row r="1981" spans="1:15" x14ac:dyDescent="0.3">
      <c r="A1981" t="s">
        <v>3765</v>
      </c>
      <c r="B1981" t="s">
        <v>2257</v>
      </c>
      <c r="C1981" t="s">
        <v>547</v>
      </c>
      <c r="D1981" t="s">
        <v>1062</v>
      </c>
      <c r="E1981">
        <v>1</v>
      </c>
      <c r="F1981">
        <f>_xlfn.XLOOKUP(Table1[[#This Row],[ProductID]],Products!A:A,Products!D:D,,0)</f>
        <v>95</v>
      </c>
      <c r="I1981">
        <v>349</v>
      </c>
      <c r="J1981">
        <v>349</v>
      </c>
      <c r="K1981" t="s">
        <v>1102</v>
      </c>
      <c r="L1981">
        <v>349</v>
      </c>
      <c r="M1981" t="s">
        <v>1098</v>
      </c>
      <c r="N1981" t="s">
        <v>1099</v>
      </c>
      <c r="O1981">
        <f>Table1[[#This Row],[Unit_Price]]*Table1[[#This Row],[Quantity]]</f>
        <v>95</v>
      </c>
    </row>
    <row r="1982" spans="1:15" x14ac:dyDescent="0.3">
      <c r="A1982" t="s">
        <v>3766</v>
      </c>
      <c r="B1982" t="s">
        <v>1242</v>
      </c>
      <c r="C1982" t="s">
        <v>1019</v>
      </c>
      <c r="D1982" t="s">
        <v>1057</v>
      </c>
      <c r="E1982">
        <v>1</v>
      </c>
      <c r="F1982">
        <f>_xlfn.XLOOKUP(Table1[[#This Row],[ProductID]],Products!A:A,Products!D:D,,0)</f>
        <v>130</v>
      </c>
      <c r="I1982">
        <v>549</v>
      </c>
      <c r="J1982">
        <v>467</v>
      </c>
      <c r="K1982" t="s">
        <v>1092</v>
      </c>
      <c r="L1982">
        <v>467</v>
      </c>
      <c r="M1982" t="s">
        <v>1093</v>
      </c>
      <c r="N1982" t="s">
        <v>1099</v>
      </c>
      <c r="O1982">
        <f>Table1[[#This Row],[Unit_Price]]*Table1[[#This Row],[Quantity]]</f>
        <v>130</v>
      </c>
    </row>
    <row r="1983" spans="1:15" x14ac:dyDescent="0.3">
      <c r="A1983" t="s">
        <v>3767</v>
      </c>
      <c r="B1983" t="s">
        <v>2695</v>
      </c>
      <c r="C1983" t="s">
        <v>607</v>
      </c>
      <c r="D1983" t="s">
        <v>1078</v>
      </c>
      <c r="E1983">
        <v>1</v>
      </c>
      <c r="F1983">
        <f>_xlfn.XLOOKUP(Table1[[#This Row],[ProductID]],Products!A:A,Products!D:D,,0)</f>
        <v>80</v>
      </c>
      <c r="I1983">
        <v>499</v>
      </c>
      <c r="J1983">
        <v>449</v>
      </c>
      <c r="K1983" t="s">
        <v>1107</v>
      </c>
      <c r="L1983">
        <v>449</v>
      </c>
      <c r="M1983" t="s">
        <v>1093</v>
      </c>
      <c r="N1983" t="s">
        <v>1099</v>
      </c>
      <c r="O1983">
        <f>Table1[[#This Row],[Unit_Price]]*Table1[[#This Row],[Quantity]]</f>
        <v>80</v>
      </c>
    </row>
    <row r="1984" spans="1:15" x14ac:dyDescent="0.3">
      <c r="A1984" t="s">
        <v>3768</v>
      </c>
      <c r="B1984" t="s">
        <v>1772</v>
      </c>
      <c r="C1984" t="s">
        <v>767</v>
      </c>
      <c r="D1984" t="s">
        <v>1057</v>
      </c>
      <c r="E1984">
        <v>1</v>
      </c>
      <c r="F1984">
        <f>_xlfn.XLOOKUP(Table1[[#This Row],[ProductID]],Products!A:A,Products!D:D,,0)</f>
        <v>130</v>
      </c>
      <c r="I1984">
        <v>549</v>
      </c>
      <c r="J1984">
        <v>549</v>
      </c>
      <c r="K1984" t="s">
        <v>1102</v>
      </c>
      <c r="L1984">
        <v>549</v>
      </c>
      <c r="M1984" t="s">
        <v>1126</v>
      </c>
      <c r="N1984" t="s">
        <v>1099</v>
      </c>
      <c r="O1984">
        <f>Table1[[#This Row],[Unit_Price]]*Table1[[#This Row],[Quantity]]</f>
        <v>130</v>
      </c>
    </row>
    <row r="1985" spans="1:15" x14ac:dyDescent="0.3">
      <c r="A1985" t="s">
        <v>3769</v>
      </c>
      <c r="B1985" t="s">
        <v>1847</v>
      </c>
      <c r="C1985" t="s">
        <v>681</v>
      </c>
      <c r="D1985" t="s">
        <v>1073</v>
      </c>
      <c r="E1985">
        <v>1</v>
      </c>
      <c r="F1985">
        <f>_xlfn.XLOOKUP(Table1[[#This Row],[ProductID]],Products!A:A,Products!D:D,,0)</f>
        <v>100</v>
      </c>
      <c r="I1985">
        <v>349</v>
      </c>
      <c r="J1985">
        <v>349</v>
      </c>
      <c r="K1985" t="s">
        <v>1102</v>
      </c>
      <c r="L1985">
        <v>349</v>
      </c>
      <c r="M1985" t="s">
        <v>1098</v>
      </c>
      <c r="N1985" t="s">
        <v>1099</v>
      </c>
      <c r="O1985">
        <f>Table1[[#This Row],[Unit_Price]]*Table1[[#This Row],[Quantity]]</f>
        <v>100</v>
      </c>
    </row>
    <row r="1986" spans="1:15" x14ac:dyDescent="0.3">
      <c r="A1986" t="s">
        <v>3770</v>
      </c>
      <c r="B1986" t="s">
        <v>2016</v>
      </c>
      <c r="C1986" t="s">
        <v>595</v>
      </c>
      <c r="D1986" t="s">
        <v>1062</v>
      </c>
      <c r="E1986">
        <v>1</v>
      </c>
      <c r="F1986">
        <f>_xlfn.XLOOKUP(Table1[[#This Row],[ProductID]],Products!A:A,Products!D:D,,0)</f>
        <v>95</v>
      </c>
      <c r="I1986">
        <v>349</v>
      </c>
      <c r="J1986">
        <v>349</v>
      </c>
      <c r="K1986" t="s">
        <v>1102</v>
      </c>
      <c r="L1986">
        <v>349</v>
      </c>
      <c r="M1986" t="s">
        <v>1098</v>
      </c>
      <c r="N1986" t="s">
        <v>1099</v>
      </c>
      <c r="O1986">
        <f>Table1[[#This Row],[Unit_Price]]*Table1[[#This Row],[Quantity]]</f>
        <v>95</v>
      </c>
    </row>
    <row r="1987" spans="1:15" x14ac:dyDescent="0.3">
      <c r="A1987" t="s">
        <v>3771</v>
      </c>
      <c r="B1987" t="s">
        <v>1168</v>
      </c>
      <c r="C1987" t="s">
        <v>961</v>
      </c>
      <c r="D1987" t="s">
        <v>1057</v>
      </c>
      <c r="E1987">
        <v>1</v>
      </c>
      <c r="F1987">
        <f>_xlfn.XLOOKUP(Table1[[#This Row],[ProductID]],Products!A:A,Products!D:D,,0)</f>
        <v>130</v>
      </c>
      <c r="I1987">
        <v>549</v>
      </c>
      <c r="J1987">
        <v>494</v>
      </c>
      <c r="K1987" t="s">
        <v>1107</v>
      </c>
      <c r="L1987">
        <v>494</v>
      </c>
      <c r="M1987" t="s">
        <v>1098</v>
      </c>
      <c r="N1987" t="s">
        <v>1099</v>
      </c>
      <c r="O1987">
        <f>Table1[[#This Row],[Unit_Price]]*Table1[[#This Row],[Quantity]]</f>
        <v>130</v>
      </c>
    </row>
    <row r="1988" spans="1:15" x14ac:dyDescent="0.3">
      <c r="A1988" t="s">
        <v>3772</v>
      </c>
      <c r="B1988" t="s">
        <v>1719</v>
      </c>
      <c r="C1988" t="s">
        <v>899</v>
      </c>
      <c r="D1988" t="s">
        <v>1066</v>
      </c>
      <c r="E1988">
        <v>2</v>
      </c>
      <c r="F1988">
        <f>_xlfn.XLOOKUP(Table1[[#This Row],[ProductID]],Products!A:A,Products!D:D,,0)</f>
        <v>140</v>
      </c>
      <c r="I1988">
        <v>499</v>
      </c>
      <c r="J1988">
        <v>424</v>
      </c>
      <c r="K1988" t="s">
        <v>1092</v>
      </c>
      <c r="L1988">
        <v>848</v>
      </c>
      <c r="M1988" t="s">
        <v>1126</v>
      </c>
      <c r="N1988" t="s">
        <v>1099</v>
      </c>
      <c r="O1988">
        <f>Table1[[#This Row],[Unit_Price]]*Table1[[#This Row],[Quantity]]</f>
        <v>280</v>
      </c>
    </row>
    <row r="1989" spans="1:15" x14ac:dyDescent="0.3">
      <c r="A1989" t="s">
        <v>3773</v>
      </c>
      <c r="B1989" t="s">
        <v>2382</v>
      </c>
      <c r="C1989" t="s">
        <v>99</v>
      </c>
      <c r="D1989" t="s">
        <v>1057</v>
      </c>
      <c r="E1989">
        <v>2</v>
      </c>
      <c r="F1989">
        <f>_xlfn.XLOOKUP(Table1[[#This Row],[ProductID]],Products!A:A,Products!D:D,,0)</f>
        <v>130</v>
      </c>
      <c r="I1989">
        <v>549</v>
      </c>
      <c r="J1989">
        <v>439</v>
      </c>
      <c r="K1989" t="s">
        <v>1097</v>
      </c>
      <c r="L1989">
        <v>878</v>
      </c>
      <c r="M1989" t="s">
        <v>1093</v>
      </c>
      <c r="N1989" t="s">
        <v>1099</v>
      </c>
      <c r="O1989">
        <f>Table1[[#This Row],[Unit_Price]]*Table1[[#This Row],[Quantity]]</f>
        <v>260</v>
      </c>
    </row>
    <row r="1990" spans="1:15" x14ac:dyDescent="0.3">
      <c r="A1990" t="s">
        <v>3774</v>
      </c>
      <c r="B1990" t="s">
        <v>2862</v>
      </c>
      <c r="C1990" t="s">
        <v>343</v>
      </c>
      <c r="D1990" t="s">
        <v>1073</v>
      </c>
      <c r="E1990">
        <v>1</v>
      </c>
      <c r="F1990">
        <f>_xlfn.XLOOKUP(Table1[[#This Row],[ProductID]],Products!A:A,Products!D:D,,0)</f>
        <v>100</v>
      </c>
      <c r="I1990">
        <v>349</v>
      </c>
      <c r="J1990">
        <v>314</v>
      </c>
      <c r="K1990" t="s">
        <v>1107</v>
      </c>
      <c r="L1990">
        <v>314</v>
      </c>
      <c r="M1990" t="s">
        <v>1098</v>
      </c>
      <c r="N1990" t="s">
        <v>1099</v>
      </c>
      <c r="O1990">
        <f>Table1[[#This Row],[Unit_Price]]*Table1[[#This Row],[Quantity]]</f>
        <v>100</v>
      </c>
    </row>
    <row r="1991" spans="1:15" x14ac:dyDescent="0.3">
      <c r="A1991" t="s">
        <v>3775</v>
      </c>
      <c r="B1991" t="s">
        <v>1920</v>
      </c>
      <c r="C1991" t="s">
        <v>511</v>
      </c>
      <c r="D1991" t="s">
        <v>1064</v>
      </c>
      <c r="E1991">
        <v>1</v>
      </c>
      <c r="F1991">
        <f>_xlfn.XLOOKUP(Table1[[#This Row],[ProductID]],Products!A:A,Products!D:D,,0)</f>
        <v>160</v>
      </c>
      <c r="I1991">
        <v>699</v>
      </c>
      <c r="J1991">
        <v>559</v>
      </c>
      <c r="K1991" t="s">
        <v>1097</v>
      </c>
      <c r="L1991">
        <v>559</v>
      </c>
      <c r="M1991" t="s">
        <v>1118</v>
      </c>
      <c r="N1991" t="s">
        <v>1123</v>
      </c>
      <c r="O1991">
        <f>Table1[[#This Row],[Unit_Price]]*Table1[[#This Row],[Quantity]]</f>
        <v>160</v>
      </c>
    </row>
    <row r="1992" spans="1:15" x14ac:dyDescent="0.3">
      <c r="A1992" t="s">
        <v>3776</v>
      </c>
      <c r="B1992" t="s">
        <v>1188</v>
      </c>
      <c r="C1992" t="s">
        <v>863</v>
      </c>
      <c r="D1992" t="s">
        <v>1064</v>
      </c>
      <c r="E1992">
        <v>1</v>
      </c>
      <c r="F1992">
        <f>_xlfn.XLOOKUP(Table1[[#This Row],[ProductID]],Products!A:A,Products!D:D,,0)</f>
        <v>160</v>
      </c>
      <c r="I1992">
        <v>699</v>
      </c>
      <c r="J1992">
        <v>559</v>
      </c>
      <c r="K1992" t="s">
        <v>1097</v>
      </c>
      <c r="L1992">
        <v>559</v>
      </c>
      <c r="M1992" t="s">
        <v>1093</v>
      </c>
      <c r="N1992" t="s">
        <v>1099</v>
      </c>
      <c r="O1992">
        <f>Table1[[#This Row],[Unit_Price]]*Table1[[#This Row],[Quantity]]</f>
        <v>160</v>
      </c>
    </row>
    <row r="1993" spans="1:15" x14ac:dyDescent="0.3">
      <c r="A1993" t="s">
        <v>3777</v>
      </c>
      <c r="B1993" t="s">
        <v>1256</v>
      </c>
      <c r="C1993" t="s">
        <v>301</v>
      </c>
      <c r="D1993" t="s">
        <v>1064</v>
      </c>
      <c r="E1993">
        <v>1</v>
      </c>
      <c r="F1993">
        <f>_xlfn.XLOOKUP(Table1[[#This Row],[ProductID]],Products!A:A,Products!D:D,,0)</f>
        <v>160</v>
      </c>
      <c r="I1993">
        <v>699</v>
      </c>
      <c r="J1993">
        <v>594</v>
      </c>
      <c r="K1993" t="s">
        <v>1092</v>
      </c>
      <c r="L1993">
        <v>594</v>
      </c>
      <c r="M1993" t="s">
        <v>1093</v>
      </c>
      <c r="N1993" t="s">
        <v>1099</v>
      </c>
      <c r="O1993">
        <f>Table1[[#This Row],[Unit_Price]]*Table1[[#This Row],[Quantity]]</f>
        <v>160</v>
      </c>
    </row>
    <row r="1994" spans="1:15" x14ac:dyDescent="0.3">
      <c r="A1994" t="s">
        <v>3778</v>
      </c>
      <c r="B1994" t="s">
        <v>2508</v>
      </c>
      <c r="C1994" t="s">
        <v>819</v>
      </c>
      <c r="D1994" t="s">
        <v>1073</v>
      </c>
      <c r="E1994">
        <v>4</v>
      </c>
      <c r="F1994">
        <f>_xlfn.XLOOKUP(Table1[[#This Row],[ProductID]],Products!A:A,Products!D:D,,0)</f>
        <v>100</v>
      </c>
      <c r="I1994">
        <v>349</v>
      </c>
      <c r="J1994">
        <v>314</v>
      </c>
      <c r="K1994" t="s">
        <v>1107</v>
      </c>
      <c r="L1994">
        <v>1256</v>
      </c>
      <c r="M1994" t="s">
        <v>1093</v>
      </c>
      <c r="N1994" t="s">
        <v>1099</v>
      </c>
      <c r="O1994">
        <f>Table1[[#This Row],[Unit_Price]]*Table1[[#This Row],[Quantity]]</f>
        <v>400</v>
      </c>
    </row>
    <row r="1995" spans="1:15" x14ac:dyDescent="0.3">
      <c r="A1995" t="s">
        <v>3779</v>
      </c>
      <c r="B1995" t="s">
        <v>1306</v>
      </c>
      <c r="C1995" t="s">
        <v>769</v>
      </c>
      <c r="D1995" t="s">
        <v>1062</v>
      </c>
      <c r="E1995">
        <v>1</v>
      </c>
      <c r="F1995">
        <f>_xlfn.XLOOKUP(Table1[[#This Row],[ProductID]],Products!A:A,Products!D:D,,0)</f>
        <v>95</v>
      </c>
      <c r="I1995">
        <v>349</v>
      </c>
      <c r="J1995">
        <v>349</v>
      </c>
      <c r="K1995" t="s">
        <v>1102</v>
      </c>
      <c r="L1995">
        <v>349</v>
      </c>
      <c r="M1995" t="s">
        <v>1093</v>
      </c>
      <c r="N1995" t="s">
        <v>1099</v>
      </c>
      <c r="O1995">
        <f>Table1[[#This Row],[Unit_Price]]*Table1[[#This Row],[Quantity]]</f>
        <v>95</v>
      </c>
    </row>
    <row r="1996" spans="1:15" x14ac:dyDescent="0.3">
      <c r="A1996" t="s">
        <v>3780</v>
      </c>
      <c r="B1996" t="s">
        <v>3781</v>
      </c>
      <c r="C1996" t="s">
        <v>903</v>
      </c>
      <c r="D1996" t="s">
        <v>1055</v>
      </c>
      <c r="E1996">
        <v>3</v>
      </c>
      <c r="F1996">
        <f>_xlfn.XLOOKUP(Table1[[#This Row],[ProductID]],Products!A:A,Products!D:D,,0)</f>
        <v>75</v>
      </c>
      <c r="I1996">
        <v>299</v>
      </c>
      <c r="J1996">
        <v>239</v>
      </c>
      <c r="K1996" t="s">
        <v>1097</v>
      </c>
      <c r="L1996">
        <v>717</v>
      </c>
      <c r="M1996" t="s">
        <v>1098</v>
      </c>
      <c r="N1996" t="s">
        <v>1099</v>
      </c>
      <c r="O1996">
        <f>Table1[[#This Row],[Unit_Price]]*Table1[[#This Row],[Quantity]]</f>
        <v>225</v>
      </c>
    </row>
    <row r="1997" spans="1:15" x14ac:dyDescent="0.3">
      <c r="A1997" t="s">
        <v>3782</v>
      </c>
      <c r="B1997" t="s">
        <v>3135</v>
      </c>
      <c r="C1997" t="s">
        <v>303</v>
      </c>
      <c r="D1997" t="s">
        <v>1059</v>
      </c>
      <c r="E1997">
        <v>1</v>
      </c>
      <c r="F1997">
        <f>_xlfn.XLOOKUP(Table1[[#This Row],[ProductID]],Products!A:A,Products!D:D,,0)</f>
        <v>110</v>
      </c>
      <c r="I1997">
        <v>399</v>
      </c>
      <c r="J1997">
        <v>339</v>
      </c>
      <c r="K1997" t="s">
        <v>1092</v>
      </c>
      <c r="L1997">
        <v>339</v>
      </c>
      <c r="M1997" t="s">
        <v>1098</v>
      </c>
      <c r="N1997" t="s">
        <v>1099</v>
      </c>
      <c r="O1997">
        <f>Table1[[#This Row],[Unit_Price]]*Table1[[#This Row],[Quantity]]</f>
        <v>110</v>
      </c>
    </row>
    <row r="1998" spans="1:15" x14ac:dyDescent="0.3">
      <c r="A1998" t="s">
        <v>3783</v>
      </c>
      <c r="B1998" t="s">
        <v>2095</v>
      </c>
      <c r="C1998" t="s">
        <v>873</v>
      </c>
      <c r="D1998" t="s">
        <v>1078</v>
      </c>
      <c r="E1998">
        <v>1</v>
      </c>
      <c r="F1998">
        <f>_xlfn.XLOOKUP(Table1[[#This Row],[ProductID]],Products!A:A,Products!D:D,,0)</f>
        <v>80</v>
      </c>
      <c r="I1998">
        <v>499</v>
      </c>
      <c r="J1998">
        <v>449</v>
      </c>
      <c r="K1998" t="s">
        <v>1107</v>
      </c>
      <c r="L1998">
        <v>449</v>
      </c>
      <c r="M1998" t="s">
        <v>1093</v>
      </c>
      <c r="N1998" t="s">
        <v>1094</v>
      </c>
      <c r="O1998">
        <f>Table1[[#This Row],[Unit_Price]]*Table1[[#This Row],[Quantity]]</f>
        <v>80</v>
      </c>
    </row>
    <row r="1999" spans="1:15" x14ac:dyDescent="0.3">
      <c r="A1999" t="s">
        <v>3784</v>
      </c>
      <c r="B1999" t="s">
        <v>2092</v>
      </c>
      <c r="C1999" t="s">
        <v>991</v>
      </c>
      <c r="D1999" t="s">
        <v>1059</v>
      </c>
      <c r="E1999">
        <v>2</v>
      </c>
      <c r="F1999">
        <f>_xlfn.XLOOKUP(Table1[[#This Row],[ProductID]],Products!A:A,Products!D:D,,0)</f>
        <v>110</v>
      </c>
      <c r="I1999">
        <v>399</v>
      </c>
      <c r="J1999">
        <v>399</v>
      </c>
      <c r="K1999" t="s">
        <v>1102</v>
      </c>
      <c r="L1999">
        <v>798</v>
      </c>
      <c r="M1999" t="s">
        <v>1093</v>
      </c>
      <c r="N1999" t="s">
        <v>1094</v>
      </c>
      <c r="O1999">
        <f>Table1[[#This Row],[Unit_Price]]*Table1[[#This Row],[Quantity]]</f>
        <v>220</v>
      </c>
    </row>
    <row r="2000" spans="1:15" x14ac:dyDescent="0.3">
      <c r="A2000" t="s">
        <v>3785</v>
      </c>
      <c r="B2000" t="s">
        <v>1763</v>
      </c>
      <c r="C2000" t="s">
        <v>373</v>
      </c>
      <c r="D2000" t="s">
        <v>1055</v>
      </c>
      <c r="E2000">
        <v>1</v>
      </c>
      <c r="F2000">
        <f>_xlfn.XLOOKUP(Table1[[#This Row],[ProductID]],Products!A:A,Products!D:D,,0)</f>
        <v>75</v>
      </c>
      <c r="I2000">
        <v>299</v>
      </c>
      <c r="J2000">
        <v>254</v>
      </c>
      <c r="K2000" t="s">
        <v>1092</v>
      </c>
      <c r="L2000">
        <v>254</v>
      </c>
      <c r="M2000" t="s">
        <v>1098</v>
      </c>
      <c r="N2000" t="s">
        <v>1099</v>
      </c>
      <c r="O2000">
        <f>Table1[[#This Row],[Unit_Price]]*Table1[[#This Row],[Quantity]]</f>
        <v>75</v>
      </c>
    </row>
    <row r="2001" spans="1:15" x14ac:dyDescent="0.3">
      <c r="A2001" t="s">
        <v>3786</v>
      </c>
      <c r="B2001" t="s">
        <v>2690</v>
      </c>
      <c r="C2001" t="s">
        <v>177</v>
      </c>
      <c r="D2001" t="s">
        <v>1057</v>
      </c>
      <c r="E2001">
        <v>2</v>
      </c>
      <c r="F2001">
        <f>_xlfn.XLOOKUP(Table1[[#This Row],[ProductID]],Products!A:A,Products!D:D,,0)</f>
        <v>130</v>
      </c>
      <c r="I2001">
        <v>549</v>
      </c>
      <c r="J2001">
        <v>467</v>
      </c>
      <c r="K2001" t="s">
        <v>1092</v>
      </c>
      <c r="L2001">
        <v>934</v>
      </c>
      <c r="M2001" t="s">
        <v>1093</v>
      </c>
      <c r="N2001" t="s">
        <v>1123</v>
      </c>
      <c r="O2001">
        <f>Table1[[#This Row],[Unit_Price]]*Table1[[#This Row],[Quantity]]</f>
        <v>260</v>
      </c>
    </row>
    <row r="2002" spans="1:15" x14ac:dyDescent="0.3">
      <c r="A2002" t="s">
        <v>3787</v>
      </c>
      <c r="B2002" t="s">
        <v>1657</v>
      </c>
      <c r="C2002" t="s">
        <v>281</v>
      </c>
      <c r="D2002" t="s">
        <v>1051</v>
      </c>
      <c r="E2002">
        <v>1</v>
      </c>
      <c r="F2002">
        <f>_xlfn.XLOOKUP(Table1[[#This Row],[ProductID]],Products!A:A,Products!D:D,,0)</f>
        <v>150</v>
      </c>
      <c r="I2002">
        <v>499</v>
      </c>
      <c r="J2002">
        <v>499</v>
      </c>
      <c r="K2002" t="s">
        <v>1102</v>
      </c>
      <c r="L2002">
        <v>499</v>
      </c>
      <c r="M2002" t="s">
        <v>1126</v>
      </c>
      <c r="N2002" t="s">
        <v>1099</v>
      </c>
      <c r="O2002">
        <f>Table1[[#This Row],[Unit_Price]]*Table1[[#This Row],[Quantity]]</f>
        <v>150</v>
      </c>
    </row>
    <row r="2003" spans="1:15" x14ac:dyDescent="0.3">
      <c r="A2003" t="s">
        <v>3788</v>
      </c>
      <c r="B2003" t="s">
        <v>2867</v>
      </c>
      <c r="C2003" t="s">
        <v>343</v>
      </c>
      <c r="D2003" t="s">
        <v>1048</v>
      </c>
      <c r="E2003">
        <v>2</v>
      </c>
      <c r="F2003">
        <f>_xlfn.XLOOKUP(Table1[[#This Row],[ProductID]],Products!A:A,Products!D:D,,0)</f>
        <v>120</v>
      </c>
      <c r="I2003">
        <v>599</v>
      </c>
      <c r="J2003">
        <v>539</v>
      </c>
      <c r="K2003" t="s">
        <v>1107</v>
      </c>
      <c r="L2003">
        <v>1078</v>
      </c>
      <c r="M2003" t="s">
        <v>1093</v>
      </c>
      <c r="N2003" t="s">
        <v>1099</v>
      </c>
      <c r="O2003">
        <f>Table1[[#This Row],[Unit_Price]]*Table1[[#This Row],[Quantity]]</f>
        <v>240</v>
      </c>
    </row>
    <row r="2004" spans="1:15" x14ac:dyDescent="0.3">
      <c r="A2004" t="s">
        <v>3789</v>
      </c>
      <c r="B2004" t="s">
        <v>1551</v>
      </c>
      <c r="C2004" t="s">
        <v>949</v>
      </c>
      <c r="D2004" t="s">
        <v>1068</v>
      </c>
      <c r="E2004">
        <v>1</v>
      </c>
      <c r="F2004">
        <f>_xlfn.XLOOKUP(Table1[[#This Row],[ProductID]],Products!A:A,Products!D:D,,0)</f>
        <v>180</v>
      </c>
      <c r="I2004">
        <v>449</v>
      </c>
      <c r="J2004">
        <v>382</v>
      </c>
      <c r="K2004" t="s">
        <v>1092</v>
      </c>
      <c r="L2004">
        <v>382</v>
      </c>
      <c r="M2004" t="s">
        <v>1098</v>
      </c>
      <c r="N2004" t="s">
        <v>1099</v>
      </c>
      <c r="O2004">
        <f>Table1[[#This Row],[Unit_Price]]*Table1[[#This Row],[Quantity]]</f>
        <v>180</v>
      </c>
    </row>
    <row r="2005" spans="1:15" x14ac:dyDescent="0.3">
      <c r="A2005" t="s">
        <v>3790</v>
      </c>
      <c r="B2005" t="s">
        <v>1353</v>
      </c>
      <c r="C2005" t="s">
        <v>259</v>
      </c>
      <c r="D2005" t="s">
        <v>1051</v>
      </c>
      <c r="E2005">
        <v>2</v>
      </c>
      <c r="F2005">
        <f>_xlfn.XLOOKUP(Table1[[#This Row],[ProductID]],Products!A:A,Products!D:D,,0)</f>
        <v>150</v>
      </c>
      <c r="I2005">
        <v>499</v>
      </c>
      <c r="J2005">
        <v>424</v>
      </c>
      <c r="K2005" t="s">
        <v>1092</v>
      </c>
      <c r="L2005">
        <v>848</v>
      </c>
      <c r="M2005" t="s">
        <v>1098</v>
      </c>
      <c r="N2005" t="s">
        <v>1099</v>
      </c>
      <c r="O2005">
        <f>Table1[[#This Row],[Unit_Price]]*Table1[[#This Row],[Quantity]]</f>
        <v>300</v>
      </c>
    </row>
    <row r="2006" spans="1:15" x14ac:dyDescent="0.3">
      <c r="A2006" t="s">
        <v>3791</v>
      </c>
      <c r="B2006" t="s">
        <v>2187</v>
      </c>
      <c r="C2006" t="s">
        <v>136</v>
      </c>
      <c r="D2006" t="s">
        <v>1068</v>
      </c>
      <c r="E2006">
        <v>1</v>
      </c>
      <c r="F2006">
        <f>_xlfn.XLOOKUP(Table1[[#This Row],[ProductID]],Products!A:A,Products!D:D,,0)</f>
        <v>180</v>
      </c>
      <c r="I2006">
        <v>449</v>
      </c>
      <c r="J2006">
        <v>404</v>
      </c>
      <c r="K2006" t="s">
        <v>1107</v>
      </c>
      <c r="L2006">
        <v>404</v>
      </c>
      <c r="M2006" t="s">
        <v>1098</v>
      </c>
      <c r="N2006" t="s">
        <v>1099</v>
      </c>
      <c r="O2006">
        <f>Table1[[#This Row],[Unit_Price]]*Table1[[#This Row],[Quantity]]</f>
        <v>180</v>
      </c>
    </row>
    <row r="2007" spans="1:15" x14ac:dyDescent="0.3">
      <c r="A2007" t="s">
        <v>3792</v>
      </c>
      <c r="B2007" t="s">
        <v>1138</v>
      </c>
      <c r="C2007" t="s">
        <v>997</v>
      </c>
      <c r="D2007" t="s">
        <v>1062</v>
      </c>
      <c r="E2007">
        <v>1</v>
      </c>
      <c r="F2007">
        <f>_xlfn.XLOOKUP(Table1[[#This Row],[ProductID]],Products!A:A,Products!D:D,,0)</f>
        <v>95</v>
      </c>
      <c r="I2007">
        <v>349</v>
      </c>
      <c r="J2007">
        <v>349</v>
      </c>
      <c r="K2007" t="s">
        <v>1102</v>
      </c>
      <c r="L2007">
        <v>349</v>
      </c>
      <c r="M2007" t="s">
        <v>1093</v>
      </c>
      <c r="N2007" t="s">
        <v>1099</v>
      </c>
      <c r="O2007">
        <f>Table1[[#This Row],[Unit_Price]]*Table1[[#This Row],[Quantity]]</f>
        <v>95</v>
      </c>
    </row>
    <row r="2008" spans="1:15" x14ac:dyDescent="0.3">
      <c r="A2008" t="s">
        <v>3793</v>
      </c>
      <c r="B2008" t="s">
        <v>2835</v>
      </c>
      <c r="C2008" t="s">
        <v>63</v>
      </c>
      <c r="D2008" t="s">
        <v>1075</v>
      </c>
      <c r="E2008">
        <v>1</v>
      </c>
      <c r="F2008">
        <f>_xlfn.XLOOKUP(Table1[[#This Row],[ProductID]],Products!A:A,Products!D:D,,0)</f>
        <v>80</v>
      </c>
      <c r="I2008">
        <v>499</v>
      </c>
      <c r="J2008">
        <v>449</v>
      </c>
      <c r="K2008" t="s">
        <v>1107</v>
      </c>
      <c r="L2008">
        <v>449</v>
      </c>
      <c r="M2008" t="s">
        <v>1126</v>
      </c>
      <c r="N2008" t="s">
        <v>1099</v>
      </c>
      <c r="O2008">
        <f>Table1[[#This Row],[Unit_Price]]*Table1[[#This Row],[Quantity]]</f>
        <v>80</v>
      </c>
    </row>
    <row r="2009" spans="1:15" x14ac:dyDescent="0.3">
      <c r="A2009" t="s">
        <v>3794</v>
      </c>
      <c r="B2009" t="s">
        <v>2658</v>
      </c>
      <c r="C2009" t="s">
        <v>899</v>
      </c>
      <c r="D2009" t="s">
        <v>1053</v>
      </c>
      <c r="E2009">
        <v>3</v>
      </c>
      <c r="F2009">
        <f>_xlfn.XLOOKUP(Table1[[#This Row],[ProductID]],Products!A:A,Products!D:D,,0)</f>
        <v>200</v>
      </c>
      <c r="I2009">
        <v>899</v>
      </c>
      <c r="J2009">
        <v>809</v>
      </c>
      <c r="K2009" t="s">
        <v>1107</v>
      </c>
      <c r="L2009">
        <v>2427</v>
      </c>
      <c r="M2009" t="s">
        <v>1093</v>
      </c>
      <c r="N2009" t="s">
        <v>1099</v>
      </c>
      <c r="O2009">
        <f>Table1[[#This Row],[Unit_Price]]*Table1[[#This Row],[Quantity]]</f>
        <v>600</v>
      </c>
    </row>
    <row r="2010" spans="1:15" x14ac:dyDescent="0.3">
      <c r="A2010" t="s">
        <v>3795</v>
      </c>
      <c r="B2010" t="s">
        <v>1402</v>
      </c>
      <c r="C2010" t="s">
        <v>579</v>
      </c>
      <c r="D2010" t="s">
        <v>1053</v>
      </c>
      <c r="E2010">
        <v>2</v>
      </c>
      <c r="F2010">
        <f>_xlfn.XLOOKUP(Table1[[#This Row],[ProductID]],Products!A:A,Products!D:D,,0)</f>
        <v>200</v>
      </c>
      <c r="I2010">
        <v>899</v>
      </c>
      <c r="J2010">
        <v>809</v>
      </c>
      <c r="K2010" t="s">
        <v>1107</v>
      </c>
      <c r="L2010">
        <v>1618</v>
      </c>
      <c r="M2010" t="s">
        <v>1093</v>
      </c>
      <c r="N2010" t="s">
        <v>1094</v>
      </c>
      <c r="O2010">
        <f>Table1[[#This Row],[Unit_Price]]*Table1[[#This Row],[Quantity]]</f>
        <v>400</v>
      </c>
    </row>
    <row r="2011" spans="1:15" x14ac:dyDescent="0.3">
      <c r="A2011" t="s">
        <v>3796</v>
      </c>
      <c r="B2011" t="s">
        <v>1780</v>
      </c>
      <c r="C2011" t="s">
        <v>47</v>
      </c>
      <c r="D2011" t="s">
        <v>1062</v>
      </c>
      <c r="E2011">
        <v>3</v>
      </c>
      <c r="F2011">
        <f>_xlfn.XLOOKUP(Table1[[#This Row],[ProductID]],Products!A:A,Products!D:D,,0)</f>
        <v>95</v>
      </c>
      <c r="I2011">
        <v>349</v>
      </c>
      <c r="J2011">
        <v>297</v>
      </c>
      <c r="K2011" t="s">
        <v>1092</v>
      </c>
      <c r="L2011">
        <v>891</v>
      </c>
      <c r="M2011" t="s">
        <v>1098</v>
      </c>
      <c r="N2011" t="s">
        <v>1099</v>
      </c>
      <c r="O2011">
        <f>Table1[[#This Row],[Unit_Price]]*Table1[[#This Row],[Quantity]]</f>
        <v>285</v>
      </c>
    </row>
    <row r="2012" spans="1:15" x14ac:dyDescent="0.3">
      <c r="A2012" t="s">
        <v>3797</v>
      </c>
      <c r="B2012" t="s">
        <v>1648</v>
      </c>
      <c r="C2012" t="s">
        <v>809</v>
      </c>
      <c r="D2012" t="s">
        <v>1073</v>
      </c>
      <c r="E2012">
        <v>1</v>
      </c>
      <c r="F2012">
        <f>_xlfn.XLOOKUP(Table1[[#This Row],[ProductID]],Products!A:A,Products!D:D,,0)</f>
        <v>100</v>
      </c>
      <c r="I2012">
        <v>349</v>
      </c>
      <c r="J2012">
        <v>349</v>
      </c>
      <c r="K2012" t="s">
        <v>1102</v>
      </c>
      <c r="L2012">
        <v>349</v>
      </c>
      <c r="M2012" t="s">
        <v>1098</v>
      </c>
      <c r="N2012" t="s">
        <v>1123</v>
      </c>
      <c r="O2012">
        <f>Table1[[#This Row],[Unit_Price]]*Table1[[#This Row],[Quantity]]</f>
        <v>100</v>
      </c>
    </row>
    <row r="2013" spans="1:15" x14ac:dyDescent="0.3">
      <c r="A2013" t="s">
        <v>3798</v>
      </c>
      <c r="B2013" t="s">
        <v>2967</v>
      </c>
      <c r="C2013" t="s">
        <v>895</v>
      </c>
      <c r="D2013" t="s">
        <v>1055</v>
      </c>
      <c r="E2013">
        <v>1</v>
      </c>
      <c r="F2013">
        <f>_xlfn.XLOOKUP(Table1[[#This Row],[ProductID]],Products!A:A,Products!D:D,,0)</f>
        <v>75</v>
      </c>
      <c r="I2013">
        <v>299</v>
      </c>
      <c r="J2013">
        <v>239</v>
      </c>
      <c r="K2013" t="s">
        <v>1097</v>
      </c>
      <c r="L2013">
        <v>239</v>
      </c>
      <c r="M2013" t="s">
        <v>1098</v>
      </c>
      <c r="N2013" t="s">
        <v>1123</v>
      </c>
      <c r="O2013">
        <f>Table1[[#This Row],[Unit_Price]]*Table1[[#This Row],[Quantity]]</f>
        <v>75</v>
      </c>
    </row>
    <row r="2014" spans="1:15" x14ac:dyDescent="0.3">
      <c r="A2014" t="s">
        <v>3799</v>
      </c>
      <c r="B2014" t="s">
        <v>3077</v>
      </c>
      <c r="C2014" t="s">
        <v>547</v>
      </c>
      <c r="D2014" t="s">
        <v>1071</v>
      </c>
      <c r="E2014">
        <v>2</v>
      </c>
      <c r="F2014">
        <f>_xlfn.XLOOKUP(Table1[[#This Row],[ProductID]],Products!A:A,Products!D:D,,0)</f>
        <v>125</v>
      </c>
      <c r="I2014">
        <v>399</v>
      </c>
      <c r="J2014">
        <v>399</v>
      </c>
      <c r="K2014" t="s">
        <v>1102</v>
      </c>
      <c r="L2014">
        <v>798</v>
      </c>
      <c r="M2014" t="s">
        <v>1098</v>
      </c>
      <c r="N2014" t="s">
        <v>1099</v>
      </c>
      <c r="O2014">
        <f>Table1[[#This Row],[Unit_Price]]*Table1[[#This Row],[Quantity]]</f>
        <v>250</v>
      </c>
    </row>
    <row r="2015" spans="1:15" x14ac:dyDescent="0.3">
      <c r="A2015" t="s">
        <v>3800</v>
      </c>
      <c r="B2015" t="s">
        <v>1158</v>
      </c>
      <c r="C2015" t="s">
        <v>669</v>
      </c>
      <c r="D2015" t="s">
        <v>1080</v>
      </c>
      <c r="E2015">
        <v>1</v>
      </c>
      <c r="F2015">
        <f>_xlfn.XLOOKUP(Table1[[#This Row],[ProductID]],Products!A:A,Products!D:D,,0)</f>
        <v>45</v>
      </c>
      <c r="I2015">
        <v>249</v>
      </c>
      <c r="J2015">
        <v>212</v>
      </c>
      <c r="K2015" t="s">
        <v>1092</v>
      </c>
      <c r="L2015">
        <v>212</v>
      </c>
      <c r="M2015" t="s">
        <v>1098</v>
      </c>
      <c r="N2015" t="s">
        <v>1099</v>
      </c>
      <c r="O2015">
        <f>Table1[[#This Row],[Unit_Price]]*Table1[[#This Row],[Quantity]]</f>
        <v>45</v>
      </c>
    </row>
    <row r="2016" spans="1:15" x14ac:dyDescent="0.3">
      <c r="A2016" t="s">
        <v>3801</v>
      </c>
      <c r="B2016" t="s">
        <v>1828</v>
      </c>
      <c r="C2016" t="s">
        <v>321</v>
      </c>
      <c r="D2016" t="s">
        <v>1059</v>
      </c>
      <c r="E2016">
        <v>1</v>
      </c>
      <c r="F2016">
        <f>_xlfn.XLOOKUP(Table1[[#This Row],[ProductID]],Products!A:A,Products!D:D,,0)</f>
        <v>110</v>
      </c>
      <c r="I2016">
        <v>399</v>
      </c>
      <c r="J2016">
        <v>399</v>
      </c>
      <c r="K2016" t="s">
        <v>1102</v>
      </c>
      <c r="L2016">
        <v>399</v>
      </c>
      <c r="M2016" t="s">
        <v>1098</v>
      </c>
      <c r="N2016" t="s">
        <v>1099</v>
      </c>
      <c r="O2016">
        <f>Table1[[#This Row],[Unit_Price]]*Table1[[#This Row],[Quantity]]</f>
        <v>110</v>
      </c>
    </row>
    <row r="2017" spans="1:15" x14ac:dyDescent="0.3">
      <c r="A2017" t="s">
        <v>3802</v>
      </c>
      <c r="B2017" t="s">
        <v>1983</v>
      </c>
      <c r="C2017" t="s">
        <v>195</v>
      </c>
      <c r="D2017" t="s">
        <v>1055</v>
      </c>
      <c r="E2017">
        <v>1</v>
      </c>
      <c r="F2017">
        <f>_xlfn.XLOOKUP(Table1[[#This Row],[ProductID]],Products!A:A,Products!D:D,,0)</f>
        <v>75</v>
      </c>
      <c r="I2017">
        <v>299</v>
      </c>
      <c r="J2017">
        <v>269</v>
      </c>
      <c r="K2017" t="s">
        <v>1107</v>
      </c>
      <c r="L2017">
        <v>269</v>
      </c>
      <c r="M2017" t="s">
        <v>1093</v>
      </c>
      <c r="N2017" t="s">
        <v>1099</v>
      </c>
      <c r="O2017">
        <f>Table1[[#This Row],[Unit_Price]]*Table1[[#This Row],[Quantity]]</f>
        <v>75</v>
      </c>
    </row>
    <row r="2018" spans="1:15" x14ac:dyDescent="0.3">
      <c r="A2018" t="s">
        <v>3803</v>
      </c>
      <c r="B2018" t="s">
        <v>2835</v>
      </c>
      <c r="C2018" t="s">
        <v>167</v>
      </c>
      <c r="D2018" t="s">
        <v>1073</v>
      </c>
      <c r="E2018">
        <v>1</v>
      </c>
      <c r="F2018">
        <f>_xlfn.XLOOKUP(Table1[[#This Row],[ProductID]],Products!A:A,Products!D:D,,0)</f>
        <v>100</v>
      </c>
      <c r="I2018">
        <v>349</v>
      </c>
      <c r="J2018">
        <v>279</v>
      </c>
      <c r="K2018" t="s">
        <v>1097</v>
      </c>
      <c r="L2018">
        <v>279</v>
      </c>
      <c r="M2018" t="s">
        <v>1098</v>
      </c>
      <c r="N2018" t="s">
        <v>1099</v>
      </c>
      <c r="O2018">
        <f>Table1[[#This Row],[Unit_Price]]*Table1[[#This Row],[Quantity]]</f>
        <v>100</v>
      </c>
    </row>
    <row r="2019" spans="1:15" x14ac:dyDescent="0.3">
      <c r="A2019" t="s">
        <v>3804</v>
      </c>
      <c r="B2019" t="s">
        <v>1545</v>
      </c>
      <c r="C2019" t="s">
        <v>797</v>
      </c>
      <c r="D2019" t="s">
        <v>1048</v>
      </c>
      <c r="E2019">
        <v>1</v>
      </c>
      <c r="F2019">
        <f>_xlfn.XLOOKUP(Table1[[#This Row],[ProductID]],Products!A:A,Products!D:D,,0)</f>
        <v>120</v>
      </c>
      <c r="I2019">
        <v>599</v>
      </c>
      <c r="J2019">
        <v>539</v>
      </c>
      <c r="K2019" t="s">
        <v>1107</v>
      </c>
      <c r="L2019">
        <v>539</v>
      </c>
      <c r="M2019" t="s">
        <v>1098</v>
      </c>
      <c r="N2019" t="s">
        <v>1099</v>
      </c>
      <c r="O2019">
        <f>Table1[[#This Row],[Unit_Price]]*Table1[[#This Row],[Quantity]]</f>
        <v>120</v>
      </c>
    </row>
    <row r="2020" spans="1:15" x14ac:dyDescent="0.3">
      <c r="A2020" t="s">
        <v>3805</v>
      </c>
      <c r="B2020" t="s">
        <v>1117</v>
      </c>
      <c r="C2020" t="s">
        <v>721</v>
      </c>
      <c r="D2020" t="s">
        <v>1055</v>
      </c>
      <c r="E2020">
        <v>1</v>
      </c>
      <c r="F2020">
        <f>_xlfn.XLOOKUP(Table1[[#This Row],[ProductID]],Products!A:A,Products!D:D,,0)</f>
        <v>75</v>
      </c>
      <c r="I2020">
        <v>299</v>
      </c>
      <c r="J2020">
        <v>269</v>
      </c>
      <c r="K2020" t="s">
        <v>1107</v>
      </c>
      <c r="L2020">
        <v>269</v>
      </c>
      <c r="M2020" t="s">
        <v>1093</v>
      </c>
      <c r="N2020" t="s">
        <v>1099</v>
      </c>
      <c r="O2020">
        <f>Table1[[#This Row],[Unit_Price]]*Table1[[#This Row],[Quantity]]</f>
        <v>75</v>
      </c>
    </row>
    <row r="2021" spans="1:15" x14ac:dyDescent="0.3">
      <c r="A2021" t="s">
        <v>3806</v>
      </c>
      <c r="B2021" t="s">
        <v>1944</v>
      </c>
      <c r="C2021" t="s">
        <v>1029</v>
      </c>
      <c r="D2021" t="s">
        <v>1073</v>
      </c>
      <c r="E2021">
        <v>2</v>
      </c>
      <c r="F2021">
        <f>_xlfn.XLOOKUP(Table1[[#This Row],[ProductID]],Products!A:A,Products!D:D,,0)</f>
        <v>100</v>
      </c>
      <c r="I2021">
        <v>349</v>
      </c>
      <c r="J2021">
        <v>349</v>
      </c>
      <c r="K2021" t="s">
        <v>1102</v>
      </c>
      <c r="L2021">
        <v>698</v>
      </c>
      <c r="M2021" t="s">
        <v>1093</v>
      </c>
      <c r="N2021" t="s">
        <v>1099</v>
      </c>
      <c r="O2021">
        <f>Table1[[#This Row],[Unit_Price]]*Table1[[#This Row],[Quantity]]</f>
        <v>200</v>
      </c>
    </row>
    <row r="2022" spans="1:15" x14ac:dyDescent="0.3">
      <c r="A2022" t="s">
        <v>3807</v>
      </c>
      <c r="B2022" t="s">
        <v>1270</v>
      </c>
      <c r="C2022" t="s">
        <v>211</v>
      </c>
      <c r="D2022" t="s">
        <v>1068</v>
      </c>
      <c r="E2022">
        <v>2</v>
      </c>
      <c r="F2022">
        <f>_xlfn.XLOOKUP(Table1[[#This Row],[ProductID]],Products!A:A,Products!D:D,,0)</f>
        <v>180</v>
      </c>
      <c r="I2022">
        <v>449</v>
      </c>
      <c r="J2022">
        <v>382</v>
      </c>
      <c r="K2022" t="s">
        <v>1092</v>
      </c>
      <c r="L2022">
        <v>764</v>
      </c>
      <c r="M2022" t="s">
        <v>1098</v>
      </c>
      <c r="N2022" t="s">
        <v>1099</v>
      </c>
      <c r="O2022">
        <f>Table1[[#This Row],[Unit_Price]]*Table1[[#This Row],[Quantity]]</f>
        <v>360</v>
      </c>
    </row>
    <row r="2023" spans="1:15" x14ac:dyDescent="0.3">
      <c r="A2023" t="s">
        <v>3808</v>
      </c>
      <c r="B2023" t="s">
        <v>2213</v>
      </c>
      <c r="C2023" t="s">
        <v>1025</v>
      </c>
      <c r="D2023" t="s">
        <v>1059</v>
      </c>
      <c r="E2023">
        <v>2</v>
      </c>
      <c r="F2023">
        <f>_xlfn.XLOOKUP(Table1[[#This Row],[ProductID]],Products!A:A,Products!D:D,,0)</f>
        <v>110</v>
      </c>
      <c r="I2023">
        <v>399</v>
      </c>
      <c r="J2023">
        <v>359</v>
      </c>
      <c r="K2023" t="s">
        <v>1107</v>
      </c>
      <c r="L2023">
        <v>718</v>
      </c>
      <c r="M2023" t="s">
        <v>1098</v>
      </c>
      <c r="N2023" t="s">
        <v>1099</v>
      </c>
      <c r="O2023">
        <f>Table1[[#This Row],[Unit_Price]]*Table1[[#This Row],[Quantity]]</f>
        <v>220</v>
      </c>
    </row>
    <row r="2024" spans="1:15" x14ac:dyDescent="0.3">
      <c r="A2024" t="s">
        <v>3809</v>
      </c>
      <c r="B2024" t="s">
        <v>2075</v>
      </c>
      <c r="C2024" t="s">
        <v>917</v>
      </c>
      <c r="D2024" t="s">
        <v>1062</v>
      </c>
      <c r="E2024">
        <v>4</v>
      </c>
      <c r="F2024">
        <f>_xlfn.XLOOKUP(Table1[[#This Row],[ProductID]],Products!A:A,Products!D:D,,0)</f>
        <v>95</v>
      </c>
      <c r="I2024">
        <v>349</v>
      </c>
      <c r="J2024">
        <v>349</v>
      </c>
      <c r="K2024" t="s">
        <v>1102</v>
      </c>
      <c r="L2024">
        <v>1396</v>
      </c>
      <c r="M2024" t="s">
        <v>1093</v>
      </c>
      <c r="N2024" t="s">
        <v>1099</v>
      </c>
      <c r="O2024">
        <f>Table1[[#This Row],[Unit_Price]]*Table1[[#This Row],[Quantity]]</f>
        <v>380</v>
      </c>
    </row>
    <row r="2025" spans="1:15" x14ac:dyDescent="0.3">
      <c r="A2025" t="s">
        <v>3810</v>
      </c>
      <c r="B2025" t="s">
        <v>1668</v>
      </c>
      <c r="C2025" t="s">
        <v>421</v>
      </c>
      <c r="D2025" t="s">
        <v>1055</v>
      </c>
      <c r="E2025">
        <v>1</v>
      </c>
      <c r="F2025">
        <f>_xlfn.XLOOKUP(Table1[[#This Row],[ProductID]],Products!A:A,Products!D:D,,0)</f>
        <v>75</v>
      </c>
      <c r="I2025">
        <v>299</v>
      </c>
      <c r="J2025">
        <v>269</v>
      </c>
      <c r="K2025" t="s">
        <v>1107</v>
      </c>
      <c r="L2025">
        <v>269</v>
      </c>
      <c r="M2025" t="s">
        <v>1093</v>
      </c>
      <c r="N2025" t="s">
        <v>1094</v>
      </c>
      <c r="O2025">
        <f>Table1[[#This Row],[Unit_Price]]*Table1[[#This Row],[Quantity]]</f>
        <v>75</v>
      </c>
    </row>
    <row r="2026" spans="1:15" x14ac:dyDescent="0.3">
      <c r="A2026" t="s">
        <v>3811</v>
      </c>
      <c r="B2026" t="s">
        <v>3069</v>
      </c>
      <c r="C2026" t="s">
        <v>963</v>
      </c>
      <c r="D2026" t="s">
        <v>1075</v>
      </c>
      <c r="E2026">
        <v>1</v>
      </c>
      <c r="F2026">
        <f>_xlfn.XLOOKUP(Table1[[#This Row],[ProductID]],Products!A:A,Products!D:D,,0)</f>
        <v>80</v>
      </c>
      <c r="I2026">
        <v>499</v>
      </c>
      <c r="J2026">
        <v>399</v>
      </c>
      <c r="K2026" t="s">
        <v>1097</v>
      </c>
      <c r="L2026">
        <v>399</v>
      </c>
      <c r="M2026" t="s">
        <v>1093</v>
      </c>
      <c r="N2026" t="s">
        <v>1094</v>
      </c>
      <c r="O2026">
        <f>Table1[[#This Row],[Unit_Price]]*Table1[[#This Row],[Quantity]]</f>
        <v>80</v>
      </c>
    </row>
    <row r="2027" spans="1:15" x14ac:dyDescent="0.3">
      <c r="A2027" t="s">
        <v>3812</v>
      </c>
      <c r="B2027" t="s">
        <v>2229</v>
      </c>
      <c r="C2027" t="s">
        <v>140</v>
      </c>
      <c r="D2027" t="s">
        <v>1064</v>
      </c>
      <c r="E2027">
        <v>1</v>
      </c>
      <c r="F2027">
        <f>_xlfn.XLOOKUP(Table1[[#This Row],[ProductID]],Products!A:A,Products!D:D,,0)</f>
        <v>160</v>
      </c>
      <c r="I2027">
        <v>699</v>
      </c>
      <c r="J2027">
        <v>629</v>
      </c>
      <c r="K2027" t="s">
        <v>1107</v>
      </c>
      <c r="L2027">
        <v>629</v>
      </c>
      <c r="M2027" t="s">
        <v>1118</v>
      </c>
      <c r="N2027" t="s">
        <v>1099</v>
      </c>
      <c r="O2027">
        <f>Table1[[#This Row],[Unit_Price]]*Table1[[#This Row],[Quantity]]</f>
        <v>160</v>
      </c>
    </row>
    <row r="2028" spans="1:15" x14ac:dyDescent="0.3">
      <c r="A2028" t="s">
        <v>3813</v>
      </c>
      <c r="B2028" t="s">
        <v>1484</v>
      </c>
      <c r="C2028" t="s">
        <v>415</v>
      </c>
      <c r="D2028" t="s">
        <v>1068</v>
      </c>
      <c r="E2028">
        <v>2</v>
      </c>
      <c r="F2028">
        <f>_xlfn.XLOOKUP(Table1[[#This Row],[ProductID]],Products!A:A,Products!D:D,,0)</f>
        <v>180</v>
      </c>
      <c r="I2028">
        <v>449</v>
      </c>
      <c r="J2028">
        <v>449</v>
      </c>
      <c r="K2028" t="s">
        <v>1102</v>
      </c>
      <c r="L2028">
        <v>898</v>
      </c>
      <c r="M2028" t="s">
        <v>1098</v>
      </c>
      <c r="N2028" t="s">
        <v>1099</v>
      </c>
      <c r="O2028">
        <f>Table1[[#This Row],[Unit_Price]]*Table1[[#This Row],[Quantity]]</f>
        <v>360</v>
      </c>
    </row>
    <row r="2029" spans="1:15" x14ac:dyDescent="0.3">
      <c r="A2029" t="s">
        <v>3814</v>
      </c>
      <c r="B2029" t="s">
        <v>2174</v>
      </c>
      <c r="C2029" t="s">
        <v>889</v>
      </c>
      <c r="D2029" t="s">
        <v>1064</v>
      </c>
      <c r="E2029">
        <v>1</v>
      </c>
      <c r="F2029">
        <f>_xlfn.XLOOKUP(Table1[[#This Row],[ProductID]],Products!A:A,Products!D:D,,0)</f>
        <v>160</v>
      </c>
      <c r="I2029">
        <v>699</v>
      </c>
      <c r="J2029">
        <v>629</v>
      </c>
      <c r="K2029" t="s">
        <v>1107</v>
      </c>
      <c r="L2029">
        <v>629</v>
      </c>
      <c r="M2029" t="s">
        <v>1098</v>
      </c>
      <c r="N2029" t="s">
        <v>1099</v>
      </c>
      <c r="O2029">
        <f>Table1[[#This Row],[Unit_Price]]*Table1[[#This Row],[Quantity]]</f>
        <v>160</v>
      </c>
    </row>
    <row r="2030" spans="1:15" x14ac:dyDescent="0.3">
      <c r="A2030" t="s">
        <v>3815</v>
      </c>
      <c r="B2030" t="s">
        <v>3650</v>
      </c>
      <c r="C2030" t="s">
        <v>723</v>
      </c>
      <c r="D2030" t="s">
        <v>1071</v>
      </c>
      <c r="E2030">
        <v>2</v>
      </c>
      <c r="F2030">
        <f>_xlfn.XLOOKUP(Table1[[#This Row],[ProductID]],Products!A:A,Products!D:D,,0)</f>
        <v>125</v>
      </c>
      <c r="I2030">
        <v>399</v>
      </c>
      <c r="J2030">
        <v>319</v>
      </c>
      <c r="K2030" t="s">
        <v>1097</v>
      </c>
      <c r="L2030">
        <v>638</v>
      </c>
      <c r="M2030" t="s">
        <v>1098</v>
      </c>
      <c r="N2030" t="s">
        <v>1099</v>
      </c>
      <c r="O2030">
        <f>Table1[[#This Row],[Unit_Price]]*Table1[[#This Row],[Quantity]]</f>
        <v>250</v>
      </c>
    </row>
    <row r="2031" spans="1:15" x14ac:dyDescent="0.3">
      <c r="A2031" t="s">
        <v>3816</v>
      </c>
      <c r="B2031" t="s">
        <v>2720</v>
      </c>
      <c r="C2031" t="s">
        <v>839</v>
      </c>
      <c r="D2031" t="s">
        <v>1053</v>
      </c>
      <c r="E2031">
        <v>1</v>
      </c>
      <c r="F2031">
        <f>_xlfn.XLOOKUP(Table1[[#This Row],[ProductID]],Products!A:A,Products!D:D,,0)</f>
        <v>200</v>
      </c>
      <c r="I2031">
        <v>899</v>
      </c>
      <c r="J2031">
        <v>809</v>
      </c>
      <c r="K2031" t="s">
        <v>1107</v>
      </c>
      <c r="L2031">
        <v>809</v>
      </c>
      <c r="M2031" t="s">
        <v>1093</v>
      </c>
      <c r="N2031" t="s">
        <v>1099</v>
      </c>
      <c r="O2031">
        <f>Table1[[#This Row],[Unit_Price]]*Table1[[#This Row],[Quantity]]</f>
        <v>200</v>
      </c>
    </row>
    <row r="2032" spans="1:15" x14ac:dyDescent="0.3">
      <c r="A2032" t="s">
        <v>3817</v>
      </c>
      <c r="B2032" t="s">
        <v>1312</v>
      </c>
      <c r="C2032" t="s">
        <v>179</v>
      </c>
      <c r="D2032" t="s">
        <v>1068</v>
      </c>
      <c r="E2032">
        <v>2</v>
      </c>
      <c r="F2032">
        <f>_xlfn.XLOOKUP(Table1[[#This Row],[ProductID]],Products!A:A,Products!D:D,,0)</f>
        <v>180</v>
      </c>
      <c r="I2032">
        <v>449</v>
      </c>
      <c r="J2032">
        <v>449</v>
      </c>
      <c r="K2032" t="s">
        <v>1102</v>
      </c>
      <c r="L2032">
        <v>898</v>
      </c>
      <c r="M2032" t="s">
        <v>1093</v>
      </c>
      <c r="N2032" t="s">
        <v>1099</v>
      </c>
      <c r="O2032">
        <f>Table1[[#This Row],[Unit_Price]]*Table1[[#This Row],[Quantity]]</f>
        <v>360</v>
      </c>
    </row>
    <row r="2033" spans="1:15" x14ac:dyDescent="0.3">
      <c r="A2033" t="s">
        <v>3818</v>
      </c>
      <c r="B2033" t="s">
        <v>3819</v>
      </c>
      <c r="C2033" t="s">
        <v>391</v>
      </c>
      <c r="D2033" t="s">
        <v>1053</v>
      </c>
      <c r="E2033">
        <v>1</v>
      </c>
      <c r="F2033">
        <f>_xlfn.XLOOKUP(Table1[[#This Row],[ProductID]],Products!A:A,Products!D:D,,0)</f>
        <v>200</v>
      </c>
      <c r="I2033">
        <v>899</v>
      </c>
      <c r="J2033">
        <v>719</v>
      </c>
      <c r="K2033" t="s">
        <v>1097</v>
      </c>
      <c r="L2033">
        <v>719</v>
      </c>
      <c r="M2033" t="s">
        <v>1098</v>
      </c>
      <c r="N2033" t="s">
        <v>1099</v>
      </c>
      <c r="O2033">
        <f>Table1[[#This Row],[Unit_Price]]*Table1[[#This Row],[Quantity]]</f>
        <v>200</v>
      </c>
    </row>
    <row r="2034" spans="1:15" x14ac:dyDescent="0.3">
      <c r="A2034" t="s">
        <v>3820</v>
      </c>
      <c r="B2034" t="s">
        <v>1828</v>
      </c>
      <c r="C2034" t="s">
        <v>239</v>
      </c>
      <c r="D2034" t="s">
        <v>1053</v>
      </c>
      <c r="E2034">
        <v>1</v>
      </c>
      <c r="F2034">
        <f>_xlfn.XLOOKUP(Table1[[#This Row],[ProductID]],Products!A:A,Products!D:D,,0)</f>
        <v>200</v>
      </c>
      <c r="I2034">
        <v>899</v>
      </c>
      <c r="J2034">
        <v>719</v>
      </c>
      <c r="K2034" t="s">
        <v>1097</v>
      </c>
      <c r="L2034">
        <v>719</v>
      </c>
      <c r="M2034" t="s">
        <v>1093</v>
      </c>
      <c r="N2034" t="s">
        <v>1094</v>
      </c>
      <c r="O2034">
        <f>Table1[[#This Row],[Unit_Price]]*Table1[[#This Row],[Quantity]]</f>
        <v>200</v>
      </c>
    </row>
    <row r="2035" spans="1:15" x14ac:dyDescent="0.3">
      <c r="A2035" t="s">
        <v>3821</v>
      </c>
      <c r="B2035" t="s">
        <v>1973</v>
      </c>
      <c r="C2035" t="s">
        <v>511</v>
      </c>
      <c r="D2035" t="s">
        <v>1057</v>
      </c>
      <c r="E2035">
        <v>1</v>
      </c>
      <c r="F2035">
        <f>_xlfn.XLOOKUP(Table1[[#This Row],[ProductID]],Products!A:A,Products!D:D,,0)</f>
        <v>130</v>
      </c>
      <c r="I2035">
        <v>549</v>
      </c>
      <c r="J2035">
        <v>467</v>
      </c>
      <c r="K2035" t="s">
        <v>1092</v>
      </c>
      <c r="L2035">
        <v>467</v>
      </c>
      <c r="M2035" t="s">
        <v>1098</v>
      </c>
      <c r="N2035" t="s">
        <v>1099</v>
      </c>
      <c r="O2035">
        <f>Table1[[#This Row],[Unit_Price]]*Table1[[#This Row],[Quantity]]</f>
        <v>130</v>
      </c>
    </row>
    <row r="2036" spans="1:15" x14ac:dyDescent="0.3">
      <c r="A2036" t="s">
        <v>3822</v>
      </c>
      <c r="B2036" t="s">
        <v>1091</v>
      </c>
      <c r="C2036" t="s">
        <v>883</v>
      </c>
      <c r="D2036" t="s">
        <v>1062</v>
      </c>
      <c r="E2036">
        <v>2</v>
      </c>
      <c r="F2036">
        <f>_xlfn.XLOOKUP(Table1[[#This Row],[ProductID]],Products!A:A,Products!D:D,,0)</f>
        <v>95</v>
      </c>
      <c r="I2036">
        <v>349</v>
      </c>
      <c r="J2036">
        <v>349</v>
      </c>
      <c r="K2036" t="s">
        <v>1102</v>
      </c>
      <c r="L2036">
        <v>698</v>
      </c>
      <c r="M2036" t="s">
        <v>1093</v>
      </c>
      <c r="N2036" t="s">
        <v>1099</v>
      </c>
      <c r="O2036">
        <f>Table1[[#This Row],[Unit_Price]]*Table1[[#This Row],[Quantity]]</f>
        <v>190</v>
      </c>
    </row>
    <row r="2037" spans="1:15" x14ac:dyDescent="0.3">
      <c r="A2037" t="s">
        <v>3823</v>
      </c>
      <c r="B2037" t="s">
        <v>2516</v>
      </c>
      <c r="C2037" t="s">
        <v>169</v>
      </c>
      <c r="D2037" t="s">
        <v>1071</v>
      </c>
      <c r="E2037">
        <v>2</v>
      </c>
      <c r="F2037">
        <f>_xlfn.XLOOKUP(Table1[[#This Row],[ProductID]],Products!A:A,Products!D:D,,0)</f>
        <v>125</v>
      </c>
      <c r="I2037">
        <v>399</v>
      </c>
      <c r="J2037">
        <v>399</v>
      </c>
      <c r="K2037" t="s">
        <v>1102</v>
      </c>
      <c r="L2037">
        <v>798</v>
      </c>
      <c r="M2037" t="s">
        <v>1098</v>
      </c>
      <c r="N2037" t="s">
        <v>1099</v>
      </c>
      <c r="O2037">
        <f>Table1[[#This Row],[Unit_Price]]*Table1[[#This Row],[Quantity]]</f>
        <v>250</v>
      </c>
    </row>
    <row r="2038" spans="1:15" x14ac:dyDescent="0.3">
      <c r="A2038" t="s">
        <v>3824</v>
      </c>
      <c r="B2038" t="s">
        <v>1234</v>
      </c>
      <c r="C2038" t="s">
        <v>715</v>
      </c>
      <c r="D2038" t="s">
        <v>1062</v>
      </c>
      <c r="E2038">
        <v>1</v>
      </c>
      <c r="F2038">
        <f>_xlfn.XLOOKUP(Table1[[#This Row],[ProductID]],Products!A:A,Products!D:D,,0)</f>
        <v>95</v>
      </c>
      <c r="I2038">
        <v>349</v>
      </c>
      <c r="J2038">
        <v>279</v>
      </c>
      <c r="K2038" t="s">
        <v>1097</v>
      </c>
      <c r="L2038">
        <v>279</v>
      </c>
      <c r="M2038" t="s">
        <v>1093</v>
      </c>
      <c r="N2038" t="s">
        <v>1099</v>
      </c>
      <c r="O2038">
        <f>Table1[[#This Row],[Unit_Price]]*Table1[[#This Row],[Quantity]]</f>
        <v>95</v>
      </c>
    </row>
    <row r="2039" spans="1:15" x14ac:dyDescent="0.3">
      <c r="A2039" t="s">
        <v>3825</v>
      </c>
      <c r="B2039" t="s">
        <v>3826</v>
      </c>
      <c r="C2039" t="s">
        <v>929</v>
      </c>
      <c r="D2039" t="s">
        <v>1071</v>
      </c>
      <c r="E2039">
        <v>2</v>
      </c>
      <c r="F2039">
        <f>_xlfn.XLOOKUP(Table1[[#This Row],[ProductID]],Products!A:A,Products!D:D,,0)</f>
        <v>125</v>
      </c>
      <c r="I2039">
        <v>399</v>
      </c>
      <c r="J2039">
        <v>319</v>
      </c>
      <c r="K2039" t="s">
        <v>1097</v>
      </c>
      <c r="L2039">
        <v>638</v>
      </c>
      <c r="M2039" t="s">
        <v>1098</v>
      </c>
      <c r="N2039" t="s">
        <v>1099</v>
      </c>
      <c r="O2039">
        <f>Table1[[#This Row],[Unit_Price]]*Table1[[#This Row],[Quantity]]</f>
        <v>250</v>
      </c>
    </row>
    <row r="2040" spans="1:15" x14ac:dyDescent="0.3">
      <c r="A2040" t="s">
        <v>3827</v>
      </c>
      <c r="B2040" t="s">
        <v>2859</v>
      </c>
      <c r="C2040" t="s">
        <v>643</v>
      </c>
      <c r="D2040" t="s">
        <v>1048</v>
      </c>
      <c r="E2040">
        <v>2</v>
      </c>
      <c r="F2040">
        <f>_xlfn.XLOOKUP(Table1[[#This Row],[ProductID]],Products!A:A,Products!D:D,,0)</f>
        <v>120</v>
      </c>
      <c r="I2040">
        <v>599</v>
      </c>
      <c r="J2040">
        <v>479</v>
      </c>
      <c r="K2040" t="s">
        <v>1097</v>
      </c>
      <c r="L2040">
        <v>958</v>
      </c>
      <c r="M2040" t="s">
        <v>1098</v>
      </c>
      <c r="N2040" t="s">
        <v>1099</v>
      </c>
      <c r="O2040">
        <f>Table1[[#This Row],[Unit_Price]]*Table1[[#This Row],[Quantity]]</f>
        <v>240</v>
      </c>
    </row>
    <row r="2041" spans="1:15" x14ac:dyDescent="0.3">
      <c r="A2041" t="s">
        <v>3828</v>
      </c>
      <c r="B2041" t="s">
        <v>1920</v>
      </c>
      <c r="C2041" t="s">
        <v>653</v>
      </c>
      <c r="D2041" t="s">
        <v>1078</v>
      </c>
      <c r="E2041">
        <v>3</v>
      </c>
      <c r="F2041">
        <f>_xlfn.XLOOKUP(Table1[[#This Row],[ProductID]],Products!A:A,Products!D:D,,0)</f>
        <v>80</v>
      </c>
      <c r="I2041">
        <v>499</v>
      </c>
      <c r="J2041">
        <v>499</v>
      </c>
      <c r="K2041" t="s">
        <v>1102</v>
      </c>
      <c r="L2041">
        <v>1497</v>
      </c>
      <c r="M2041" t="s">
        <v>1093</v>
      </c>
      <c r="N2041" t="s">
        <v>1123</v>
      </c>
      <c r="O2041">
        <f>Table1[[#This Row],[Unit_Price]]*Table1[[#This Row],[Quantity]]</f>
        <v>240</v>
      </c>
    </row>
    <row r="2042" spans="1:15" x14ac:dyDescent="0.3">
      <c r="A2042" t="s">
        <v>3829</v>
      </c>
      <c r="B2042" t="s">
        <v>1666</v>
      </c>
      <c r="C2042" t="s">
        <v>355</v>
      </c>
      <c r="D2042" t="s">
        <v>1073</v>
      </c>
      <c r="E2042">
        <v>4</v>
      </c>
      <c r="F2042">
        <f>_xlfn.XLOOKUP(Table1[[#This Row],[ProductID]],Products!A:A,Products!D:D,,0)</f>
        <v>100</v>
      </c>
      <c r="I2042">
        <v>349</v>
      </c>
      <c r="J2042">
        <v>297</v>
      </c>
      <c r="K2042" t="s">
        <v>1092</v>
      </c>
      <c r="L2042">
        <v>1188</v>
      </c>
      <c r="M2042" t="s">
        <v>1098</v>
      </c>
      <c r="N2042" t="s">
        <v>1099</v>
      </c>
      <c r="O2042">
        <f>Table1[[#This Row],[Unit_Price]]*Table1[[#This Row],[Quantity]]</f>
        <v>400</v>
      </c>
    </row>
    <row r="2043" spans="1:15" x14ac:dyDescent="0.3">
      <c r="A2043" t="s">
        <v>3830</v>
      </c>
      <c r="B2043" t="s">
        <v>2862</v>
      </c>
      <c r="C2043" t="s">
        <v>158</v>
      </c>
      <c r="D2043" t="s">
        <v>1059</v>
      </c>
      <c r="E2043">
        <v>1</v>
      </c>
      <c r="F2043">
        <f>_xlfn.XLOOKUP(Table1[[#This Row],[ProductID]],Products!A:A,Products!D:D,,0)</f>
        <v>110</v>
      </c>
      <c r="I2043">
        <v>399</v>
      </c>
      <c r="J2043">
        <v>319</v>
      </c>
      <c r="K2043" t="s">
        <v>1097</v>
      </c>
      <c r="L2043">
        <v>319</v>
      </c>
      <c r="M2043" t="s">
        <v>1098</v>
      </c>
      <c r="N2043" t="s">
        <v>1099</v>
      </c>
      <c r="O2043">
        <f>Table1[[#This Row],[Unit_Price]]*Table1[[#This Row],[Quantity]]</f>
        <v>110</v>
      </c>
    </row>
    <row r="2044" spans="1:15" x14ac:dyDescent="0.3">
      <c r="A2044" t="s">
        <v>3831</v>
      </c>
      <c r="B2044" t="s">
        <v>3220</v>
      </c>
      <c r="C2044" t="s">
        <v>655</v>
      </c>
      <c r="D2044" t="s">
        <v>1075</v>
      </c>
      <c r="E2044">
        <v>3</v>
      </c>
      <c r="F2044">
        <f>_xlfn.XLOOKUP(Table1[[#This Row],[ProductID]],Products!A:A,Products!D:D,,0)</f>
        <v>80</v>
      </c>
      <c r="I2044">
        <v>499</v>
      </c>
      <c r="J2044">
        <v>424</v>
      </c>
      <c r="K2044" t="s">
        <v>1092</v>
      </c>
      <c r="L2044">
        <v>1272</v>
      </c>
      <c r="M2044" t="s">
        <v>1118</v>
      </c>
      <c r="N2044" t="s">
        <v>1099</v>
      </c>
      <c r="O2044">
        <f>Table1[[#This Row],[Unit_Price]]*Table1[[#This Row],[Quantity]]</f>
        <v>240</v>
      </c>
    </row>
    <row r="2045" spans="1:15" x14ac:dyDescent="0.3">
      <c r="A2045" t="s">
        <v>3832</v>
      </c>
      <c r="B2045" t="s">
        <v>1449</v>
      </c>
      <c r="C2045" t="s">
        <v>945</v>
      </c>
      <c r="D2045" t="s">
        <v>1053</v>
      </c>
      <c r="E2045">
        <v>3</v>
      </c>
      <c r="F2045">
        <f>_xlfn.XLOOKUP(Table1[[#This Row],[ProductID]],Products!A:A,Products!D:D,,0)</f>
        <v>200</v>
      </c>
      <c r="I2045">
        <v>899</v>
      </c>
      <c r="J2045">
        <v>764</v>
      </c>
      <c r="K2045" t="s">
        <v>1092</v>
      </c>
      <c r="L2045">
        <v>2292</v>
      </c>
      <c r="M2045" t="s">
        <v>1093</v>
      </c>
      <c r="N2045" t="s">
        <v>1094</v>
      </c>
      <c r="O2045">
        <f>Table1[[#This Row],[Unit_Price]]*Table1[[#This Row],[Quantity]]</f>
        <v>600</v>
      </c>
    </row>
    <row r="2046" spans="1:15" x14ac:dyDescent="0.3">
      <c r="A2046" t="s">
        <v>3833</v>
      </c>
      <c r="B2046" t="s">
        <v>1290</v>
      </c>
      <c r="C2046" t="s">
        <v>337</v>
      </c>
      <c r="D2046" t="s">
        <v>1073</v>
      </c>
      <c r="E2046">
        <v>2</v>
      </c>
      <c r="F2046">
        <f>_xlfn.XLOOKUP(Table1[[#This Row],[ProductID]],Products!A:A,Products!D:D,,0)</f>
        <v>100</v>
      </c>
      <c r="I2046">
        <v>349</v>
      </c>
      <c r="J2046">
        <v>349</v>
      </c>
      <c r="K2046" t="s">
        <v>1102</v>
      </c>
      <c r="L2046">
        <v>698</v>
      </c>
      <c r="M2046" t="s">
        <v>1098</v>
      </c>
      <c r="N2046" t="s">
        <v>1099</v>
      </c>
      <c r="O2046">
        <f>Table1[[#This Row],[Unit_Price]]*Table1[[#This Row],[Quantity]]</f>
        <v>200</v>
      </c>
    </row>
    <row r="2047" spans="1:15" x14ac:dyDescent="0.3">
      <c r="A2047" t="s">
        <v>3834</v>
      </c>
      <c r="B2047" t="s">
        <v>1963</v>
      </c>
      <c r="C2047" t="s">
        <v>823</v>
      </c>
      <c r="D2047" t="s">
        <v>1059</v>
      </c>
      <c r="E2047">
        <v>1</v>
      </c>
      <c r="F2047">
        <f>_xlfn.XLOOKUP(Table1[[#This Row],[ProductID]],Products!A:A,Products!D:D,,0)</f>
        <v>110</v>
      </c>
      <c r="I2047">
        <v>399</v>
      </c>
      <c r="J2047">
        <v>339</v>
      </c>
      <c r="K2047" t="s">
        <v>1092</v>
      </c>
      <c r="L2047">
        <v>339</v>
      </c>
      <c r="M2047" t="s">
        <v>1093</v>
      </c>
      <c r="N2047" t="s">
        <v>1094</v>
      </c>
      <c r="O2047">
        <f>Table1[[#This Row],[Unit_Price]]*Table1[[#This Row],[Quantity]]</f>
        <v>110</v>
      </c>
    </row>
    <row r="2048" spans="1:15" x14ac:dyDescent="0.3">
      <c r="A2048" t="s">
        <v>3835</v>
      </c>
      <c r="B2048" t="s">
        <v>1266</v>
      </c>
      <c r="C2048" t="s">
        <v>25</v>
      </c>
      <c r="D2048" t="s">
        <v>1075</v>
      </c>
      <c r="E2048">
        <v>2</v>
      </c>
      <c r="F2048">
        <f>_xlfn.XLOOKUP(Table1[[#This Row],[ProductID]],Products!A:A,Products!D:D,,0)</f>
        <v>80</v>
      </c>
      <c r="I2048">
        <v>499</v>
      </c>
      <c r="J2048">
        <v>499</v>
      </c>
      <c r="K2048" t="s">
        <v>1102</v>
      </c>
      <c r="L2048">
        <v>998</v>
      </c>
      <c r="M2048" t="s">
        <v>1126</v>
      </c>
      <c r="N2048" t="s">
        <v>1099</v>
      </c>
      <c r="O2048">
        <f>Table1[[#This Row],[Unit_Price]]*Table1[[#This Row],[Quantity]]</f>
        <v>160</v>
      </c>
    </row>
    <row r="2049" spans="1:15" x14ac:dyDescent="0.3">
      <c r="A2049" t="s">
        <v>3836</v>
      </c>
      <c r="B2049" t="s">
        <v>2231</v>
      </c>
      <c r="C2049" t="s">
        <v>83</v>
      </c>
      <c r="D2049" t="s">
        <v>1062</v>
      </c>
      <c r="E2049">
        <v>1</v>
      </c>
      <c r="F2049">
        <f>_xlfn.XLOOKUP(Table1[[#This Row],[ProductID]],Products!A:A,Products!D:D,,0)</f>
        <v>95</v>
      </c>
      <c r="I2049">
        <v>349</v>
      </c>
      <c r="J2049">
        <v>297</v>
      </c>
      <c r="K2049" t="s">
        <v>1092</v>
      </c>
      <c r="L2049">
        <v>297</v>
      </c>
      <c r="M2049" t="s">
        <v>1126</v>
      </c>
      <c r="N2049" t="s">
        <v>1099</v>
      </c>
      <c r="O2049">
        <f>Table1[[#This Row],[Unit_Price]]*Table1[[#This Row],[Quantity]]</f>
        <v>95</v>
      </c>
    </row>
    <row r="2050" spans="1:15" x14ac:dyDescent="0.3">
      <c r="A2050" t="s">
        <v>3837</v>
      </c>
      <c r="B2050" t="s">
        <v>1438</v>
      </c>
      <c r="C2050" t="s">
        <v>311</v>
      </c>
      <c r="D2050" t="s">
        <v>1055</v>
      </c>
      <c r="E2050">
        <v>1</v>
      </c>
      <c r="F2050">
        <f>_xlfn.XLOOKUP(Table1[[#This Row],[ProductID]],Products!A:A,Products!D:D,,0)</f>
        <v>75</v>
      </c>
      <c r="I2050">
        <v>299</v>
      </c>
      <c r="J2050">
        <v>239</v>
      </c>
      <c r="K2050" t="s">
        <v>1097</v>
      </c>
      <c r="L2050">
        <v>239</v>
      </c>
      <c r="M2050" t="s">
        <v>1093</v>
      </c>
      <c r="N2050" t="s">
        <v>1099</v>
      </c>
      <c r="O2050">
        <f>Table1[[#This Row],[Unit_Price]]*Table1[[#This Row],[Quantity]]</f>
        <v>75</v>
      </c>
    </row>
    <row r="2051" spans="1:15" x14ac:dyDescent="0.3">
      <c r="A2051" t="s">
        <v>3838</v>
      </c>
      <c r="B2051" t="s">
        <v>3265</v>
      </c>
      <c r="C2051" t="s">
        <v>951</v>
      </c>
      <c r="D2051" t="s">
        <v>1053</v>
      </c>
      <c r="E2051">
        <v>3</v>
      </c>
      <c r="F2051">
        <f>_xlfn.XLOOKUP(Table1[[#This Row],[ProductID]],Products!A:A,Products!D:D,,0)</f>
        <v>200</v>
      </c>
      <c r="I2051">
        <v>899</v>
      </c>
      <c r="J2051">
        <v>809</v>
      </c>
      <c r="K2051" t="s">
        <v>1107</v>
      </c>
      <c r="L2051">
        <v>2427</v>
      </c>
      <c r="M2051" t="s">
        <v>1098</v>
      </c>
      <c r="N2051" t="s">
        <v>1099</v>
      </c>
      <c r="O2051">
        <f>Table1[[#This Row],[Unit_Price]]*Table1[[#This Row],[Quantity]]</f>
        <v>600</v>
      </c>
    </row>
    <row r="2052" spans="1:15" x14ac:dyDescent="0.3">
      <c r="A2052" t="s">
        <v>3839</v>
      </c>
      <c r="B2052" t="s">
        <v>1572</v>
      </c>
      <c r="C2052" t="s">
        <v>387</v>
      </c>
      <c r="D2052" t="s">
        <v>1075</v>
      </c>
      <c r="E2052">
        <v>1</v>
      </c>
      <c r="F2052">
        <f>_xlfn.XLOOKUP(Table1[[#This Row],[ProductID]],Products!A:A,Products!D:D,,0)</f>
        <v>80</v>
      </c>
      <c r="I2052">
        <v>499</v>
      </c>
      <c r="J2052">
        <v>399</v>
      </c>
      <c r="K2052" t="s">
        <v>1097</v>
      </c>
      <c r="L2052">
        <v>399</v>
      </c>
      <c r="M2052" t="s">
        <v>1126</v>
      </c>
      <c r="N2052" t="s">
        <v>1099</v>
      </c>
      <c r="O2052">
        <f>Table1[[#This Row],[Unit_Price]]*Table1[[#This Row],[Quantity]]</f>
        <v>80</v>
      </c>
    </row>
    <row r="2053" spans="1:15" x14ac:dyDescent="0.3">
      <c r="A2053" t="s">
        <v>3840</v>
      </c>
      <c r="B2053" t="s">
        <v>1252</v>
      </c>
      <c r="C2053" t="s">
        <v>507</v>
      </c>
      <c r="D2053" t="s">
        <v>1059</v>
      </c>
      <c r="E2053">
        <v>2</v>
      </c>
      <c r="F2053">
        <f>_xlfn.XLOOKUP(Table1[[#This Row],[ProductID]],Products!A:A,Products!D:D,,0)</f>
        <v>110</v>
      </c>
      <c r="I2053">
        <v>399</v>
      </c>
      <c r="J2053">
        <v>339</v>
      </c>
      <c r="K2053" t="s">
        <v>1092</v>
      </c>
      <c r="L2053">
        <v>678</v>
      </c>
      <c r="M2053" t="s">
        <v>1093</v>
      </c>
      <c r="N2053" t="s">
        <v>1099</v>
      </c>
      <c r="O2053">
        <f>Table1[[#This Row],[Unit_Price]]*Table1[[#This Row],[Quantity]]</f>
        <v>220</v>
      </c>
    </row>
    <row r="2054" spans="1:15" x14ac:dyDescent="0.3">
      <c r="A2054" t="s">
        <v>3841</v>
      </c>
      <c r="B2054" t="s">
        <v>1250</v>
      </c>
      <c r="C2054" t="s">
        <v>539</v>
      </c>
      <c r="D2054" t="s">
        <v>1073</v>
      </c>
      <c r="E2054">
        <v>3</v>
      </c>
      <c r="F2054">
        <f>_xlfn.XLOOKUP(Table1[[#This Row],[ProductID]],Products!A:A,Products!D:D,,0)</f>
        <v>100</v>
      </c>
      <c r="I2054">
        <v>349</v>
      </c>
      <c r="J2054">
        <v>349</v>
      </c>
      <c r="K2054" t="s">
        <v>1102</v>
      </c>
      <c r="L2054">
        <v>1047</v>
      </c>
      <c r="M2054" t="s">
        <v>1098</v>
      </c>
      <c r="N2054" t="s">
        <v>1099</v>
      </c>
      <c r="O2054">
        <f>Table1[[#This Row],[Unit_Price]]*Table1[[#This Row],[Quantity]]</f>
        <v>300</v>
      </c>
    </row>
    <row r="2055" spans="1:15" x14ac:dyDescent="0.3">
      <c r="A2055" t="s">
        <v>3842</v>
      </c>
      <c r="B2055" t="s">
        <v>1612</v>
      </c>
      <c r="C2055" t="s">
        <v>583</v>
      </c>
      <c r="D2055" t="s">
        <v>1068</v>
      </c>
      <c r="E2055">
        <v>3</v>
      </c>
      <c r="F2055">
        <f>_xlfn.XLOOKUP(Table1[[#This Row],[ProductID]],Products!A:A,Products!D:D,,0)</f>
        <v>180</v>
      </c>
      <c r="I2055">
        <v>449</v>
      </c>
      <c r="J2055">
        <v>382</v>
      </c>
      <c r="K2055" t="s">
        <v>1092</v>
      </c>
      <c r="L2055">
        <v>1146</v>
      </c>
      <c r="M2055" t="s">
        <v>1126</v>
      </c>
      <c r="N2055" t="s">
        <v>1099</v>
      </c>
      <c r="O2055">
        <f>Table1[[#This Row],[Unit_Price]]*Table1[[#This Row],[Quantity]]</f>
        <v>540</v>
      </c>
    </row>
    <row r="2056" spans="1:15" x14ac:dyDescent="0.3">
      <c r="A2056" t="s">
        <v>3843</v>
      </c>
      <c r="B2056" t="s">
        <v>1138</v>
      </c>
      <c r="C2056" t="s">
        <v>819</v>
      </c>
      <c r="D2056" t="s">
        <v>1048</v>
      </c>
      <c r="E2056">
        <v>1</v>
      </c>
      <c r="F2056">
        <f>_xlfn.XLOOKUP(Table1[[#This Row],[ProductID]],Products!A:A,Products!D:D,,0)</f>
        <v>120</v>
      </c>
      <c r="I2056">
        <v>599</v>
      </c>
      <c r="J2056">
        <v>599</v>
      </c>
      <c r="K2056" t="s">
        <v>1102</v>
      </c>
      <c r="L2056">
        <v>599</v>
      </c>
      <c r="M2056" t="s">
        <v>1093</v>
      </c>
      <c r="N2056" t="s">
        <v>1094</v>
      </c>
      <c r="O2056">
        <f>Table1[[#This Row],[Unit_Price]]*Table1[[#This Row],[Quantity]]</f>
        <v>120</v>
      </c>
    </row>
    <row r="2057" spans="1:15" x14ac:dyDescent="0.3">
      <c r="A2057" t="s">
        <v>3844</v>
      </c>
      <c r="B2057" t="s">
        <v>1715</v>
      </c>
      <c r="C2057" t="s">
        <v>895</v>
      </c>
      <c r="D2057" t="s">
        <v>1062</v>
      </c>
      <c r="E2057">
        <v>3</v>
      </c>
      <c r="F2057">
        <f>_xlfn.XLOOKUP(Table1[[#This Row],[ProductID]],Products!A:A,Products!D:D,,0)</f>
        <v>95</v>
      </c>
      <c r="I2057">
        <v>349</v>
      </c>
      <c r="J2057">
        <v>314</v>
      </c>
      <c r="K2057" t="s">
        <v>1107</v>
      </c>
      <c r="L2057">
        <v>942</v>
      </c>
      <c r="M2057" t="s">
        <v>1098</v>
      </c>
      <c r="N2057" t="s">
        <v>1099</v>
      </c>
      <c r="O2057">
        <f>Table1[[#This Row],[Unit_Price]]*Table1[[#This Row],[Quantity]]</f>
        <v>285</v>
      </c>
    </row>
    <row r="2058" spans="1:15" x14ac:dyDescent="0.3">
      <c r="A2058" t="s">
        <v>3845</v>
      </c>
      <c r="B2058" t="s">
        <v>1597</v>
      </c>
      <c r="C2058" t="s">
        <v>136</v>
      </c>
      <c r="D2058" t="s">
        <v>1053</v>
      </c>
      <c r="E2058">
        <v>1</v>
      </c>
      <c r="F2058">
        <f>_xlfn.XLOOKUP(Table1[[#This Row],[ProductID]],Products!A:A,Products!D:D,,0)</f>
        <v>200</v>
      </c>
      <c r="I2058">
        <v>899</v>
      </c>
      <c r="J2058">
        <v>899</v>
      </c>
      <c r="K2058" t="s">
        <v>1102</v>
      </c>
      <c r="L2058">
        <v>899</v>
      </c>
      <c r="M2058" t="s">
        <v>1098</v>
      </c>
      <c r="N2058" t="s">
        <v>1099</v>
      </c>
      <c r="O2058">
        <f>Table1[[#This Row],[Unit_Price]]*Table1[[#This Row],[Quantity]]</f>
        <v>200</v>
      </c>
    </row>
    <row r="2059" spans="1:15" x14ac:dyDescent="0.3">
      <c r="A2059" t="s">
        <v>3846</v>
      </c>
      <c r="B2059" t="s">
        <v>3847</v>
      </c>
      <c r="C2059" t="s">
        <v>887</v>
      </c>
      <c r="D2059" t="s">
        <v>1078</v>
      </c>
      <c r="E2059">
        <v>1</v>
      </c>
      <c r="F2059">
        <f>_xlfn.XLOOKUP(Table1[[#This Row],[ProductID]],Products!A:A,Products!D:D,,0)</f>
        <v>80</v>
      </c>
      <c r="I2059">
        <v>499</v>
      </c>
      <c r="J2059">
        <v>424</v>
      </c>
      <c r="K2059" t="s">
        <v>1092</v>
      </c>
      <c r="L2059">
        <v>424</v>
      </c>
      <c r="M2059" t="s">
        <v>1098</v>
      </c>
      <c r="N2059" t="s">
        <v>1099</v>
      </c>
      <c r="O2059">
        <f>Table1[[#This Row],[Unit_Price]]*Table1[[#This Row],[Quantity]]</f>
        <v>80</v>
      </c>
    </row>
    <row r="2060" spans="1:15" x14ac:dyDescent="0.3">
      <c r="A2060" t="s">
        <v>3848</v>
      </c>
      <c r="B2060" t="s">
        <v>1404</v>
      </c>
      <c r="C2060" t="s">
        <v>29</v>
      </c>
      <c r="D2060" t="s">
        <v>1055</v>
      </c>
      <c r="E2060">
        <v>2</v>
      </c>
      <c r="F2060">
        <f>_xlfn.XLOOKUP(Table1[[#This Row],[ProductID]],Products!A:A,Products!D:D,,0)</f>
        <v>75</v>
      </c>
      <c r="I2060">
        <v>299</v>
      </c>
      <c r="J2060">
        <v>299</v>
      </c>
      <c r="K2060" t="s">
        <v>1102</v>
      </c>
      <c r="L2060">
        <v>598</v>
      </c>
      <c r="M2060" t="s">
        <v>1098</v>
      </c>
      <c r="N2060" t="s">
        <v>1099</v>
      </c>
      <c r="O2060">
        <f>Table1[[#This Row],[Unit_Price]]*Table1[[#This Row],[Quantity]]</f>
        <v>150</v>
      </c>
    </row>
    <row r="2061" spans="1:15" x14ac:dyDescent="0.3">
      <c r="A2061" t="s">
        <v>3849</v>
      </c>
      <c r="B2061" t="s">
        <v>1377</v>
      </c>
      <c r="C2061" t="s">
        <v>1001</v>
      </c>
      <c r="D2061" t="s">
        <v>1053</v>
      </c>
      <c r="E2061">
        <v>1</v>
      </c>
      <c r="F2061">
        <f>_xlfn.XLOOKUP(Table1[[#This Row],[ProductID]],Products!A:A,Products!D:D,,0)</f>
        <v>200</v>
      </c>
      <c r="I2061">
        <v>899</v>
      </c>
      <c r="J2061">
        <v>809</v>
      </c>
      <c r="K2061" t="s">
        <v>1107</v>
      </c>
      <c r="L2061">
        <v>809</v>
      </c>
      <c r="M2061" t="s">
        <v>1093</v>
      </c>
      <c r="N2061" t="s">
        <v>1123</v>
      </c>
      <c r="O2061">
        <f>Table1[[#This Row],[Unit_Price]]*Table1[[#This Row],[Quantity]]</f>
        <v>200</v>
      </c>
    </row>
    <row r="2062" spans="1:15" x14ac:dyDescent="0.3">
      <c r="A2062" t="s">
        <v>3850</v>
      </c>
      <c r="B2062" t="s">
        <v>2174</v>
      </c>
      <c r="C2062" t="s">
        <v>955</v>
      </c>
      <c r="D2062" t="s">
        <v>1051</v>
      </c>
      <c r="E2062">
        <v>3</v>
      </c>
      <c r="F2062">
        <f>_xlfn.XLOOKUP(Table1[[#This Row],[ProductID]],Products!A:A,Products!D:D,,0)</f>
        <v>150</v>
      </c>
      <c r="I2062">
        <v>499</v>
      </c>
      <c r="J2062">
        <v>499</v>
      </c>
      <c r="K2062" t="s">
        <v>1102</v>
      </c>
      <c r="L2062">
        <v>1497</v>
      </c>
      <c r="M2062" t="s">
        <v>1093</v>
      </c>
      <c r="N2062" t="s">
        <v>1099</v>
      </c>
      <c r="O2062">
        <f>Table1[[#This Row],[Unit_Price]]*Table1[[#This Row],[Quantity]]</f>
        <v>450</v>
      </c>
    </row>
    <row r="2063" spans="1:15" x14ac:dyDescent="0.3">
      <c r="A2063" t="s">
        <v>3851</v>
      </c>
      <c r="B2063" t="s">
        <v>2658</v>
      </c>
      <c r="C2063" t="s">
        <v>183</v>
      </c>
      <c r="D2063" t="s">
        <v>1059</v>
      </c>
      <c r="E2063">
        <v>1</v>
      </c>
      <c r="F2063">
        <f>_xlfn.XLOOKUP(Table1[[#This Row],[ProductID]],Products!A:A,Products!D:D,,0)</f>
        <v>110</v>
      </c>
      <c r="I2063">
        <v>399</v>
      </c>
      <c r="J2063">
        <v>339</v>
      </c>
      <c r="K2063" t="s">
        <v>1092</v>
      </c>
      <c r="L2063">
        <v>339</v>
      </c>
      <c r="M2063" t="s">
        <v>1093</v>
      </c>
      <c r="N2063" t="s">
        <v>1099</v>
      </c>
      <c r="O2063">
        <f>Table1[[#This Row],[Unit_Price]]*Table1[[#This Row],[Quantity]]</f>
        <v>110</v>
      </c>
    </row>
    <row r="2064" spans="1:15" x14ac:dyDescent="0.3">
      <c r="A2064" t="s">
        <v>3852</v>
      </c>
      <c r="B2064" t="s">
        <v>2434</v>
      </c>
      <c r="C2064" t="s">
        <v>114</v>
      </c>
      <c r="D2064" t="s">
        <v>1080</v>
      </c>
      <c r="E2064">
        <v>1</v>
      </c>
      <c r="F2064">
        <f>_xlfn.XLOOKUP(Table1[[#This Row],[ProductID]],Products!A:A,Products!D:D,,0)</f>
        <v>45</v>
      </c>
      <c r="I2064">
        <v>249</v>
      </c>
      <c r="J2064">
        <v>199</v>
      </c>
      <c r="K2064" t="s">
        <v>1097</v>
      </c>
      <c r="L2064">
        <v>199</v>
      </c>
      <c r="M2064" t="s">
        <v>1093</v>
      </c>
      <c r="N2064" t="s">
        <v>1123</v>
      </c>
      <c r="O2064">
        <f>Table1[[#This Row],[Unit_Price]]*Table1[[#This Row],[Quantity]]</f>
        <v>45</v>
      </c>
    </row>
    <row r="2065" spans="1:15" x14ac:dyDescent="0.3">
      <c r="A2065" t="s">
        <v>3853</v>
      </c>
      <c r="B2065" t="s">
        <v>1987</v>
      </c>
      <c r="C2065" t="s">
        <v>687</v>
      </c>
      <c r="D2065" t="s">
        <v>1048</v>
      </c>
      <c r="E2065">
        <v>1</v>
      </c>
      <c r="F2065">
        <f>_xlfn.XLOOKUP(Table1[[#This Row],[ProductID]],Products!A:A,Products!D:D,,0)</f>
        <v>120</v>
      </c>
      <c r="I2065">
        <v>599</v>
      </c>
      <c r="J2065">
        <v>599</v>
      </c>
      <c r="K2065" t="s">
        <v>1102</v>
      </c>
      <c r="L2065">
        <v>599</v>
      </c>
      <c r="M2065" t="s">
        <v>1093</v>
      </c>
      <c r="N2065" t="s">
        <v>1099</v>
      </c>
      <c r="O2065">
        <f>Table1[[#This Row],[Unit_Price]]*Table1[[#This Row],[Quantity]]</f>
        <v>120</v>
      </c>
    </row>
    <row r="2066" spans="1:15" x14ac:dyDescent="0.3">
      <c r="A2066" t="s">
        <v>3854</v>
      </c>
      <c r="B2066" t="s">
        <v>1325</v>
      </c>
      <c r="C2066" t="s">
        <v>363</v>
      </c>
      <c r="D2066" t="s">
        <v>1051</v>
      </c>
      <c r="E2066">
        <v>3</v>
      </c>
      <c r="F2066">
        <f>_xlfn.XLOOKUP(Table1[[#This Row],[ProductID]],Products!A:A,Products!D:D,,0)</f>
        <v>150</v>
      </c>
      <c r="I2066">
        <v>499</v>
      </c>
      <c r="J2066">
        <v>424</v>
      </c>
      <c r="K2066" t="s">
        <v>1092</v>
      </c>
      <c r="L2066">
        <v>1272</v>
      </c>
      <c r="M2066" t="s">
        <v>1098</v>
      </c>
      <c r="N2066" t="s">
        <v>1099</v>
      </c>
      <c r="O2066">
        <f>Table1[[#This Row],[Unit_Price]]*Table1[[#This Row],[Quantity]]</f>
        <v>450</v>
      </c>
    </row>
    <row r="2067" spans="1:15" x14ac:dyDescent="0.3">
      <c r="A2067" t="s">
        <v>3855</v>
      </c>
      <c r="B2067" t="s">
        <v>1300</v>
      </c>
      <c r="C2067" t="s">
        <v>160</v>
      </c>
      <c r="D2067" t="s">
        <v>1059</v>
      </c>
      <c r="E2067">
        <v>3</v>
      </c>
      <c r="F2067">
        <f>_xlfn.XLOOKUP(Table1[[#This Row],[ProductID]],Products!A:A,Products!D:D,,0)</f>
        <v>110</v>
      </c>
      <c r="I2067">
        <v>399</v>
      </c>
      <c r="J2067">
        <v>359</v>
      </c>
      <c r="K2067" t="s">
        <v>1107</v>
      </c>
      <c r="L2067">
        <v>1077</v>
      </c>
      <c r="M2067" t="s">
        <v>1098</v>
      </c>
      <c r="N2067" t="s">
        <v>1099</v>
      </c>
      <c r="O2067">
        <f>Table1[[#This Row],[Unit_Price]]*Table1[[#This Row],[Quantity]]</f>
        <v>330</v>
      </c>
    </row>
    <row r="2068" spans="1:15" x14ac:dyDescent="0.3">
      <c r="A2068" t="s">
        <v>3856</v>
      </c>
      <c r="B2068" t="s">
        <v>2316</v>
      </c>
      <c r="C2068" t="s">
        <v>523</v>
      </c>
      <c r="D2068" t="s">
        <v>1075</v>
      </c>
      <c r="E2068">
        <v>1</v>
      </c>
      <c r="F2068">
        <f>_xlfn.XLOOKUP(Table1[[#This Row],[ProductID]],Products!A:A,Products!D:D,,0)</f>
        <v>80</v>
      </c>
      <c r="I2068">
        <v>499</v>
      </c>
      <c r="J2068">
        <v>499</v>
      </c>
      <c r="K2068" t="s">
        <v>1102</v>
      </c>
      <c r="L2068">
        <v>499</v>
      </c>
      <c r="M2068" t="s">
        <v>1098</v>
      </c>
      <c r="N2068" t="s">
        <v>1099</v>
      </c>
      <c r="O2068">
        <f>Table1[[#This Row],[Unit_Price]]*Table1[[#This Row],[Quantity]]</f>
        <v>80</v>
      </c>
    </row>
    <row r="2069" spans="1:15" x14ac:dyDescent="0.3">
      <c r="A2069" t="s">
        <v>3857</v>
      </c>
      <c r="B2069" t="s">
        <v>2187</v>
      </c>
      <c r="C2069" t="s">
        <v>76</v>
      </c>
      <c r="D2069" t="s">
        <v>1059</v>
      </c>
      <c r="E2069">
        <v>1</v>
      </c>
      <c r="F2069">
        <f>_xlfn.XLOOKUP(Table1[[#This Row],[ProductID]],Products!A:A,Products!D:D,,0)</f>
        <v>110</v>
      </c>
      <c r="I2069">
        <v>399</v>
      </c>
      <c r="J2069">
        <v>399</v>
      </c>
      <c r="K2069" t="s">
        <v>1102</v>
      </c>
      <c r="L2069">
        <v>399</v>
      </c>
      <c r="M2069" t="s">
        <v>1098</v>
      </c>
      <c r="N2069" t="s">
        <v>1099</v>
      </c>
      <c r="O2069">
        <f>Table1[[#This Row],[Unit_Price]]*Table1[[#This Row],[Quantity]]</f>
        <v>110</v>
      </c>
    </row>
    <row r="2070" spans="1:15" x14ac:dyDescent="0.3">
      <c r="A2070" t="s">
        <v>3858</v>
      </c>
      <c r="B2070" t="s">
        <v>2934</v>
      </c>
      <c r="C2070" t="s">
        <v>713</v>
      </c>
      <c r="D2070" t="s">
        <v>1057</v>
      </c>
      <c r="E2070">
        <v>2</v>
      </c>
      <c r="F2070">
        <f>_xlfn.XLOOKUP(Table1[[#This Row],[ProductID]],Products!A:A,Products!D:D,,0)</f>
        <v>130</v>
      </c>
      <c r="I2070">
        <v>549</v>
      </c>
      <c r="J2070">
        <v>439</v>
      </c>
      <c r="K2070" t="s">
        <v>1097</v>
      </c>
      <c r="L2070">
        <v>878</v>
      </c>
      <c r="M2070" t="s">
        <v>1098</v>
      </c>
      <c r="N2070" t="s">
        <v>1099</v>
      </c>
      <c r="O2070">
        <f>Table1[[#This Row],[Unit_Price]]*Table1[[#This Row],[Quantity]]</f>
        <v>260</v>
      </c>
    </row>
    <row r="2071" spans="1:15" x14ac:dyDescent="0.3">
      <c r="A2071" t="s">
        <v>3859</v>
      </c>
      <c r="B2071" t="s">
        <v>2686</v>
      </c>
      <c r="C2071" t="s">
        <v>1011</v>
      </c>
      <c r="D2071" t="s">
        <v>1068</v>
      </c>
      <c r="E2071">
        <v>1</v>
      </c>
      <c r="F2071">
        <f>_xlfn.XLOOKUP(Table1[[#This Row],[ProductID]],Products!A:A,Products!D:D,,0)</f>
        <v>180</v>
      </c>
      <c r="I2071">
        <v>449</v>
      </c>
      <c r="J2071">
        <v>449</v>
      </c>
      <c r="K2071" t="s">
        <v>1102</v>
      </c>
      <c r="L2071">
        <v>449</v>
      </c>
      <c r="M2071" t="s">
        <v>1093</v>
      </c>
      <c r="N2071" t="s">
        <v>1094</v>
      </c>
      <c r="O2071">
        <f>Table1[[#This Row],[Unit_Price]]*Table1[[#This Row],[Quantity]]</f>
        <v>180</v>
      </c>
    </row>
    <row r="2072" spans="1:15" x14ac:dyDescent="0.3">
      <c r="A2072" t="s">
        <v>3860</v>
      </c>
      <c r="B2072" t="s">
        <v>3265</v>
      </c>
      <c r="C2072" t="s">
        <v>71</v>
      </c>
      <c r="D2072" t="s">
        <v>1053</v>
      </c>
      <c r="E2072">
        <v>1</v>
      </c>
      <c r="F2072">
        <f>_xlfn.XLOOKUP(Table1[[#This Row],[ProductID]],Products!A:A,Products!D:D,,0)</f>
        <v>200</v>
      </c>
      <c r="I2072">
        <v>899</v>
      </c>
      <c r="J2072">
        <v>809</v>
      </c>
      <c r="K2072" t="s">
        <v>1107</v>
      </c>
      <c r="L2072">
        <v>809</v>
      </c>
      <c r="M2072" t="s">
        <v>1093</v>
      </c>
      <c r="N2072" t="s">
        <v>1099</v>
      </c>
      <c r="O2072">
        <f>Table1[[#This Row],[Unit_Price]]*Table1[[#This Row],[Quantity]]</f>
        <v>200</v>
      </c>
    </row>
    <row r="2073" spans="1:15" x14ac:dyDescent="0.3">
      <c r="A2073" t="s">
        <v>3861</v>
      </c>
      <c r="B2073" t="s">
        <v>1811</v>
      </c>
      <c r="C2073" t="s">
        <v>1031</v>
      </c>
      <c r="D2073" t="s">
        <v>1057</v>
      </c>
      <c r="E2073">
        <v>1</v>
      </c>
      <c r="F2073">
        <f>_xlfn.XLOOKUP(Table1[[#This Row],[ProductID]],Products!A:A,Products!D:D,,0)</f>
        <v>130</v>
      </c>
      <c r="I2073">
        <v>549</v>
      </c>
      <c r="J2073">
        <v>439</v>
      </c>
      <c r="K2073" t="s">
        <v>1097</v>
      </c>
      <c r="L2073">
        <v>439</v>
      </c>
      <c r="M2073" t="s">
        <v>1098</v>
      </c>
      <c r="N2073" t="s">
        <v>1099</v>
      </c>
      <c r="O2073">
        <f>Table1[[#This Row],[Unit_Price]]*Table1[[#This Row],[Quantity]]</f>
        <v>130</v>
      </c>
    </row>
    <row r="2074" spans="1:15" x14ac:dyDescent="0.3">
      <c r="A2074" t="s">
        <v>3862</v>
      </c>
      <c r="B2074" t="s">
        <v>3677</v>
      </c>
      <c r="C2074" t="s">
        <v>65</v>
      </c>
      <c r="D2074" t="s">
        <v>1066</v>
      </c>
      <c r="E2074">
        <v>2</v>
      </c>
      <c r="F2074">
        <f>_xlfn.XLOOKUP(Table1[[#This Row],[ProductID]],Products!A:A,Products!D:D,,0)</f>
        <v>140</v>
      </c>
      <c r="I2074">
        <v>499</v>
      </c>
      <c r="J2074">
        <v>424</v>
      </c>
      <c r="K2074" t="s">
        <v>1092</v>
      </c>
      <c r="L2074">
        <v>848</v>
      </c>
      <c r="M2074" t="s">
        <v>1093</v>
      </c>
      <c r="N2074" t="s">
        <v>1099</v>
      </c>
      <c r="O2074">
        <f>Table1[[#This Row],[Unit_Price]]*Table1[[#This Row],[Quantity]]</f>
        <v>280</v>
      </c>
    </row>
    <row r="2075" spans="1:15" x14ac:dyDescent="0.3">
      <c r="A2075" t="s">
        <v>3863</v>
      </c>
      <c r="B2075" t="s">
        <v>1441</v>
      </c>
      <c r="C2075" t="s">
        <v>531</v>
      </c>
      <c r="D2075" t="s">
        <v>1062</v>
      </c>
      <c r="E2075">
        <v>1</v>
      </c>
      <c r="F2075">
        <f>_xlfn.XLOOKUP(Table1[[#This Row],[ProductID]],Products!A:A,Products!D:D,,0)</f>
        <v>95</v>
      </c>
      <c r="I2075">
        <v>349</v>
      </c>
      <c r="J2075">
        <v>349</v>
      </c>
      <c r="K2075" t="s">
        <v>1102</v>
      </c>
      <c r="L2075">
        <v>349</v>
      </c>
      <c r="M2075" t="s">
        <v>1093</v>
      </c>
      <c r="N2075" t="s">
        <v>1099</v>
      </c>
      <c r="O2075">
        <f>Table1[[#This Row],[Unit_Price]]*Table1[[#This Row],[Quantity]]</f>
        <v>95</v>
      </c>
    </row>
    <row r="2076" spans="1:15" x14ac:dyDescent="0.3">
      <c r="A2076" t="s">
        <v>3864</v>
      </c>
      <c r="B2076" t="s">
        <v>3865</v>
      </c>
      <c r="C2076" t="s">
        <v>183</v>
      </c>
      <c r="D2076" t="s">
        <v>1073</v>
      </c>
      <c r="E2076">
        <v>2</v>
      </c>
      <c r="F2076">
        <f>_xlfn.XLOOKUP(Table1[[#This Row],[ProductID]],Products!A:A,Products!D:D,,0)</f>
        <v>100</v>
      </c>
      <c r="I2076">
        <v>349</v>
      </c>
      <c r="J2076">
        <v>314</v>
      </c>
      <c r="K2076" t="s">
        <v>1107</v>
      </c>
      <c r="L2076">
        <v>628</v>
      </c>
      <c r="M2076" t="s">
        <v>1098</v>
      </c>
      <c r="N2076" t="s">
        <v>1099</v>
      </c>
      <c r="O2076">
        <f>Table1[[#This Row],[Unit_Price]]*Table1[[#This Row],[Quantity]]</f>
        <v>200</v>
      </c>
    </row>
    <row r="2077" spans="1:15" x14ac:dyDescent="0.3">
      <c r="A2077" t="s">
        <v>3866</v>
      </c>
      <c r="B2077" t="s">
        <v>2251</v>
      </c>
      <c r="C2077" t="s">
        <v>1031</v>
      </c>
      <c r="D2077" t="s">
        <v>1053</v>
      </c>
      <c r="E2077">
        <v>2</v>
      </c>
      <c r="F2077">
        <f>_xlfn.XLOOKUP(Table1[[#This Row],[ProductID]],Products!A:A,Products!D:D,,0)</f>
        <v>200</v>
      </c>
      <c r="I2077">
        <v>899</v>
      </c>
      <c r="J2077">
        <v>764</v>
      </c>
      <c r="K2077" t="s">
        <v>1092</v>
      </c>
      <c r="L2077">
        <v>1528</v>
      </c>
      <c r="M2077" t="s">
        <v>1098</v>
      </c>
      <c r="N2077" t="s">
        <v>1099</v>
      </c>
      <c r="O2077">
        <f>Table1[[#This Row],[Unit_Price]]*Table1[[#This Row],[Quantity]]</f>
        <v>400</v>
      </c>
    </row>
    <row r="2078" spans="1:15" x14ac:dyDescent="0.3">
      <c r="A2078" t="s">
        <v>3867</v>
      </c>
      <c r="B2078" t="s">
        <v>2333</v>
      </c>
      <c r="C2078" t="s">
        <v>185</v>
      </c>
      <c r="D2078" t="s">
        <v>1062</v>
      </c>
      <c r="E2078">
        <v>3</v>
      </c>
      <c r="F2078">
        <f>_xlfn.XLOOKUP(Table1[[#This Row],[ProductID]],Products!A:A,Products!D:D,,0)</f>
        <v>95</v>
      </c>
      <c r="I2078">
        <v>349</v>
      </c>
      <c r="J2078">
        <v>279</v>
      </c>
      <c r="K2078" t="s">
        <v>1097</v>
      </c>
      <c r="L2078">
        <v>837</v>
      </c>
      <c r="M2078" t="s">
        <v>1126</v>
      </c>
      <c r="N2078" t="s">
        <v>1099</v>
      </c>
      <c r="O2078">
        <f>Table1[[#This Row],[Unit_Price]]*Table1[[#This Row],[Quantity]]</f>
        <v>285</v>
      </c>
    </row>
    <row r="2079" spans="1:15" x14ac:dyDescent="0.3">
      <c r="A2079" t="s">
        <v>3868</v>
      </c>
      <c r="B2079" t="s">
        <v>2727</v>
      </c>
      <c r="C2079" t="s">
        <v>763</v>
      </c>
      <c r="D2079" t="s">
        <v>1071</v>
      </c>
      <c r="E2079">
        <v>1</v>
      </c>
      <c r="F2079">
        <f>_xlfn.XLOOKUP(Table1[[#This Row],[ProductID]],Products!A:A,Products!D:D,,0)</f>
        <v>125</v>
      </c>
      <c r="I2079">
        <v>399</v>
      </c>
      <c r="J2079">
        <v>359</v>
      </c>
      <c r="K2079" t="s">
        <v>1107</v>
      </c>
      <c r="L2079">
        <v>359</v>
      </c>
      <c r="M2079" t="s">
        <v>1093</v>
      </c>
      <c r="N2079" t="s">
        <v>1099</v>
      </c>
      <c r="O2079">
        <f>Table1[[#This Row],[Unit_Price]]*Table1[[#This Row],[Quantity]]</f>
        <v>125</v>
      </c>
    </row>
    <row r="2080" spans="1:15" x14ac:dyDescent="0.3">
      <c r="A2080" t="s">
        <v>3869</v>
      </c>
      <c r="B2080" t="s">
        <v>2187</v>
      </c>
      <c r="C2080" t="s">
        <v>693</v>
      </c>
      <c r="D2080" t="s">
        <v>1064</v>
      </c>
      <c r="E2080">
        <v>1</v>
      </c>
      <c r="F2080">
        <f>_xlfn.XLOOKUP(Table1[[#This Row],[ProductID]],Products!A:A,Products!D:D,,0)</f>
        <v>160</v>
      </c>
      <c r="I2080">
        <v>699</v>
      </c>
      <c r="J2080">
        <v>559</v>
      </c>
      <c r="K2080" t="s">
        <v>1097</v>
      </c>
      <c r="L2080">
        <v>559</v>
      </c>
      <c r="M2080" t="s">
        <v>1098</v>
      </c>
      <c r="N2080" t="s">
        <v>1099</v>
      </c>
      <c r="O2080">
        <f>Table1[[#This Row],[Unit_Price]]*Table1[[#This Row],[Quantity]]</f>
        <v>160</v>
      </c>
    </row>
    <row r="2081" spans="1:15" x14ac:dyDescent="0.3">
      <c r="A2081" t="s">
        <v>3870</v>
      </c>
      <c r="B2081" t="s">
        <v>2198</v>
      </c>
      <c r="C2081" t="s">
        <v>935</v>
      </c>
      <c r="D2081" t="s">
        <v>1062</v>
      </c>
      <c r="E2081">
        <v>2</v>
      </c>
      <c r="F2081">
        <f>_xlfn.XLOOKUP(Table1[[#This Row],[ProductID]],Products!A:A,Products!D:D,,0)</f>
        <v>95</v>
      </c>
      <c r="I2081">
        <v>349</v>
      </c>
      <c r="J2081">
        <v>297</v>
      </c>
      <c r="K2081" t="s">
        <v>1092</v>
      </c>
      <c r="L2081">
        <v>594</v>
      </c>
      <c r="M2081" t="s">
        <v>1093</v>
      </c>
      <c r="N2081" t="s">
        <v>1094</v>
      </c>
      <c r="O2081">
        <f>Table1[[#This Row],[Unit_Price]]*Table1[[#This Row],[Quantity]]</f>
        <v>190</v>
      </c>
    </row>
    <row r="2082" spans="1:15" x14ac:dyDescent="0.3">
      <c r="A2082" t="s">
        <v>3871</v>
      </c>
      <c r="B2082" t="s">
        <v>2139</v>
      </c>
      <c r="C2082" t="s">
        <v>433</v>
      </c>
      <c r="D2082" t="s">
        <v>1068</v>
      </c>
      <c r="E2082">
        <v>1</v>
      </c>
      <c r="F2082">
        <f>_xlfn.XLOOKUP(Table1[[#This Row],[ProductID]],Products!A:A,Products!D:D,,0)</f>
        <v>180</v>
      </c>
      <c r="I2082">
        <v>449</v>
      </c>
      <c r="J2082">
        <v>404</v>
      </c>
      <c r="K2082" t="s">
        <v>1107</v>
      </c>
      <c r="L2082">
        <v>404</v>
      </c>
      <c r="M2082" t="s">
        <v>1098</v>
      </c>
      <c r="N2082" t="s">
        <v>1099</v>
      </c>
      <c r="O2082">
        <f>Table1[[#This Row],[Unit_Price]]*Table1[[#This Row],[Quantity]]</f>
        <v>180</v>
      </c>
    </row>
    <row r="2083" spans="1:15" x14ac:dyDescent="0.3">
      <c r="A2083" t="s">
        <v>3872</v>
      </c>
      <c r="B2083" t="s">
        <v>1553</v>
      </c>
      <c r="C2083" t="s">
        <v>775</v>
      </c>
      <c r="D2083" t="s">
        <v>1073</v>
      </c>
      <c r="E2083">
        <v>1</v>
      </c>
      <c r="F2083">
        <f>_xlfn.XLOOKUP(Table1[[#This Row],[ProductID]],Products!A:A,Products!D:D,,0)</f>
        <v>100</v>
      </c>
      <c r="I2083">
        <v>349</v>
      </c>
      <c r="J2083">
        <v>314</v>
      </c>
      <c r="K2083" t="s">
        <v>1107</v>
      </c>
      <c r="L2083">
        <v>314</v>
      </c>
      <c r="M2083" t="s">
        <v>1093</v>
      </c>
      <c r="N2083" t="s">
        <v>1094</v>
      </c>
      <c r="O2083">
        <f>Table1[[#This Row],[Unit_Price]]*Table1[[#This Row],[Quantity]]</f>
        <v>100</v>
      </c>
    </row>
    <row r="2084" spans="1:15" x14ac:dyDescent="0.3">
      <c r="A2084" t="s">
        <v>3873</v>
      </c>
      <c r="B2084" t="s">
        <v>1529</v>
      </c>
      <c r="C2084" t="s">
        <v>829</v>
      </c>
      <c r="D2084" t="s">
        <v>1066</v>
      </c>
      <c r="E2084">
        <v>1</v>
      </c>
      <c r="F2084">
        <f>_xlfn.XLOOKUP(Table1[[#This Row],[ProductID]],Products!A:A,Products!D:D,,0)</f>
        <v>140</v>
      </c>
      <c r="I2084">
        <v>499</v>
      </c>
      <c r="J2084">
        <v>449</v>
      </c>
      <c r="K2084" t="s">
        <v>1107</v>
      </c>
      <c r="L2084">
        <v>449</v>
      </c>
      <c r="M2084" t="s">
        <v>1093</v>
      </c>
      <c r="N2084" t="s">
        <v>1094</v>
      </c>
      <c r="O2084">
        <f>Table1[[#This Row],[Unit_Price]]*Table1[[#This Row],[Quantity]]</f>
        <v>140</v>
      </c>
    </row>
    <row r="2085" spans="1:15" x14ac:dyDescent="0.3">
      <c r="A2085" t="s">
        <v>3874</v>
      </c>
      <c r="B2085" t="s">
        <v>2119</v>
      </c>
      <c r="C2085" t="s">
        <v>781</v>
      </c>
      <c r="D2085" t="s">
        <v>1080</v>
      </c>
      <c r="E2085">
        <v>1</v>
      </c>
      <c r="F2085">
        <f>_xlfn.XLOOKUP(Table1[[#This Row],[ProductID]],Products!A:A,Products!D:D,,0)</f>
        <v>45</v>
      </c>
      <c r="I2085">
        <v>249</v>
      </c>
      <c r="J2085">
        <v>199</v>
      </c>
      <c r="K2085" t="s">
        <v>1097</v>
      </c>
      <c r="L2085">
        <v>199</v>
      </c>
      <c r="M2085" t="s">
        <v>1093</v>
      </c>
      <c r="N2085" t="s">
        <v>1094</v>
      </c>
      <c r="O2085">
        <f>Table1[[#This Row],[Unit_Price]]*Table1[[#This Row],[Quantity]]</f>
        <v>45</v>
      </c>
    </row>
    <row r="2086" spans="1:15" x14ac:dyDescent="0.3">
      <c r="A2086" t="s">
        <v>3875</v>
      </c>
      <c r="B2086" t="s">
        <v>1156</v>
      </c>
      <c r="C2086" t="s">
        <v>1009</v>
      </c>
      <c r="D2086" t="s">
        <v>1062</v>
      </c>
      <c r="E2086">
        <v>1</v>
      </c>
      <c r="F2086">
        <f>_xlfn.XLOOKUP(Table1[[#This Row],[ProductID]],Products!A:A,Products!D:D,,0)</f>
        <v>95</v>
      </c>
      <c r="I2086">
        <v>349</v>
      </c>
      <c r="J2086">
        <v>279</v>
      </c>
      <c r="K2086" t="s">
        <v>1097</v>
      </c>
      <c r="L2086">
        <v>279</v>
      </c>
      <c r="M2086" t="s">
        <v>1098</v>
      </c>
      <c r="N2086" t="s">
        <v>1099</v>
      </c>
      <c r="O2086">
        <f>Table1[[#This Row],[Unit_Price]]*Table1[[#This Row],[Quantity]]</f>
        <v>95</v>
      </c>
    </row>
    <row r="2087" spans="1:15" x14ac:dyDescent="0.3">
      <c r="A2087" t="s">
        <v>3876</v>
      </c>
      <c r="B2087" t="s">
        <v>2720</v>
      </c>
      <c r="C2087" t="s">
        <v>971</v>
      </c>
      <c r="D2087" t="s">
        <v>1073</v>
      </c>
      <c r="E2087">
        <v>3</v>
      </c>
      <c r="F2087">
        <f>_xlfn.XLOOKUP(Table1[[#This Row],[ProductID]],Products!A:A,Products!D:D,,0)</f>
        <v>100</v>
      </c>
      <c r="I2087">
        <v>349</v>
      </c>
      <c r="J2087">
        <v>349</v>
      </c>
      <c r="K2087" t="s">
        <v>1102</v>
      </c>
      <c r="L2087">
        <v>1047</v>
      </c>
      <c r="M2087" t="s">
        <v>1098</v>
      </c>
      <c r="N2087" t="s">
        <v>1123</v>
      </c>
      <c r="O2087">
        <f>Table1[[#This Row],[Unit_Price]]*Table1[[#This Row],[Quantity]]</f>
        <v>300</v>
      </c>
    </row>
    <row r="2088" spans="1:15" x14ac:dyDescent="0.3">
      <c r="A2088" t="s">
        <v>3877</v>
      </c>
      <c r="B2088" t="s">
        <v>3210</v>
      </c>
      <c r="C2088" t="s">
        <v>681</v>
      </c>
      <c r="D2088" t="s">
        <v>1071</v>
      </c>
      <c r="E2088">
        <v>2</v>
      </c>
      <c r="F2088">
        <f>_xlfn.XLOOKUP(Table1[[#This Row],[ProductID]],Products!A:A,Products!D:D,,0)</f>
        <v>125</v>
      </c>
      <c r="I2088">
        <v>399</v>
      </c>
      <c r="J2088">
        <v>399</v>
      </c>
      <c r="K2088" t="s">
        <v>1102</v>
      </c>
      <c r="L2088">
        <v>798</v>
      </c>
      <c r="M2088" t="s">
        <v>1098</v>
      </c>
      <c r="N2088" t="s">
        <v>1099</v>
      </c>
      <c r="O2088">
        <f>Table1[[#This Row],[Unit_Price]]*Table1[[#This Row],[Quantity]]</f>
        <v>250</v>
      </c>
    </row>
    <row r="2089" spans="1:15" x14ac:dyDescent="0.3">
      <c r="A2089" t="s">
        <v>3878</v>
      </c>
      <c r="B2089" t="s">
        <v>2461</v>
      </c>
      <c r="C2089" t="s">
        <v>757</v>
      </c>
      <c r="D2089" t="s">
        <v>1055</v>
      </c>
      <c r="E2089">
        <v>1</v>
      </c>
      <c r="F2089">
        <f>_xlfn.XLOOKUP(Table1[[#This Row],[ProductID]],Products!A:A,Products!D:D,,0)</f>
        <v>75</v>
      </c>
      <c r="I2089">
        <v>299</v>
      </c>
      <c r="J2089">
        <v>299</v>
      </c>
      <c r="K2089" t="s">
        <v>1102</v>
      </c>
      <c r="L2089">
        <v>299</v>
      </c>
      <c r="M2089" t="s">
        <v>1098</v>
      </c>
      <c r="N2089" t="s">
        <v>1099</v>
      </c>
      <c r="O2089">
        <f>Table1[[#This Row],[Unit_Price]]*Table1[[#This Row],[Quantity]]</f>
        <v>75</v>
      </c>
    </row>
    <row r="2090" spans="1:15" x14ac:dyDescent="0.3">
      <c r="A2090" t="s">
        <v>3879</v>
      </c>
      <c r="B2090" t="s">
        <v>2124</v>
      </c>
      <c r="C2090" t="s">
        <v>134</v>
      </c>
      <c r="D2090" t="s">
        <v>1073</v>
      </c>
      <c r="E2090">
        <v>4</v>
      </c>
      <c r="F2090">
        <f>_xlfn.XLOOKUP(Table1[[#This Row],[ProductID]],Products!A:A,Products!D:D,,0)</f>
        <v>100</v>
      </c>
      <c r="I2090">
        <v>349</v>
      </c>
      <c r="J2090">
        <v>297</v>
      </c>
      <c r="K2090" t="s">
        <v>1092</v>
      </c>
      <c r="L2090">
        <v>1188</v>
      </c>
      <c r="M2090" t="s">
        <v>1093</v>
      </c>
      <c r="N2090" t="s">
        <v>1099</v>
      </c>
      <c r="O2090">
        <f>Table1[[#This Row],[Unit_Price]]*Table1[[#This Row],[Quantity]]</f>
        <v>400</v>
      </c>
    </row>
    <row r="2091" spans="1:15" x14ac:dyDescent="0.3">
      <c r="A2091" t="s">
        <v>3880</v>
      </c>
      <c r="B2091" t="s">
        <v>3881</v>
      </c>
      <c r="C2091" t="s">
        <v>399</v>
      </c>
      <c r="D2091" t="s">
        <v>1066</v>
      </c>
      <c r="E2091">
        <v>1</v>
      </c>
      <c r="F2091">
        <f>_xlfn.XLOOKUP(Table1[[#This Row],[ProductID]],Products!A:A,Products!D:D,,0)</f>
        <v>140</v>
      </c>
      <c r="I2091">
        <v>499</v>
      </c>
      <c r="J2091">
        <v>449</v>
      </c>
      <c r="K2091" t="s">
        <v>1107</v>
      </c>
      <c r="L2091">
        <v>449</v>
      </c>
      <c r="M2091" t="s">
        <v>1093</v>
      </c>
      <c r="N2091" t="s">
        <v>1094</v>
      </c>
      <c r="O2091">
        <f>Table1[[#This Row],[Unit_Price]]*Table1[[#This Row],[Quantity]]</f>
        <v>140</v>
      </c>
    </row>
    <row r="2092" spans="1:15" x14ac:dyDescent="0.3">
      <c r="A2092" t="s">
        <v>3882</v>
      </c>
      <c r="B2092" t="s">
        <v>1616</v>
      </c>
      <c r="C2092" t="s">
        <v>771</v>
      </c>
      <c r="D2092" t="s">
        <v>1066</v>
      </c>
      <c r="E2092">
        <v>1</v>
      </c>
      <c r="F2092">
        <f>_xlfn.XLOOKUP(Table1[[#This Row],[ProductID]],Products!A:A,Products!D:D,,0)</f>
        <v>140</v>
      </c>
      <c r="I2092">
        <v>499</v>
      </c>
      <c r="J2092">
        <v>499</v>
      </c>
      <c r="K2092" t="s">
        <v>1102</v>
      </c>
      <c r="L2092">
        <v>499</v>
      </c>
      <c r="M2092" t="s">
        <v>1093</v>
      </c>
      <c r="N2092" t="s">
        <v>1123</v>
      </c>
      <c r="O2092">
        <f>Table1[[#This Row],[Unit_Price]]*Table1[[#This Row],[Quantity]]</f>
        <v>140</v>
      </c>
    </row>
    <row r="2093" spans="1:15" x14ac:dyDescent="0.3">
      <c r="A2093" t="s">
        <v>3883</v>
      </c>
      <c r="B2093" t="s">
        <v>2586</v>
      </c>
      <c r="C2093" t="s">
        <v>1013</v>
      </c>
      <c r="D2093" t="s">
        <v>1059</v>
      </c>
      <c r="E2093">
        <v>1</v>
      </c>
      <c r="F2093">
        <f>_xlfn.XLOOKUP(Table1[[#This Row],[ProductID]],Products!A:A,Products!D:D,,0)</f>
        <v>110</v>
      </c>
      <c r="I2093">
        <v>399</v>
      </c>
      <c r="J2093">
        <v>399</v>
      </c>
      <c r="K2093" t="s">
        <v>1102</v>
      </c>
      <c r="L2093">
        <v>399</v>
      </c>
      <c r="M2093" t="s">
        <v>1093</v>
      </c>
      <c r="N2093" t="s">
        <v>1094</v>
      </c>
      <c r="O2093">
        <f>Table1[[#This Row],[Unit_Price]]*Table1[[#This Row],[Quantity]]</f>
        <v>110</v>
      </c>
    </row>
    <row r="2094" spans="1:15" x14ac:dyDescent="0.3">
      <c r="A2094" t="s">
        <v>3884</v>
      </c>
      <c r="B2094" t="s">
        <v>1223</v>
      </c>
      <c r="C2094" t="s">
        <v>667</v>
      </c>
      <c r="D2094" t="s">
        <v>1068</v>
      </c>
      <c r="E2094">
        <v>3</v>
      </c>
      <c r="F2094">
        <f>_xlfn.XLOOKUP(Table1[[#This Row],[ProductID]],Products!A:A,Products!D:D,,0)</f>
        <v>180</v>
      </c>
      <c r="I2094">
        <v>449</v>
      </c>
      <c r="J2094">
        <v>404</v>
      </c>
      <c r="K2094" t="s">
        <v>1107</v>
      </c>
      <c r="L2094">
        <v>1212</v>
      </c>
      <c r="M2094" t="s">
        <v>1093</v>
      </c>
      <c r="N2094" t="s">
        <v>1099</v>
      </c>
      <c r="O2094">
        <f>Table1[[#This Row],[Unit_Price]]*Table1[[#This Row],[Quantity]]</f>
        <v>540</v>
      </c>
    </row>
    <row r="2095" spans="1:15" x14ac:dyDescent="0.3">
      <c r="A2095" t="s">
        <v>3885</v>
      </c>
      <c r="B2095" t="s">
        <v>1294</v>
      </c>
      <c r="C2095" t="s">
        <v>851</v>
      </c>
      <c r="D2095" t="s">
        <v>1073</v>
      </c>
      <c r="E2095">
        <v>1</v>
      </c>
      <c r="F2095">
        <f>_xlfn.XLOOKUP(Table1[[#This Row],[ProductID]],Products!A:A,Products!D:D,,0)</f>
        <v>100</v>
      </c>
      <c r="I2095">
        <v>349</v>
      </c>
      <c r="J2095">
        <v>349</v>
      </c>
      <c r="K2095" t="s">
        <v>1102</v>
      </c>
      <c r="L2095">
        <v>349</v>
      </c>
      <c r="M2095" t="s">
        <v>1093</v>
      </c>
      <c r="N2095" t="s">
        <v>1099</v>
      </c>
      <c r="O2095">
        <f>Table1[[#This Row],[Unit_Price]]*Table1[[#This Row],[Quantity]]</f>
        <v>100</v>
      </c>
    </row>
    <row r="2096" spans="1:15" x14ac:dyDescent="0.3">
      <c r="A2096" t="s">
        <v>3886</v>
      </c>
      <c r="B2096" t="s">
        <v>1266</v>
      </c>
      <c r="C2096" t="s">
        <v>715</v>
      </c>
      <c r="D2096" t="s">
        <v>1071</v>
      </c>
      <c r="E2096">
        <v>1</v>
      </c>
      <c r="F2096">
        <f>_xlfn.XLOOKUP(Table1[[#This Row],[ProductID]],Products!A:A,Products!D:D,,0)</f>
        <v>125</v>
      </c>
      <c r="I2096">
        <v>399</v>
      </c>
      <c r="J2096">
        <v>359</v>
      </c>
      <c r="K2096" t="s">
        <v>1107</v>
      </c>
      <c r="L2096">
        <v>359</v>
      </c>
      <c r="M2096" t="s">
        <v>1126</v>
      </c>
      <c r="N2096" t="s">
        <v>1099</v>
      </c>
      <c r="O2096">
        <f>Table1[[#This Row],[Unit_Price]]*Table1[[#This Row],[Quantity]]</f>
        <v>125</v>
      </c>
    </row>
    <row r="2097" spans="1:15" x14ac:dyDescent="0.3">
      <c r="A2097" t="s">
        <v>3887</v>
      </c>
      <c r="B2097" t="s">
        <v>1389</v>
      </c>
      <c r="C2097" t="s">
        <v>247</v>
      </c>
      <c r="D2097" t="s">
        <v>1048</v>
      </c>
      <c r="E2097">
        <v>1</v>
      </c>
      <c r="F2097">
        <f>_xlfn.XLOOKUP(Table1[[#This Row],[ProductID]],Products!A:A,Products!D:D,,0)</f>
        <v>120</v>
      </c>
      <c r="I2097">
        <v>599</v>
      </c>
      <c r="J2097">
        <v>479</v>
      </c>
      <c r="K2097" t="s">
        <v>1097</v>
      </c>
      <c r="L2097">
        <v>479</v>
      </c>
      <c r="M2097" t="s">
        <v>1098</v>
      </c>
      <c r="N2097" t="s">
        <v>1099</v>
      </c>
      <c r="O2097">
        <f>Table1[[#This Row],[Unit_Price]]*Table1[[#This Row],[Quantity]]</f>
        <v>120</v>
      </c>
    </row>
    <row r="2098" spans="1:15" x14ac:dyDescent="0.3">
      <c r="A2098" t="s">
        <v>3888</v>
      </c>
      <c r="B2098" t="s">
        <v>1774</v>
      </c>
      <c r="C2098" t="s">
        <v>675</v>
      </c>
      <c r="D2098" t="s">
        <v>1064</v>
      </c>
      <c r="E2098">
        <v>1</v>
      </c>
      <c r="F2098">
        <f>_xlfn.XLOOKUP(Table1[[#This Row],[ProductID]],Products!A:A,Products!D:D,,0)</f>
        <v>160</v>
      </c>
      <c r="I2098">
        <v>699</v>
      </c>
      <c r="J2098">
        <v>559</v>
      </c>
      <c r="K2098" t="s">
        <v>1097</v>
      </c>
      <c r="L2098">
        <v>559</v>
      </c>
      <c r="M2098" t="s">
        <v>1098</v>
      </c>
      <c r="N2098" t="s">
        <v>1099</v>
      </c>
      <c r="O2098">
        <f>Table1[[#This Row],[Unit_Price]]*Table1[[#This Row],[Quantity]]</f>
        <v>160</v>
      </c>
    </row>
    <row r="2099" spans="1:15" x14ac:dyDescent="0.3">
      <c r="A2099" t="s">
        <v>3889</v>
      </c>
      <c r="B2099" t="s">
        <v>1971</v>
      </c>
      <c r="C2099" t="s">
        <v>1033</v>
      </c>
      <c r="D2099" t="s">
        <v>1053</v>
      </c>
      <c r="E2099">
        <v>1</v>
      </c>
      <c r="F2099">
        <f>_xlfn.XLOOKUP(Table1[[#This Row],[ProductID]],Products!A:A,Products!D:D,,0)</f>
        <v>200</v>
      </c>
      <c r="I2099">
        <v>899</v>
      </c>
      <c r="J2099">
        <v>764</v>
      </c>
      <c r="K2099" t="s">
        <v>1092</v>
      </c>
      <c r="L2099">
        <v>764</v>
      </c>
      <c r="M2099" t="s">
        <v>1093</v>
      </c>
      <c r="N2099" t="s">
        <v>1123</v>
      </c>
      <c r="O2099">
        <f>Table1[[#This Row],[Unit_Price]]*Table1[[#This Row],[Quantity]]</f>
        <v>200</v>
      </c>
    </row>
    <row r="2100" spans="1:15" x14ac:dyDescent="0.3">
      <c r="A2100" t="s">
        <v>3890</v>
      </c>
      <c r="B2100" t="s">
        <v>2150</v>
      </c>
      <c r="C2100" t="s">
        <v>857</v>
      </c>
      <c r="D2100" t="s">
        <v>1059</v>
      </c>
      <c r="E2100">
        <v>1</v>
      </c>
      <c r="F2100">
        <f>_xlfn.XLOOKUP(Table1[[#This Row],[ProductID]],Products!A:A,Products!D:D,,0)</f>
        <v>110</v>
      </c>
      <c r="I2100">
        <v>399</v>
      </c>
      <c r="J2100">
        <v>339</v>
      </c>
      <c r="K2100" t="s">
        <v>1092</v>
      </c>
      <c r="L2100">
        <v>339</v>
      </c>
      <c r="M2100" t="s">
        <v>1093</v>
      </c>
      <c r="N2100" t="s">
        <v>1094</v>
      </c>
      <c r="O2100">
        <f>Table1[[#This Row],[Unit_Price]]*Table1[[#This Row],[Quantity]]</f>
        <v>110</v>
      </c>
    </row>
    <row r="2101" spans="1:15" x14ac:dyDescent="0.3">
      <c r="A2101" t="s">
        <v>3891</v>
      </c>
      <c r="B2101" t="s">
        <v>1412</v>
      </c>
      <c r="C2101" t="s">
        <v>737</v>
      </c>
      <c r="D2101" t="s">
        <v>1059</v>
      </c>
      <c r="E2101">
        <v>3</v>
      </c>
      <c r="F2101">
        <f>_xlfn.XLOOKUP(Table1[[#This Row],[ProductID]],Products!A:A,Products!D:D,,0)</f>
        <v>110</v>
      </c>
      <c r="I2101">
        <v>399</v>
      </c>
      <c r="J2101">
        <v>399</v>
      </c>
      <c r="K2101" t="s">
        <v>1102</v>
      </c>
      <c r="L2101">
        <v>1197</v>
      </c>
      <c r="M2101" t="s">
        <v>1118</v>
      </c>
      <c r="N2101" t="s">
        <v>1099</v>
      </c>
      <c r="O2101">
        <f>Table1[[#This Row],[Unit_Price]]*Table1[[#This Row],[Quantity]]</f>
        <v>330</v>
      </c>
    </row>
    <row r="2102" spans="1:15" x14ac:dyDescent="0.3">
      <c r="A2102" t="s">
        <v>3892</v>
      </c>
      <c r="B2102" t="s">
        <v>3179</v>
      </c>
      <c r="C2102" t="s">
        <v>639</v>
      </c>
      <c r="D2102" t="s">
        <v>1059</v>
      </c>
      <c r="E2102">
        <v>1</v>
      </c>
      <c r="F2102">
        <f>_xlfn.XLOOKUP(Table1[[#This Row],[ProductID]],Products!A:A,Products!D:D,,0)</f>
        <v>110</v>
      </c>
      <c r="I2102">
        <v>399</v>
      </c>
      <c r="J2102">
        <v>359</v>
      </c>
      <c r="K2102" t="s">
        <v>1107</v>
      </c>
      <c r="L2102">
        <v>359</v>
      </c>
      <c r="M2102" t="s">
        <v>1098</v>
      </c>
      <c r="N2102" t="s">
        <v>1123</v>
      </c>
      <c r="O2102">
        <f>Table1[[#This Row],[Unit_Price]]*Table1[[#This Row],[Quantity]]</f>
        <v>110</v>
      </c>
    </row>
    <row r="2103" spans="1:15" x14ac:dyDescent="0.3">
      <c r="A2103" t="s">
        <v>3893</v>
      </c>
      <c r="B2103" t="s">
        <v>1333</v>
      </c>
      <c r="C2103" t="s">
        <v>623</v>
      </c>
      <c r="D2103" t="s">
        <v>1062</v>
      </c>
      <c r="E2103">
        <v>2</v>
      </c>
      <c r="F2103">
        <f>_xlfn.XLOOKUP(Table1[[#This Row],[ProductID]],Products!A:A,Products!D:D,,0)</f>
        <v>95</v>
      </c>
      <c r="I2103">
        <v>349</v>
      </c>
      <c r="J2103">
        <v>349</v>
      </c>
      <c r="K2103" t="s">
        <v>1102</v>
      </c>
      <c r="L2103">
        <v>698</v>
      </c>
      <c r="M2103" t="s">
        <v>1098</v>
      </c>
      <c r="N2103" t="s">
        <v>1099</v>
      </c>
      <c r="O2103">
        <f>Table1[[#This Row],[Unit_Price]]*Table1[[#This Row],[Quantity]]</f>
        <v>190</v>
      </c>
    </row>
    <row r="2104" spans="1:15" x14ac:dyDescent="0.3">
      <c r="A2104" t="s">
        <v>3894</v>
      </c>
      <c r="B2104" t="s">
        <v>1534</v>
      </c>
      <c r="C2104" t="s">
        <v>463</v>
      </c>
      <c r="D2104" t="s">
        <v>1073</v>
      </c>
      <c r="E2104">
        <v>1</v>
      </c>
      <c r="F2104">
        <f>_xlfn.XLOOKUP(Table1[[#This Row],[ProductID]],Products!A:A,Products!D:D,,0)</f>
        <v>100</v>
      </c>
      <c r="I2104">
        <v>349</v>
      </c>
      <c r="J2104">
        <v>314</v>
      </c>
      <c r="K2104" t="s">
        <v>1107</v>
      </c>
      <c r="L2104">
        <v>314</v>
      </c>
      <c r="M2104" t="s">
        <v>1093</v>
      </c>
      <c r="N2104" t="s">
        <v>1094</v>
      </c>
      <c r="O2104">
        <f>Table1[[#This Row],[Unit_Price]]*Table1[[#This Row],[Quantity]]</f>
        <v>100</v>
      </c>
    </row>
    <row r="2105" spans="1:15" x14ac:dyDescent="0.3">
      <c r="A2105" t="s">
        <v>3895</v>
      </c>
      <c r="B2105" t="s">
        <v>1768</v>
      </c>
      <c r="C2105" t="s">
        <v>869</v>
      </c>
      <c r="D2105" t="s">
        <v>1066</v>
      </c>
      <c r="E2105">
        <v>1</v>
      </c>
      <c r="F2105">
        <f>_xlfn.XLOOKUP(Table1[[#This Row],[ProductID]],Products!A:A,Products!D:D,,0)</f>
        <v>140</v>
      </c>
      <c r="I2105">
        <v>499</v>
      </c>
      <c r="J2105">
        <v>399</v>
      </c>
      <c r="K2105" t="s">
        <v>1097</v>
      </c>
      <c r="L2105">
        <v>399</v>
      </c>
      <c r="M2105" t="s">
        <v>1093</v>
      </c>
      <c r="N2105" t="s">
        <v>1094</v>
      </c>
      <c r="O2105">
        <f>Table1[[#This Row],[Unit_Price]]*Table1[[#This Row],[Quantity]]</f>
        <v>140</v>
      </c>
    </row>
    <row r="2106" spans="1:15" x14ac:dyDescent="0.3">
      <c r="A2106" t="s">
        <v>3896</v>
      </c>
      <c r="B2106" t="s">
        <v>2940</v>
      </c>
      <c r="C2106" t="s">
        <v>253</v>
      </c>
      <c r="D2106" t="s">
        <v>1073</v>
      </c>
      <c r="E2106">
        <v>2</v>
      </c>
      <c r="F2106">
        <f>_xlfn.XLOOKUP(Table1[[#This Row],[ProductID]],Products!A:A,Products!D:D,,0)</f>
        <v>100</v>
      </c>
      <c r="I2106">
        <v>349</v>
      </c>
      <c r="J2106">
        <v>349</v>
      </c>
      <c r="K2106" t="s">
        <v>1102</v>
      </c>
      <c r="L2106">
        <v>698</v>
      </c>
      <c r="M2106" t="s">
        <v>1098</v>
      </c>
      <c r="N2106" t="s">
        <v>1099</v>
      </c>
      <c r="O2106">
        <f>Table1[[#This Row],[Unit_Price]]*Table1[[#This Row],[Quantity]]</f>
        <v>200</v>
      </c>
    </row>
    <row r="2107" spans="1:15" x14ac:dyDescent="0.3">
      <c r="A2107" t="s">
        <v>3897</v>
      </c>
      <c r="B2107" t="s">
        <v>2615</v>
      </c>
      <c r="C2107" t="s">
        <v>573</v>
      </c>
      <c r="D2107" t="s">
        <v>1080</v>
      </c>
      <c r="E2107">
        <v>2</v>
      </c>
      <c r="F2107">
        <f>_xlfn.XLOOKUP(Table1[[#This Row],[ProductID]],Products!A:A,Products!D:D,,0)</f>
        <v>45</v>
      </c>
      <c r="I2107">
        <v>249</v>
      </c>
      <c r="J2107">
        <v>199</v>
      </c>
      <c r="K2107" t="s">
        <v>1097</v>
      </c>
      <c r="L2107">
        <v>398</v>
      </c>
      <c r="M2107" t="s">
        <v>1126</v>
      </c>
      <c r="N2107" t="s">
        <v>1099</v>
      </c>
      <c r="O2107">
        <f>Table1[[#This Row],[Unit_Price]]*Table1[[#This Row],[Quantity]]</f>
        <v>90</v>
      </c>
    </row>
    <row r="2108" spans="1:15" x14ac:dyDescent="0.3">
      <c r="A2108" t="s">
        <v>3898</v>
      </c>
      <c r="B2108" t="s">
        <v>3470</v>
      </c>
      <c r="C2108" t="s">
        <v>993</v>
      </c>
      <c r="D2108" t="s">
        <v>1051</v>
      </c>
      <c r="E2108">
        <v>3</v>
      </c>
      <c r="F2108">
        <f>_xlfn.XLOOKUP(Table1[[#This Row],[ProductID]],Products!A:A,Products!D:D,,0)</f>
        <v>150</v>
      </c>
      <c r="I2108">
        <v>499</v>
      </c>
      <c r="J2108">
        <v>499</v>
      </c>
      <c r="K2108" t="s">
        <v>1102</v>
      </c>
      <c r="L2108">
        <v>1497</v>
      </c>
      <c r="M2108" t="s">
        <v>1126</v>
      </c>
      <c r="N2108" t="s">
        <v>1099</v>
      </c>
      <c r="O2108">
        <f>Table1[[#This Row],[Unit_Price]]*Table1[[#This Row],[Quantity]]</f>
        <v>450</v>
      </c>
    </row>
    <row r="2109" spans="1:15" x14ac:dyDescent="0.3">
      <c r="A2109" t="s">
        <v>3899</v>
      </c>
      <c r="B2109" t="s">
        <v>3437</v>
      </c>
      <c r="C2109" t="s">
        <v>829</v>
      </c>
      <c r="D2109" t="s">
        <v>1053</v>
      </c>
      <c r="E2109">
        <v>1</v>
      </c>
      <c r="F2109">
        <f>_xlfn.XLOOKUP(Table1[[#This Row],[ProductID]],Products!A:A,Products!D:D,,0)</f>
        <v>200</v>
      </c>
      <c r="I2109">
        <v>899</v>
      </c>
      <c r="J2109">
        <v>899</v>
      </c>
      <c r="K2109" t="s">
        <v>1102</v>
      </c>
      <c r="L2109">
        <v>899</v>
      </c>
      <c r="M2109" t="s">
        <v>1126</v>
      </c>
      <c r="N2109" t="s">
        <v>1123</v>
      </c>
      <c r="O2109">
        <f>Table1[[#This Row],[Unit_Price]]*Table1[[#This Row],[Quantity]]</f>
        <v>200</v>
      </c>
    </row>
    <row r="2110" spans="1:15" x14ac:dyDescent="0.3">
      <c r="A2110" t="s">
        <v>3900</v>
      </c>
      <c r="B2110" t="s">
        <v>1355</v>
      </c>
      <c r="C2110" t="s">
        <v>843</v>
      </c>
      <c r="D2110" t="s">
        <v>1066</v>
      </c>
      <c r="E2110">
        <v>1</v>
      </c>
      <c r="F2110">
        <f>_xlfn.XLOOKUP(Table1[[#This Row],[ProductID]],Products!A:A,Products!D:D,,0)</f>
        <v>140</v>
      </c>
      <c r="I2110">
        <v>499</v>
      </c>
      <c r="J2110">
        <v>449</v>
      </c>
      <c r="K2110" t="s">
        <v>1107</v>
      </c>
      <c r="L2110">
        <v>449</v>
      </c>
      <c r="M2110" t="s">
        <v>1093</v>
      </c>
      <c r="N2110" t="s">
        <v>1094</v>
      </c>
      <c r="O2110">
        <f>Table1[[#This Row],[Unit_Price]]*Table1[[#This Row],[Quantity]]</f>
        <v>140</v>
      </c>
    </row>
    <row r="2111" spans="1:15" x14ac:dyDescent="0.3">
      <c r="A2111" t="s">
        <v>3901</v>
      </c>
      <c r="B2111" t="s">
        <v>3902</v>
      </c>
      <c r="C2111" t="s">
        <v>265</v>
      </c>
      <c r="D2111" t="s">
        <v>1059</v>
      </c>
      <c r="E2111">
        <v>1</v>
      </c>
      <c r="F2111">
        <f>_xlfn.XLOOKUP(Table1[[#This Row],[ProductID]],Products!A:A,Products!D:D,,0)</f>
        <v>110</v>
      </c>
      <c r="I2111">
        <v>399</v>
      </c>
      <c r="J2111">
        <v>319</v>
      </c>
      <c r="K2111" t="s">
        <v>1097</v>
      </c>
      <c r="L2111">
        <v>319</v>
      </c>
      <c r="M2111" t="s">
        <v>1093</v>
      </c>
      <c r="N2111" t="s">
        <v>1094</v>
      </c>
      <c r="O2111">
        <f>Table1[[#This Row],[Unit_Price]]*Table1[[#This Row],[Quantity]]</f>
        <v>110</v>
      </c>
    </row>
    <row r="2112" spans="1:15" x14ac:dyDescent="0.3">
      <c r="A2112" t="s">
        <v>3903</v>
      </c>
      <c r="B2112" t="s">
        <v>1443</v>
      </c>
      <c r="C2112" t="s">
        <v>607</v>
      </c>
      <c r="D2112" t="s">
        <v>1053</v>
      </c>
      <c r="E2112">
        <v>1</v>
      </c>
      <c r="F2112">
        <f>_xlfn.XLOOKUP(Table1[[#This Row],[ProductID]],Products!A:A,Products!D:D,,0)</f>
        <v>200</v>
      </c>
      <c r="I2112">
        <v>899</v>
      </c>
      <c r="J2112">
        <v>899</v>
      </c>
      <c r="K2112" t="s">
        <v>1102</v>
      </c>
      <c r="L2112">
        <v>899</v>
      </c>
      <c r="M2112" t="s">
        <v>1126</v>
      </c>
      <c r="N2112" t="s">
        <v>1099</v>
      </c>
      <c r="O2112">
        <f>Table1[[#This Row],[Unit_Price]]*Table1[[#This Row],[Quantity]]</f>
        <v>200</v>
      </c>
    </row>
    <row r="2113" spans="1:15" x14ac:dyDescent="0.3">
      <c r="A2113" t="s">
        <v>3904</v>
      </c>
      <c r="B2113" t="s">
        <v>1895</v>
      </c>
      <c r="C2113" t="s">
        <v>975</v>
      </c>
      <c r="D2113" t="s">
        <v>1055</v>
      </c>
      <c r="E2113">
        <v>3</v>
      </c>
      <c r="F2113">
        <f>_xlfn.XLOOKUP(Table1[[#This Row],[ProductID]],Products!A:A,Products!D:D,,0)</f>
        <v>75</v>
      </c>
      <c r="I2113">
        <v>299</v>
      </c>
      <c r="J2113">
        <v>299</v>
      </c>
      <c r="K2113" t="s">
        <v>1102</v>
      </c>
      <c r="L2113">
        <v>897</v>
      </c>
      <c r="M2113" t="s">
        <v>1098</v>
      </c>
      <c r="N2113" t="s">
        <v>1099</v>
      </c>
      <c r="O2113">
        <f>Table1[[#This Row],[Unit_Price]]*Table1[[#This Row],[Quantity]]</f>
        <v>225</v>
      </c>
    </row>
    <row r="2114" spans="1:15" x14ac:dyDescent="0.3">
      <c r="A2114" t="s">
        <v>3905</v>
      </c>
      <c r="B2114" t="s">
        <v>2690</v>
      </c>
      <c r="C2114" t="s">
        <v>114</v>
      </c>
      <c r="D2114" t="s">
        <v>1051</v>
      </c>
      <c r="E2114">
        <v>2</v>
      </c>
      <c r="F2114">
        <f>_xlfn.XLOOKUP(Table1[[#This Row],[ProductID]],Products!A:A,Products!D:D,,0)</f>
        <v>150</v>
      </c>
      <c r="I2114">
        <v>499</v>
      </c>
      <c r="J2114">
        <v>449</v>
      </c>
      <c r="K2114" t="s">
        <v>1107</v>
      </c>
      <c r="L2114">
        <v>898</v>
      </c>
      <c r="M2114" t="s">
        <v>1093</v>
      </c>
      <c r="N2114" t="s">
        <v>1094</v>
      </c>
      <c r="O2114">
        <f>Table1[[#This Row],[Unit_Price]]*Table1[[#This Row],[Quantity]]</f>
        <v>300</v>
      </c>
    </row>
    <row r="2115" spans="1:15" x14ac:dyDescent="0.3">
      <c r="A2115" t="s">
        <v>3906</v>
      </c>
      <c r="B2115" t="s">
        <v>2805</v>
      </c>
      <c r="C2115" t="s">
        <v>413</v>
      </c>
      <c r="D2115" t="s">
        <v>1057</v>
      </c>
      <c r="E2115">
        <v>1</v>
      </c>
      <c r="F2115">
        <f>_xlfn.XLOOKUP(Table1[[#This Row],[ProductID]],Products!A:A,Products!D:D,,0)</f>
        <v>130</v>
      </c>
      <c r="I2115">
        <v>549</v>
      </c>
      <c r="J2115">
        <v>439</v>
      </c>
      <c r="K2115" t="s">
        <v>1097</v>
      </c>
      <c r="L2115">
        <v>439</v>
      </c>
      <c r="M2115" t="s">
        <v>1093</v>
      </c>
      <c r="N2115" t="s">
        <v>1099</v>
      </c>
      <c r="O2115">
        <f>Table1[[#This Row],[Unit_Price]]*Table1[[#This Row],[Quantity]]</f>
        <v>130</v>
      </c>
    </row>
    <row r="2116" spans="1:15" x14ac:dyDescent="0.3">
      <c r="A2116" t="s">
        <v>3907</v>
      </c>
      <c r="B2116" t="s">
        <v>3404</v>
      </c>
      <c r="C2116" t="s">
        <v>323</v>
      </c>
      <c r="D2116" t="s">
        <v>1057</v>
      </c>
      <c r="E2116">
        <v>1</v>
      </c>
      <c r="F2116">
        <f>_xlfn.XLOOKUP(Table1[[#This Row],[ProductID]],Products!A:A,Products!D:D,,0)</f>
        <v>130</v>
      </c>
      <c r="I2116">
        <v>549</v>
      </c>
      <c r="J2116">
        <v>467</v>
      </c>
      <c r="K2116" t="s">
        <v>1092</v>
      </c>
      <c r="L2116">
        <v>467</v>
      </c>
      <c r="M2116" t="s">
        <v>1098</v>
      </c>
      <c r="N2116" t="s">
        <v>1094</v>
      </c>
      <c r="O2116">
        <f>Table1[[#This Row],[Unit_Price]]*Table1[[#This Row],[Quantity]]</f>
        <v>130</v>
      </c>
    </row>
    <row r="2117" spans="1:15" x14ac:dyDescent="0.3">
      <c r="A2117" t="s">
        <v>3908</v>
      </c>
      <c r="B2117" t="s">
        <v>1286</v>
      </c>
      <c r="C2117" t="s">
        <v>231</v>
      </c>
      <c r="D2117" t="s">
        <v>1055</v>
      </c>
      <c r="E2117">
        <v>3</v>
      </c>
      <c r="F2117">
        <f>_xlfn.XLOOKUP(Table1[[#This Row],[ProductID]],Products!A:A,Products!D:D,,0)</f>
        <v>75</v>
      </c>
      <c r="I2117">
        <v>299</v>
      </c>
      <c r="J2117">
        <v>299</v>
      </c>
      <c r="K2117" t="s">
        <v>1102</v>
      </c>
      <c r="L2117">
        <v>897</v>
      </c>
      <c r="M2117" t="s">
        <v>1098</v>
      </c>
      <c r="N2117" t="s">
        <v>1099</v>
      </c>
      <c r="O2117">
        <f>Table1[[#This Row],[Unit_Price]]*Table1[[#This Row],[Quantity]]</f>
        <v>225</v>
      </c>
    </row>
    <row r="2118" spans="1:15" x14ac:dyDescent="0.3">
      <c r="A2118" t="s">
        <v>3909</v>
      </c>
      <c r="B2118" t="s">
        <v>1944</v>
      </c>
      <c r="C2118" t="s">
        <v>403</v>
      </c>
      <c r="D2118" t="s">
        <v>1051</v>
      </c>
      <c r="E2118">
        <v>4</v>
      </c>
      <c r="F2118">
        <f>_xlfn.XLOOKUP(Table1[[#This Row],[ProductID]],Products!A:A,Products!D:D,,0)</f>
        <v>150</v>
      </c>
      <c r="I2118">
        <v>499</v>
      </c>
      <c r="J2118">
        <v>499</v>
      </c>
      <c r="K2118" t="s">
        <v>1102</v>
      </c>
      <c r="L2118">
        <v>1996</v>
      </c>
      <c r="M2118" t="s">
        <v>1098</v>
      </c>
      <c r="N2118" t="s">
        <v>1099</v>
      </c>
      <c r="O2118">
        <f>Table1[[#This Row],[Unit_Price]]*Table1[[#This Row],[Quantity]]</f>
        <v>600</v>
      </c>
    </row>
    <row r="2119" spans="1:15" x14ac:dyDescent="0.3">
      <c r="A2119" t="s">
        <v>3910</v>
      </c>
      <c r="B2119" t="s">
        <v>1867</v>
      </c>
      <c r="C2119" t="s">
        <v>195</v>
      </c>
      <c r="D2119" t="s">
        <v>1055</v>
      </c>
      <c r="E2119">
        <v>1</v>
      </c>
      <c r="F2119">
        <f>_xlfn.XLOOKUP(Table1[[#This Row],[ProductID]],Products!A:A,Products!D:D,,0)</f>
        <v>75</v>
      </c>
      <c r="I2119">
        <v>299</v>
      </c>
      <c r="J2119">
        <v>269</v>
      </c>
      <c r="K2119" t="s">
        <v>1107</v>
      </c>
      <c r="L2119">
        <v>269</v>
      </c>
      <c r="M2119" t="s">
        <v>1126</v>
      </c>
      <c r="N2119" t="s">
        <v>1099</v>
      </c>
      <c r="O2119">
        <f>Table1[[#This Row],[Unit_Price]]*Table1[[#This Row],[Quantity]]</f>
        <v>75</v>
      </c>
    </row>
    <row r="2120" spans="1:15" x14ac:dyDescent="0.3">
      <c r="A2120" t="s">
        <v>3911</v>
      </c>
      <c r="B2120" t="s">
        <v>1104</v>
      </c>
      <c r="C2120" t="s">
        <v>87</v>
      </c>
      <c r="D2120" t="s">
        <v>1055</v>
      </c>
      <c r="E2120">
        <v>2</v>
      </c>
      <c r="F2120">
        <f>_xlfn.XLOOKUP(Table1[[#This Row],[ProductID]],Products!A:A,Products!D:D,,0)</f>
        <v>75</v>
      </c>
      <c r="I2120">
        <v>299</v>
      </c>
      <c r="J2120">
        <v>239</v>
      </c>
      <c r="K2120" t="s">
        <v>1097</v>
      </c>
      <c r="L2120">
        <v>478</v>
      </c>
      <c r="M2120" t="s">
        <v>1093</v>
      </c>
      <c r="N2120" t="s">
        <v>1123</v>
      </c>
      <c r="O2120">
        <f>Table1[[#This Row],[Unit_Price]]*Table1[[#This Row],[Quantity]]</f>
        <v>150</v>
      </c>
    </row>
    <row r="2121" spans="1:15" x14ac:dyDescent="0.3">
      <c r="A2121" t="s">
        <v>3912</v>
      </c>
      <c r="B2121" t="s">
        <v>1246</v>
      </c>
      <c r="C2121" t="s">
        <v>643</v>
      </c>
      <c r="D2121" t="s">
        <v>1048</v>
      </c>
      <c r="E2121">
        <v>2</v>
      </c>
      <c r="F2121">
        <f>_xlfn.XLOOKUP(Table1[[#This Row],[ProductID]],Products!A:A,Products!D:D,,0)</f>
        <v>120</v>
      </c>
      <c r="I2121">
        <v>599</v>
      </c>
      <c r="J2121">
        <v>599</v>
      </c>
      <c r="K2121" t="s">
        <v>1102</v>
      </c>
      <c r="L2121">
        <v>1198</v>
      </c>
      <c r="M2121" t="s">
        <v>1093</v>
      </c>
      <c r="N2121" t="s">
        <v>1099</v>
      </c>
      <c r="O2121">
        <f>Table1[[#This Row],[Unit_Price]]*Table1[[#This Row],[Quantity]]</f>
        <v>240</v>
      </c>
    </row>
    <row r="2122" spans="1:15" x14ac:dyDescent="0.3">
      <c r="A2122" t="s">
        <v>3913</v>
      </c>
      <c r="B2122" t="s">
        <v>1709</v>
      </c>
      <c r="C2122" t="s">
        <v>553</v>
      </c>
      <c r="D2122" t="s">
        <v>1080</v>
      </c>
      <c r="E2122">
        <v>1</v>
      </c>
      <c r="F2122">
        <f>_xlfn.XLOOKUP(Table1[[#This Row],[ProductID]],Products!A:A,Products!D:D,,0)</f>
        <v>45</v>
      </c>
      <c r="I2122">
        <v>249</v>
      </c>
      <c r="J2122">
        <v>199</v>
      </c>
      <c r="K2122" t="s">
        <v>1097</v>
      </c>
      <c r="L2122">
        <v>199</v>
      </c>
      <c r="M2122" t="s">
        <v>1098</v>
      </c>
      <c r="N2122" t="s">
        <v>1099</v>
      </c>
      <c r="O2122">
        <f>Table1[[#This Row],[Unit_Price]]*Table1[[#This Row],[Quantity]]</f>
        <v>45</v>
      </c>
    </row>
    <row r="2123" spans="1:15" x14ac:dyDescent="0.3">
      <c r="A2123" t="s">
        <v>3914</v>
      </c>
      <c r="B2123" t="s">
        <v>1947</v>
      </c>
      <c r="C2123" t="s">
        <v>299</v>
      </c>
      <c r="D2123" t="s">
        <v>1073</v>
      </c>
      <c r="E2123">
        <v>1</v>
      </c>
      <c r="F2123">
        <f>_xlfn.XLOOKUP(Table1[[#This Row],[ProductID]],Products!A:A,Products!D:D,,0)</f>
        <v>100</v>
      </c>
      <c r="I2123">
        <v>349</v>
      </c>
      <c r="J2123">
        <v>349</v>
      </c>
      <c r="K2123" t="s">
        <v>1102</v>
      </c>
      <c r="L2123">
        <v>349</v>
      </c>
      <c r="M2123" t="s">
        <v>1093</v>
      </c>
      <c r="N2123" t="s">
        <v>1099</v>
      </c>
      <c r="O2123">
        <f>Table1[[#This Row],[Unit_Price]]*Table1[[#This Row],[Quantity]]</f>
        <v>100</v>
      </c>
    </row>
    <row r="2124" spans="1:15" x14ac:dyDescent="0.3">
      <c r="A2124" t="s">
        <v>3915</v>
      </c>
      <c r="B2124" t="s">
        <v>1377</v>
      </c>
      <c r="C2124" t="s">
        <v>227</v>
      </c>
      <c r="D2124" t="s">
        <v>1059</v>
      </c>
      <c r="E2124">
        <v>1</v>
      </c>
      <c r="F2124">
        <f>_xlfn.XLOOKUP(Table1[[#This Row],[ProductID]],Products!A:A,Products!D:D,,0)</f>
        <v>110</v>
      </c>
      <c r="I2124">
        <v>399</v>
      </c>
      <c r="J2124">
        <v>399</v>
      </c>
      <c r="K2124" t="s">
        <v>1102</v>
      </c>
      <c r="L2124">
        <v>399</v>
      </c>
      <c r="M2124" t="s">
        <v>1093</v>
      </c>
      <c r="N2124" t="s">
        <v>1123</v>
      </c>
      <c r="O2124">
        <f>Table1[[#This Row],[Unit_Price]]*Table1[[#This Row],[Quantity]]</f>
        <v>110</v>
      </c>
    </row>
    <row r="2125" spans="1:15" x14ac:dyDescent="0.3">
      <c r="A2125" t="s">
        <v>3916</v>
      </c>
      <c r="B2125" t="s">
        <v>2132</v>
      </c>
      <c r="C2125" t="s">
        <v>120</v>
      </c>
      <c r="D2125" t="s">
        <v>1062</v>
      </c>
      <c r="E2125">
        <v>1</v>
      </c>
      <c r="F2125">
        <f>_xlfn.XLOOKUP(Table1[[#This Row],[ProductID]],Products!A:A,Products!D:D,,0)</f>
        <v>95</v>
      </c>
      <c r="I2125">
        <v>349</v>
      </c>
      <c r="J2125">
        <v>349</v>
      </c>
      <c r="K2125" t="s">
        <v>1102</v>
      </c>
      <c r="L2125">
        <v>349</v>
      </c>
      <c r="M2125" t="s">
        <v>1093</v>
      </c>
      <c r="N2125" t="s">
        <v>1094</v>
      </c>
      <c r="O2125">
        <f>Table1[[#This Row],[Unit_Price]]*Table1[[#This Row],[Quantity]]</f>
        <v>95</v>
      </c>
    </row>
    <row r="2126" spans="1:15" x14ac:dyDescent="0.3">
      <c r="A2126" t="s">
        <v>3917</v>
      </c>
      <c r="B2126" t="s">
        <v>1872</v>
      </c>
      <c r="C2126" t="s">
        <v>737</v>
      </c>
      <c r="D2126" t="s">
        <v>1057</v>
      </c>
      <c r="E2126">
        <v>2</v>
      </c>
      <c r="F2126">
        <f>_xlfn.XLOOKUP(Table1[[#This Row],[ProductID]],Products!A:A,Products!D:D,,0)</f>
        <v>130</v>
      </c>
      <c r="I2126">
        <v>549</v>
      </c>
      <c r="J2126">
        <v>439</v>
      </c>
      <c r="K2126" t="s">
        <v>1097</v>
      </c>
      <c r="L2126">
        <v>878</v>
      </c>
      <c r="M2126" t="s">
        <v>1093</v>
      </c>
      <c r="N2126" t="s">
        <v>1094</v>
      </c>
      <c r="O2126">
        <f>Table1[[#This Row],[Unit_Price]]*Table1[[#This Row],[Quantity]]</f>
        <v>260</v>
      </c>
    </row>
    <row r="2127" spans="1:15" x14ac:dyDescent="0.3">
      <c r="A2127" t="s">
        <v>3918</v>
      </c>
      <c r="B2127" t="s">
        <v>1323</v>
      </c>
      <c r="C2127" t="s">
        <v>74</v>
      </c>
      <c r="D2127" t="s">
        <v>1048</v>
      </c>
      <c r="E2127">
        <v>2</v>
      </c>
      <c r="F2127">
        <f>_xlfn.XLOOKUP(Table1[[#This Row],[ProductID]],Products!A:A,Products!D:D,,0)</f>
        <v>120</v>
      </c>
      <c r="I2127">
        <v>599</v>
      </c>
      <c r="J2127">
        <v>479</v>
      </c>
      <c r="K2127" t="s">
        <v>1097</v>
      </c>
      <c r="L2127">
        <v>958</v>
      </c>
      <c r="M2127" t="s">
        <v>1093</v>
      </c>
      <c r="N2127" t="s">
        <v>1099</v>
      </c>
      <c r="O2127">
        <f>Table1[[#This Row],[Unit_Price]]*Table1[[#This Row],[Quantity]]</f>
        <v>240</v>
      </c>
    </row>
    <row r="2128" spans="1:15" x14ac:dyDescent="0.3">
      <c r="A2128" t="s">
        <v>3919</v>
      </c>
      <c r="B2128" t="s">
        <v>3473</v>
      </c>
      <c r="C2128" t="s">
        <v>405</v>
      </c>
      <c r="D2128" t="s">
        <v>1066</v>
      </c>
      <c r="E2128">
        <v>1</v>
      </c>
      <c r="F2128">
        <f>_xlfn.XLOOKUP(Table1[[#This Row],[ProductID]],Products!A:A,Products!D:D,,0)</f>
        <v>140</v>
      </c>
      <c r="I2128">
        <v>499</v>
      </c>
      <c r="J2128">
        <v>449</v>
      </c>
      <c r="K2128" t="s">
        <v>1107</v>
      </c>
      <c r="L2128">
        <v>449</v>
      </c>
      <c r="M2128" t="s">
        <v>1126</v>
      </c>
      <c r="N2128" t="s">
        <v>1099</v>
      </c>
      <c r="O2128">
        <f>Table1[[#This Row],[Unit_Price]]*Table1[[#This Row],[Quantity]]</f>
        <v>140</v>
      </c>
    </row>
    <row r="2129" spans="1:15" x14ac:dyDescent="0.3">
      <c r="A2129" t="s">
        <v>3920</v>
      </c>
      <c r="B2129" t="s">
        <v>2701</v>
      </c>
      <c r="C2129" t="s">
        <v>37</v>
      </c>
      <c r="D2129" t="s">
        <v>1073</v>
      </c>
      <c r="E2129">
        <v>1</v>
      </c>
      <c r="F2129">
        <f>_xlfn.XLOOKUP(Table1[[#This Row],[ProductID]],Products!A:A,Products!D:D,,0)</f>
        <v>100</v>
      </c>
      <c r="I2129">
        <v>349</v>
      </c>
      <c r="J2129">
        <v>314</v>
      </c>
      <c r="K2129" t="s">
        <v>1107</v>
      </c>
      <c r="L2129">
        <v>314</v>
      </c>
      <c r="M2129" t="s">
        <v>1098</v>
      </c>
      <c r="N2129" t="s">
        <v>1099</v>
      </c>
      <c r="O2129">
        <f>Table1[[#This Row],[Unit_Price]]*Table1[[#This Row],[Quantity]]</f>
        <v>100</v>
      </c>
    </row>
    <row r="2130" spans="1:15" x14ac:dyDescent="0.3">
      <c r="A2130" t="s">
        <v>3921</v>
      </c>
      <c r="B2130" t="s">
        <v>1465</v>
      </c>
      <c r="C2130" t="s">
        <v>285</v>
      </c>
      <c r="D2130" t="s">
        <v>1053</v>
      </c>
      <c r="E2130">
        <v>4</v>
      </c>
      <c r="F2130">
        <f>_xlfn.XLOOKUP(Table1[[#This Row],[ProductID]],Products!A:A,Products!D:D,,0)</f>
        <v>200</v>
      </c>
      <c r="I2130">
        <v>899</v>
      </c>
      <c r="J2130">
        <v>809</v>
      </c>
      <c r="K2130" t="s">
        <v>1107</v>
      </c>
      <c r="L2130">
        <v>3236</v>
      </c>
      <c r="M2130" t="s">
        <v>1098</v>
      </c>
      <c r="N2130" t="s">
        <v>1099</v>
      </c>
      <c r="O2130">
        <f>Table1[[#This Row],[Unit_Price]]*Table1[[#This Row],[Quantity]]</f>
        <v>800</v>
      </c>
    </row>
    <row r="2131" spans="1:15" x14ac:dyDescent="0.3">
      <c r="A2131" t="s">
        <v>3922</v>
      </c>
      <c r="B2131" t="s">
        <v>3314</v>
      </c>
      <c r="C2131" t="s">
        <v>861</v>
      </c>
      <c r="D2131" t="s">
        <v>1078</v>
      </c>
      <c r="E2131">
        <v>2</v>
      </c>
      <c r="F2131">
        <f>_xlfn.XLOOKUP(Table1[[#This Row],[ProductID]],Products!A:A,Products!D:D,,0)</f>
        <v>80</v>
      </c>
      <c r="I2131">
        <v>499</v>
      </c>
      <c r="J2131">
        <v>499</v>
      </c>
      <c r="K2131" t="s">
        <v>1102</v>
      </c>
      <c r="L2131">
        <v>998</v>
      </c>
      <c r="M2131" t="s">
        <v>1098</v>
      </c>
      <c r="N2131" t="s">
        <v>1099</v>
      </c>
      <c r="O2131">
        <f>Table1[[#This Row],[Unit_Price]]*Table1[[#This Row],[Quantity]]</f>
        <v>160</v>
      </c>
    </row>
    <row r="2132" spans="1:15" x14ac:dyDescent="0.3">
      <c r="A2132" t="s">
        <v>3923</v>
      </c>
      <c r="B2132" t="s">
        <v>2573</v>
      </c>
      <c r="C2132" t="s">
        <v>761</v>
      </c>
      <c r="D2132" t="s">
        <v>1048</v>
      </c>
      <c r="E2132">
        <v>1</v>
      </c>
      <c r="F2132">
        <f>_xlfn.XLOOKUP(Table1[[#This Row],[ProductID]],Products!A:A,Products!D:D,,0)</f>
        <v>120</v>
      </c>
      <c r="I2132">
        <v>599</v>
      </c>
      <c r="J2132">
        <v>599</v>
      </c>
      <c r="K2132" t="s">
        <v>1102</v>
      </c>
      <c r="L2132">
        <v>599</v>
      </c>
      <c r="M2132" t="s">
        <v>1098</v>
      </c>
      <c r="N2132" t="s">
        <v>1099</v>
      </c>
      <c r="O2132">
        <f>Table1[[#This Row],[Unit_Price]]*Table1[[#This Row],[Quantity]]</f>
        <v>120</v>
      </c>
    </row>
    <row r="2133" spans="1:15" x14ac:dyDescent="0.3">
      <c r="A2133" t="s">
        <v>3924</v>
      </c>
      <c r="B2133" t="s">
        <v>1636</v>
      </c>
      <c r="C2133" t="s">
        <v>371</v>
      </c>
      <c r="D2133" t="s">
        <v>1055</v>
      </c>
      <c r="E2133">
        <v>1</v>
      </c>
      <c r="F2133">
        <f>_xlfn.XLOOKUP(Table1[[#This Row],[ProductID]],Products!A:A,Products!D:D,,0)</f>
        <v>75</v>
      </c>
      <c r="I2133">
        <v>299</v>
      </c>
      <c r="J2133">
        <v>269</v>
      </c>
      <c r="K2133" t="s">
        <v>1107</v>
      </c>
      <c r="L2133">
        <v>269</v>
      </c>
      <c r="M2133" t="s">
        <v>1098</v>
      </c>
      <c r="N2133" t="s">
        <v>1099</v>
      </c>
      <c r="O2133">
        <f>Table1[[#This Row],[Unit_Price]]*Table1[[#This Row],[Quantity]]</f>
        <v>75</v>
      </c>
    </row>
    <row r="2134" spans="1:15" x14ac:dyDescent="0.3">
      <c r="A2134" t="s">
        <v>3925</v>
      </c>
      <c r="B2134" t="s">
        <v>1799</v>
      </c>
      <c r="C2134" t="s">
        <v>363</v>
      </c>
      <c r="D2134" t="s">
        <v>1068</v>
      </c>
      <c r="E2134">
        <v>1</v>
      </c>
      <c r="F2134">
        <f>_xlfn.XLOOKUP(Table1[[#This Row],[ProductID]],Products!A:A,Products!D:D,,0)</f>
        <v>180</v>
      </c>
      <c r="I2134">
        <v>449</v>
      </c>
      <c r="J2134">
        <v>449</v>
      </c>
      <c r="K2134" t="s">
        <v>1102</v>
      </c>
      <c r="L2134">
        <v>449</v>
      </c>
      <c r="M2134" t="s">
        <v>1126</v>
      </c>
      <c r="N2134" t="s">
        <v>1099</v>
      </c>
      <c r="O2134">
        <f>Table1[[#This Row],[Unit_Price]]*Table1[[#This Row],[Quantity]]</f>
        <v>180</v>
      </c>
    </row>
    <row r="2135" spans="1:15" x14ac:dyDescent="0.3">
      <c r="A2135" t="s">
        <v>3926</v>
      </c>
      <c r="B2135" t="s">
        <v>1372</v>
      </c>
      <c r="C2135" t="s">
        <v>575</v>
      </c>
      <c r="D2135" t="s">
        <v>1073</v>
      </c>
      <c r="E2135">
        <v>1</v>
      </c>
      <c r="F2135">
        <f>_xlfn.XLOOKUP(Table1[[#This Row],[ProductID]],Products!A:A,Products!D:D,,0)</f>
        <v>100</v>
      </c>
      <c r="I2135">
        <v>349</v>
      </c>
      <c r="J2135">
        <v>314</v>
      </c>
      <c r="K2135" t="s">
        <v>1107</v>
      </c>
      <c r="L2135">
        <v>314</v>
      </c>
      <c r="M2135" t="s">
        <v>1093</v>
      </c>
      <c r="N2135" t="s">
        <v>1094</v>
      </c>
      <c r="O2135">
        <f>Table1[[#This Row],[Unit_Price]]*Table1[[#This Row],[Quantity]]</f>
        <v>100</v>
      </c>
    </row>
    <row r="2136" spans="1:15" x14ac:dyDescent="0.3">
      <c r="A2136" t="s">
        <v>3927</v>
      </c>
      <c r="B2136" t="s">
        <v>1260</v>
      </c>
      <c r="C2136" t="s">
        <v>106</v>
      </c>
      <c r="D2136" t="s">
        <v>1080</v>
      </c>
      <c r="E2136">
        <v>3</v>
      </c>
      <c r="F2136">
        <f>_xlfn.XLOOKUP(Table1[[#This Row],[ProductID]],Products!A:A,Products!D:D,,0)</f>
        <v>45</v>
      </c>
      <c r="I2136">
        <v>249</v>
      </c>
      <c r="J2136">
        <v>249</v>
      </c>
      <c r="K2136" t="s">
        <v>1102</v>
      </c>
      <c r="L2136">
        <v>747</v>
      </c>
      <c r="M2136" t="s">
        <v>1093</v>
      </c>
      <c r="N2136" t="s">
        <v>1094</v>
      </c>
      <c r="O2136">
        <f>Table1[[#This Row],[Unit_Price]]*Table1[[#This Row],[Quantity]]</f>
        <v>135</v>
      </c>
    </row>
    <row r="2137" spans="1:15" x14ac:dyDescent="0.3">
      <c r="A2137" t="s">
        <v>3928</v>
      </c>
      <c r="B2137" t="s">
        <v>2070</v>
      </c>
      <c r="C2137" t="s">
        <v>63</v>
      </c>
      <c r="D2137" t="s">
        <v>1071</v>
      </c>
      <c r="E2137">
        <v>2</v>
      </c>
      <c r="F2137">
        <f>_xlfn.XLOOKUP(Table1[[#This Row],[ProductID]],Products!A:A,Products!D:D,,0)</f>
        <v>125</v>
      </c>
      <c r="I2137">
        <v>399</v>
      </c>
      <c r="J2137">
        <v>399</v>
      </c>
      <c r="K2137" t="s">
        <v>1102</v>
      </c>
      <c r="L2137">
        <v>798</v>
      </c>
      <c r="M2137" t="s">
        <v>1093</v>
      </c>
      <c r="N2137" t="s">
        <v>1099</v>
      </c>
      <c r="O2137">
        <f>Table1[[#This Row],[Unit_Price]]*Table1[[#This Row],[Quantity]]</f>
        <v>250</v>
      </c>
    </row>
    <row r="2138" spans="1:15" x14ac:dyDescent="0.3">
      <c r="A2138" t="s">
        <v>3929</v>
      </c>
      <c r="B2138" t="s">
        <v>3930</v>
      </c>
      <c r="C2138" t="s">
        <v>851</v>
      </c>
      <c r="D2138" t="s">
        <v>1057</v>
      </c>
      <c r="E2138">
        <v>1</v>
      </c>
      <c r="F2138">
        <f>_xlfn.XLOOKUP(Table1[[#This Row],[ProductID]],Products!A:A,Products!D:D,,0)</f>
        <v>130</v>
      </c>
      <c r="I2138">
        <v>549</v>
      </c>
      <c r="J2138">
        <v>467</v>
      </c>
      <c r="K2138" t="s">
        <v>1092</v>
      </c>
      <c r="L2138">
        <v>467</v>
      </c>
      <c r="M2138" t="s">
        <v>1098</v>
      </c>
      <c r="N2138" t="s">
        <v>1099</v>
      </c>
      <c r="O2138">
        <f>Table1[[#This Row],[Unit_Price]]*Table1[[#This Row],[Quantity]]</f>
        <v>130</v>
      </c>
    </row>
    <row r="2139" spans="1:15" x14ac:dyDescent="0.3">
      <c r="A2139" t="s">
        <v>3931</v>
      </c>
      <c r="B2139" t="s">
        <v>1422</v>
      </c>
      <c r="C2139" t="s">
        <v>1017</v>
      </c>
      <c r="D2139" t="s">
        <v>1080</v>
      </c>
      <c r="E2139">
        <v>1</v>
      </c>
      <c r="F2139">
        <f>_xlfn.XLOOKUP(Table1[[#This Row],[ProductID]],Products!A:A,Products!D:D,,0)</f>
        <v>45</v>
      </c>
      <c r="I2139">
        <v>249</v>
      </c>
      <c r="J2139">
        <v>199</v>
      </c>
      <c r="K2139" t="s">
        <v>1097</v>
      </c>
      <c r="L2139">
        <v>199</v>
      </c>
      <c r="M2139" t="s">
        <v>1093</v>
      </c>
      <c r="N2139" t="s">
        <v>1099</v>
      </c>
      <c r="O2139">
        <f>Table1[[#This Row],[Unit_Price]]*Table1[[#This Row],[Quantity]]</f>
        <v>45</v>
      </c>
    </row>
    <row r="2140" spans="1:15" x14ac:dyDescent="0.3">
      <c r="A2140" t="s">
        <v>3932</v>
      </c>
      <c r="B2140" t="s">
        <v>1632</v>
      </c>
      <c r="C2140" t="s">
        <v>453</v>
      </c>
      <c r="D2140" t="s">
        <v>1066</v>
      </c>
      <c r="E2140">
        <v>1</v>
      </c>
      <c r="F2140">
        <f>_xlfn.XLOOKUP(Table1[[#This Row],[ProductID]],Products!A:A,Products!D:D,,0)</f>
        <v>140</v>
      </c>
      <c r="I2140">
        <v>499</v>
      </c>
      <c r="J2140">
        <v>499</v>
      </c>
      <c r="K2140" t="s">
        <v>1102</v>
      </c>
      <c r="L2140">
        <v>499</v>
      </c>
      <c r="M2140" t="s">
        <v>1093</v>
      </c>
      <c r="N2140" t="s">
        <v>1094</v>
      </c>
      <c r="O2140">
        <f>Table1[[#This Row],[Unit_Price]]*Table1[[#This Row],[Quantity]]</f>
        <v>140</v>
      </c>
    </row>
    <row r="2141" spans="1:15" x14ac:dyDescent="0.3">
      <c r="A2141" t="s">
        <v>3933</v>
      </c>
      <c r="B2141" t="s">
        <v>1420</v>
      </c>
      <c r="C2141" t="s">
        <v>419</v>
      </c>
      <c r="D2141" t="s">
        <v>1055</v>
      </c>
      <c r="E2141">
        <v>1</v>
      </c>
      <c r="F2141">
        <f>_xlfn.XLOOKUP(Table1[[#This Row],[ProductID]],Products!A:A,Products!D:D,,0)</f>
        <v>75</v>
      </c>
      <c r="I2141">
        <v>299</v>
      </c>
      <c r="J2141">
        <v>239</v>
      </c>
      <c r="K2141" t="s">
        <v>1097</v>
      </c>
      <c r="L2141">
        <v>239</v>
      </c>
      <c r="M2141" t="s">
        <v>1093</v>
      </c>
      <c r="N2141" t="s">
        <v>1099</v>
      </c>
      <c r="O2141">
        <f>Table1[[#This Row],[Unit_Price]]*Table1[[#This Row],[Quantity]]</f>
        <v>75</v>
      </c>
    </row>
    <row r="2142" spans="1:15" x14ac:dyDescent="0.3">
      <c r="A2142" t="s">
        <v>3934</v>
      </c>
      <c r="B2142" t="s">
        <v>1101</v>
      </c>
      <c r="C2142" t="s">
        <v>757</v>
      </c>
      <c r="D2142" t="s">
        <v>1053</v>
      </c>
      <c r="E2142">
        <v>2</v>
      </c>
      <c r="F2142">
        <f>_xlfn.XLOOKUP(Table1[[#This Row],[ProductID]],Products!A:A,Products!D:D,,0)</f>
        <v>200</v>
      </c>
      <c r="I2142">
        <v>899</v>
      </c>
      <c r="J2142">
        <v>809</v>
      </c>
      <c r="K2142" t="s">
        <v>1107</v>
      </c>
      <c r="L2142">
        <v>1618</v>
      </c>
      <c r="M2142" t="s">
        <v>1093</v>
      </c>
      <c r="N2142" t="s">
        <v>1099</v>
      </c>
      <c r="O2142">
        <f>Table1[[#This Row],[Unit_Price]]*Table1[[#This Row],[Quantity]]</f>
        <v>400</v>
      </c>
    </row>
    <row r="2143" spans="1:15" x14ac:dyDescent="0.3">
      <c r="A2143" t="s">
        <v>3935</v>
      </c>
      <c r="B2143" t="s">
        <v>1104</v>
      </c>
      <c r="C2143" t="s">
        <v>145</v>
      </c>
      <c r="D2143" t="s">
        <v>1055</v>
      </c>
      <c r="E2143">
        <v>2</v>
      </c>
      <c r="F2143">
        <f>_xlfn.XLOOKUP(Table1[[#This Row],[ProductID]],Products!A:A,Products!D:D,,0)</f>
        <v>75</v>
      </c>
      <c r="I2143">
        <v>299</v>
      </c>
      <c r="J2143">
        <v>254</v>
      </c>
      <c r="K2143" t="s">
        <v>1092</v>
      </c>
      <c r="L2143">
        <v>508</v>
      </c>
      <c r="M2143" t="s">
        <v>1093</v>
      </c>
      <c r="N2143" t="s">
        <v>1099</v>
      </c>
      <c r="O2143">
        <f>Table1[[#This Row],[Unit_Price]]*Table1[[#This Row],[Quantity]]</f>
        <v>150</v>
      </c>
    </row>
    <row r="2144" spans="1:15" x14ac:dyDescent="0.3">
      <c r="A2144" t="s">
        <v>3936</v>
      </c>
      <c r="B2144" t="s">
        <v>2124</v>
      </c>
      <c r="C2144" t="s">
        <v>941</v>
      </c>
      <c r="D2144" t="s">
        <v>1066</v>
      </c>
      <c r="E2144">
        <v>2</v>
      </c>
      <c r="F2144">
        <f>_xlfn.XLOOKUP(Table1[[#This Row],[ProductID]],Products!A:A,Products!D:D,,0)</f>
        <v>140</v>
      </c>
      <c r="I2144">
        <v>499</v>
      </c>
      <c r="J2144">
        <v>449</v>
      </c>
      <c r="K2144" t="s">
        <v>1107</v>
      </c>
      <c r="L2144">
        <v>898</v>
      </c>
      <c r="M2144" t="s">
        <v>1093</v>
      </c>
      <c r="N2144" t="s">
        <v>1099</v>
      </c>
      <c r="O2144">
        <f>Table1[[#This Row],[Unit_Price]]*Table1[[#This Row],[Quantity]]</f>
        <v>280</v>
      </c>
    </row>
    <row r="2145" spans="1:15" x14ac:dyDescent="0.3">
      <c r="A2145" t="s">
        <v>3937</v>
      </c>
      <c r="B2145" t="s">
        <v>1357</v>
      </c>
      <c r="C2145" t="s">
        <v>251</v>
      </c>
      <c r="D2145" t="s">
        <v>1080</v>
      </c>
      <c r="E2145">
        <v>3</v>
      </c>
      <c r="F2145">
        <f>_xlfn.XLOOKUP(Table1[[#This Row],[ProductID]],Products!A:A,Products!D:D,,0)</f>
        <v>45</v>
      </c>
      <c r="I2145">
        <v>249</v>
      </c>
      <c r="J2145">
        <v>212</v>
      </c>
      <c r="K2145" t="s">
        <v>1092</v>
      </c>
      <c r="L2145">
        <v>636</v>
      </c>
      <c r="M2145" t="s">
        <v>1118</v>
      </c>
      <c r="N2145" t="s">
        <v>1099</v>
      </c>
      <c r="O2145">
        <f>Table1[[#This Row],[Unit_Price]]*Table1[[#This Row],[Quantity]]</f>
        <v>135</v>
      </c>
    </row>
    <row r="2146" spans="1:15" x14ac:dyDescent="0.3">
      <c r="A2146" t="s">
        <v>3938</v>
      </c>
      <c r="B2146" t="s">
        <v>1244</v>
      </c>
      <c r="C2146" t="s">
        <v>235</v>
      </c>
      <c r="D2146" t="s">
        <v>1053</v>
      </c>
      <c r="E2146">
        <v>1</v>
      </c>
      <c r="F2146">
        <f>_xlfn.XLOOKUP(Table1[[#This Row],[ProductID]],Products!A:A,Products!D:D,,0)</f>
        <v>200</v>
      </c>
      <c r="I2146">
        <v>899</v>
      </c>
      <c r="J2146">
        <v>764</v>
      </c>
      <c r="K2146" t="s">
        <v>1092</v>
      </c>
      <c r="L2146">
        <v>764</v>
      </c>
      <c r="M2146" t="s">
        <v>1098</v>
      </c>
      <c r="N2146" t="s">
        <v>1099</v>
      </c>
      <c r="O2146">
        <f>Table1[[#This Row],[Unit_Price]]*Table1[[#This Row],[Quantity]]</f>
        <v>200</v>
      </c>
    </row>
    <row r="2147" spans="1:15" x14ac:dyDescent="0.3">
      <c r="A2147" t="s">
        <v>3939</v>
      </c>
      <c r="B2147" t="s">
        <v>1634</v>
      </c>
      <c r="C2147" t="s">
        <v>749</v>
      </c>
      <c r="D2147" t="s">
        <v>1048</v>
      </c>
      <c r="E2147">
        <v>3</v>
      </c>
      <c r="F2147">
        <f>_xlfn.XLOOKUP(Table1[[#This Row],[ProductID]],Products!A:A,Products!D:D,,0)</f>
        <v>120</v>
      </c>
      <c r="I2147">
        <v>599</v>
      </c>
      <c r="J2147">
        <v>479</v>
      </c>
      <c r="K2147" t="s">
        <v>1097</v>
      </c>
      <c r="L2147">
        <v>1437</v>
      </c>
      <c r="M2147" t="s">
        <v>1098</v>
      </c>
      <c r="N2147" t="s">
        <v>1099</v>
      </c>
      <c r="O2147">
        <f>Table1[[#This Row],[Unit_Price]]*Table1[[#This Row],[Quantity]]</f>
        <v>360</v>
      </c>
    </row>
    <row r="2148" spans="1:15" x14ac:dyDescent="0.3">
      <c r="A2148" t="s">
        <v>3940</v>
      </c>
      <c r="B2148" t="s">
        <v>3086</v>
      </c>
      <c r="C2148" t="s">
        <v>871</v>
      </c>
      <c r="D2148" t="s">
        <v>1071</v>
      </c>
      <c r="E2148">
        <v>3</v>
      </c>
      <c r="F2148">
        <f>_xlfn.XLOOKUP(Table1[[#This Row],[ProductID]],Products!A:A,Products!D:D,,0)</f>
        <v>125</v>
      </c>
      <c r="I2148">
        <v>399</v>
      </c>
      <c r="J2148">
        <v>319</v>
      </c>
      <c r="K2148" t="s">
        <v>1097</v>
      </c>
      <c r="L2148">
        <v>957</v>
      </c>
      <c r="M2148" t="s">
        <v>1093</v>
      </c>
      <c r="N2148" t="s">
        <v>1099</v>
      </c>
      <c r="O2148">
        <f>Table1[[#This Row],[Unit_Price]]*Table1[[#This Row],[Quantity]]</f>
        <v>375</v>
      </c>
    </row>
    <row r="2149" spans="1:15" x14ac:dyDescent="0.3">
      <c r="A2149" t="s">
        <v>3941</v>
      </c>
      <c r="B2149" t="s">
        <v>1803</v>
      </c>
      <c r="C2149" t="s">
        <v>505</v>
      </c>
      <c r="D2149" t="s">
        <v>1075</v>
      </c>
      <c r="E2149">
        <v>2</v>
      </c>
      <c r="F2149">
        <f>_xlfn.XLOOKUP(Table1[[#This Row],[ProductID]],Products!A:A,Products!D:D,,0)</f>
        <v>80</v>
      </c>
      <c r="I2149">
        <v>499</v>
      </c>
      <c r="J2149">
        <v>449</v>
      </c>
      <c r="K2149" t="s">
        <v>1107</v>
      </c>
      <c r="L2149">
        <v>898</v>
      </c>
      <c r="M2149" t="s">
        <v>1118</v>
      </c>
      <c r="N2149" t="s">
        <v>1099</v>
      </c>
      <c r="O2149">
        <f>Table1[[#This Row],[Unit_Price]]*Table1[[#This Row],[Quantity]]</f>
        <v>160</v>
      </c>
    </row>
    <row r="2150" spans="1:15" x14ac:dyDescent="0.3">
      <c r="A2150" t="s">
        <v>3942</v>
      </c>
      <c r="B2150" t="s">
        <v>1381</v>
      </c>
      <c r="C2150" t="s">
        <v>367</v>
      </c>
      <c r="D2150" t="s">
        <v>1068</v>
      </c>
      <c r="E2150">
        <v>1</v>
      </c>
      <c r="F2150">
        <f>_xlfn.XLOOKUP(Table1[[#This Row],[ProductID]],Products!A:A,Products!D:D,,0)</f>
        <v>180</v>
      </c>
      <c r="I2150">
        <v>449</v>
      </c>
      <c r="J2150">
        <v>449</v>
      </c>
      <c r="K2150" t="s">
        <v>1102</v>
      </c>
      <c r="L2150">
        <v>449</v>
      </c>
      <c r="M2150" t="s">
        <v>1126</v>
      </c>
      <c r="N2150" t="s">
        <v>1099</v>
      </c>
      <c r="O2150">
        <f>Table1[[#This Row],[Unit_Price]]*Table1[[#This Row],[Quantity]]</f>
        <v>180</v>
      </c>
    </row>
    <row r="2151" spans="1:15" x14ac:dyDescent="0.3">
      <c r="A2151" t="s">
        <v>3943</v>
      </c>
      <c r="B2151" t="s">
        <v>3944</v>
      </c>
      <c r="C2151" t="s">
        <v>351</v>
      </c>
      <c r="D2151" t="s">
        <v>1048</v>
      </c>
      <c r="E2151">
        <v>1</v>
      </c>
      <c r="F2151">
        <f>_xlfn.XLOOKUP(Table1[[#This Row],[ProductID]],Products!A:A,Products!D:D,,0)</f>
        <v>120</v>
      </c>
      <c r="I2151">
        <v>599</v>
      </c>
      <c r="J2151">
        <v>479</v>
      </c>
      <c r="K2151" t="s">
        <v>1097</v>
      </c>
      <c r="L2151">
        <v>479</v>
      </c>
      <c r="M2151" t="s">
        <v>1098</v>
      </c>
      <c r="N2151" t="s">
        <v>1099</v>
      </c>
      <c r="O2151">
        <f>Table1[[#This Row],[Unit_Price]]*Table1[[#This Row],[Quantity]]</f>
        <v>120</v>
      </c>
    </row>
    <row r="2152" spans="1:15" x14ac:dyDescent="0.3">
      <c r="A2152" t="s">
        <v>3945</v>
      </c>
      <c r="B2152" t="s">
        <v>1519</v>
      </c>
      <c r="C2152" t="s">
        <v>431</v>
      </c>
      <c r="D2152" t="s">
        <v>1064</v>
      </c>
      <c r="E2152">
        <v>1</v>
      </c>
      <c r="F2152">
        <f>_xlfn.XLOOKUP(Table1[[#This Row],[ProductID]],Products!A:A,Products!D:D,,0)</f>
        <v>160</v>
      </c>
      <c r="I2152">
        <v>699</v>
      </c>
      <c r="J2152">
        <v>559</v>
      </c>
      <c r="K2152" t="s">
        <v>1097</v>
      </c>
      <c r="L2152">
        <v>559</v>
      </c>
      <c r="M2152" t="s">
        <v>1098</v>
      </c>
      <c r="N2152" t="s">
        <v>1099</v>
      </c>
      <c r="O2152">
        <f>Table1[[#This Row],[Unit_Price]]*Table1[[#This Row],[Quantity]]</f>
        <v>160</v>
      </c>
    </row>
    <row r="2153" spans="1:15" x14ac:dyDescent="0.3">
      <c r="A2153" t="s">
        <v>3946</v>
      </c>
      <c r="B2153" t="s">
        <v>2940</v>
      </c>
      <c r="C2153" t="s">
        <v>116</v>
      </c>
      <c r="D2153" t="s">
        <v>1080</v>
      </c>
      <c r="E2153">
        <v>1</v>
      </c>
      <c r="F2153">
        <f>_xlfn.XLOOKUP(Table1[[#This Row],[ProductID]],Products!A:A,Products!D:D,,0)</f>
        <v>45</v>
      </c>
      <c r="I2153">
        <v>249</v>
      </c>
      <c r="J2153">
        <v>224</v>
      </c>
      <c r="K2153" t="s">
        <v>1107</v>
      </c>
      <c r="L2153">
        <v>224</v>
      </c>
      <c r="M2153" t="s">
        <v>1098</v>
      </c>
      <c r="N2153" t="s">
        <v>1099</v>
      </c>
      <c r="O2153">
        <f>Table1[[#This Row],[Unit_Price]]*Table1[[#This Row],[Quantity]]</f>
        <v>45</v>
      </c>
    </row>
    <row r="2154" spans="1:15" x14ac:dyDescent="0.3">
      <c r="A2154" t="s">
        <v>3947</v>
      </c>
      <c r="B2154" t="s">
        <v>1162</v>
      </c>
      <c r="C2154" t="s">
        <v>521</v>
      </c>
      <c r="D2154" t="s">
        <v>1068</v>
      </c>
      <c r="E2154">
        <v>2</v>
      </c>
      <c r="F2154">
        <f>_xlfn.XLOOKUP(Table1[[#This Row],[ProductID]],Products!A:A,Products!D:D,,0)</f>
        <v>180</v>
      </c>
      <c r="I2154">
        <v>449</v>
      </c>
      <c r="J2154">
        <v>404</v>
      </c>
      <c r="K2154" t="s">
        <v>1107</v>
      </c>
      <c r="L2154">
        <v>808</v>
      </c>
      <c r="M2154" t="s">
        <v>1093</v>
      </c>
      <c r="N2154" t="s">
        <v>1094</v>
      </c>
      <c r="O2154">
        <f>Table1[[#This Row],[Unit_Price]]*Table1[[#This Row],[Quantity]]</f>
        <v>360</v>
      </c>
    </row>
    <row r="2155" spans="1:15" x14ac:dyDescent="0.3">
      <c r="A2155" t="s">
        <v>3948</v>
      </c>
      <c r="B2155" t="s">
        <v>3109</v>
      </c>
      <c r="C2155" t="s">
        <v>979</v>
      </c>
      <c r="D2155" t="s">
        <v>1059</v>
      </c>
      <c r="E2155">
        <v>3</v>
      </c>
      <c r="F2155">
        <f>_xlfn.XLOOKUP(Table1[[#This Row],[ProductID]],Products!A:A,Products!D:D,,0)</f>
        <v>110</v>
      </c>
      <c r="I2155">
        <v>399</v>
      </c>
      <c r="J2155">
        <v>339</v>
      </c>
      <c r="K2155" t="s">
        <v>1092</v>
      </c>
      <c r="L2155">
        <v>1017</v>
      </c>
      <c r="M2155" t="s">
        <v>1098</v>
      </c>
      <c r="N2155" t="s">
        <v>1099</v>
      </c>
      <c r="O2155">
        <f>Table1[[#This Row],[Unit_Price]]*Table1[[#This Row],[Quantity]]</f>
        <v>330</v>
      </c>
    </row>
    <row r="2156" spans="1:15" x14ac:dyDescent="0.3">
      <c r="A2156" t="s">
        <v>3949</v>
      </c>
      <c r="B2156" t="s">
        <v>1610</v>
      </c>
      <c r="C2156" t="s">
        <v>459</v>
      </c>
      <c r="D2156" t="s">
        <v>1048</v>
      </c>
      <c r="E2156">
        <v>1</v>
      </c>
      <c r="F2156">
        <f>_xlfn.XLOOKUP(Table1[[#This Row],[ProductID]],Products!A:A,Products!D:D,,0)</f>
        <v>120</v>
      </c>
      <c r="I2156">
        <v>599</v>
      </c>
      <c r="J2156">
        <v>599</v>
      </c>
      <c r="K2156" t="s">
        <v>1102</v>
      </c>
      <c r="L2156">
        <v>599</v>
      </c>
      <c r="M2156" t="s">
        <v>1098</v>
      </c>
      <c r="N2156" t="s">
        <v>1099</v>
      </c>
      <c r="O2156">
        <f>Table1[[#This Row],[Unit_Price]]*Table1[[#This Row],[Quantity]]</f>
        <v>120</v>
      </c>
    </row>
    <row r="2157" spans="1:15" x14ac:dyDescent="0.3">
      <c r="A2157" t="s">
        <v>3950</v>
      </c>
      <c r="B2157" t="s">
        <v>2438</v>
      </c>
      <c r="C2157" t="s">
        <v>1023</v>
      </c>
      <c r="D2157" t="s">
        <v>1080</v>
      </c>
      <c r="E2157">
        <v>1</v>
      </c>
      <c r="F2157">
        <f>_xlfn.XLOOKUP(Table1[[#This Row],[ProductID]],Products!A:A,Products!D:D,,0)</f>
        <v>45</v>
      </c>
      <c r="I2157">
        <v>249</v>
      </c>
      <c r="J2157">
        <v>224</v>
      </c>
      <c r="K2157" t="s">
        <v>1107</v>
      </c>
      <c r="L2157">
        <v>224</v>
      </c>
      <c r="M2157" t="s">
        <v>1118</v>
      </c>
      <c r="N2157" t="s">
        <v>1099</v>
      </c>
      <c r="O2157">
        <f>Table1[[#This Row],[Unit_Price]]*Table1[[#This Row],[Quantity]]</f>
        <v>45</v>
      </c>
    </row>
    <row r="2158" spans="1:15" x14ac:dyDescent="0.3">
      <c r="A2158" t="s">
        <v>3951</v>
      </c>
      <c r="B2158" t="s">
        <v>3952</v>
      </c>
      <c r="C2158" t="s">
        <v>945</v>
      </c>
      <c r="D2158" t="s">
        <v>1059</v>
      </c>
      <c r="E2158">
        <v>1</v>
      </c>
      <c r="F2158">
        <f>_xlfn.XLOOKUP(Table1[[#This Row],[ProductID]],Products!A:A,Products!D:D,,0)</f>
        <v>110</v>
      </c>
      <c r="I2158">
        <v>399</v>
      </c>
      <c r="J2158">
        <v>359</v>
      </c>
      <c r="K2158" t="s">
        <v>1107</v>
      </c>
      <c r="L2158">
        <v>359</v>
      </c>
      <c r="M2158" t="s">
        <v>1093</v>
      </c>
      <c r="N2158" t="s">
        <v>1094</v>
      </c>
      <c r="O2158">
        <f>Table1[[#This Row],[Unit_Price]]*Table1[[#This Row],[Quantity]]</f>
        <v>110</v>
      </c>
    </row>
    <row r="2159" spans="1:15" x14ac:dyDescent="0.3">
      <c r="A2159" t="s">
        <v>3953</v>
      </c>
      <c r="B2159" t="s">
        <v>2481</v>
      </c>
      <c r="C2159" t="s">
        <v>703</v>
      </c>
      <c r="D2159" t="s">
        <v>1068</v>
      </c>
      <c r="E2159">
        <v>1</v>
      </c>
      <c r="F2159">
        <f>_xlfn.XLOOKUP(Table1[[#This Row],[ProductID]],Products!A:A,Products!D:D,,0)</f>
        <v>180</v>
      </c>
      <c r="I2159">
        <v>449</v>
      </c>
      <c r="J2159">
        <v>382</v>
      </c>
      <c r="K2159" t="s">
        <v>1092</v>
      </c>
      <c r="L2159">
        <v>382</v>
      </c>
      <c r="M2159" t="s">
        <v>1098</v>
      </c>
      <c r="N2159" t="s">
        <v>1099</v>
      </c>
      <c r="O2159">
        <f>Table1[[#This Row],[Unit_Price]]*Table1[[#This Row],[Quantity]]</f>
        <v>180</v>
      </c>
    </row>
    <row r="2160" spans="1:15" x14ac:dyDescent="0.3">
      <c r="A2160" t="s">
        <v>3954</v>
      </c>
      <c r="B2160" t="s">
        <v>2963</v>
      </c>
      <c r="C2160" t="s">
        <v>1005</v>
      </c>
      <c r="D2160" t="s">
        <v>1059</v>
      </c>
      <c r="E2160">
        <v>1</v>
      </c>
      <c r="F2160">
        <f>_xlfn.XLOOKUP(Table1[[#This Row],[ProductID]],Products!A:A,Products!D:D,,0)</f>
        <v>110</v>
      </c>
      <c r="I2160">
        <v>399</v>
      </c>
      <c r="J2160">
        <v>359</v>
      </c>
      <c r="K2160" t="s">
        <v>1107</v>
      </c>
      <c r="L2160">
        <v>359</v>
      </c>
      <c r="M2160" t="s">
        <v>1126</v>
      </c>
      <c r="N2160" t="s">
        <v>1099</v>
      </c>
      <c r="O2160">
        <f>Table1[[#This Row],[Unit_Price]]*Table1[[#This Row],[Quantity]]</f>
        <v>110</v>
      </c>
    </row>
    <row r="2161" spans="1:15" x14ac:dyDescent="0.3">
      <c r="A2161" t="s">
        <v>3955</v>
      </c>
      <c r="B2161" t="s">
        <v>3411</v>
      </c>
      <c r="C2161" t="s">
        <v>433</v>
      </c>
      <c r="D2161" t="s">
        <v>1080</v>
      </c>
      <c r="E2161">
        <v>2</v>
      </c>
      <c r="F2161">
        <f>_xlfn.XLOOKUP(Table1[[#This Row],[ProductID]],Products!A:A,Products!D:D,,0)</f>
        <v>45</v>
      </c>
      <c r="I2161">
        <v>249</v>
      </c>
      <c r="J2161">
        <v>199</v>
      </c>
      <c r="K2161" t="s">
        <v>1097</v>
      </c>
      <c r="L2161">
        <v>398</v>
      </c>
      <c r="M2161" t="s">
        <v>1126</v>
      </c>
      <c r="N2161" t="s">
        <v>1099</v>
      </c>
      <c r="O2161">
        <f>Table1[[#This Row],[Unit_Price]]*Table1[[#This Row],[Quantity]]</f>
        <v>90</v>
      </c>
    </row>
    <row r="2162" spans="1:15" x14ac:dyDescent="0.3">
      <c r="A2162" t="s">
        <v>3956</v>
      </c>
      <c r="B2162" t="s">
        <v>1219</v>
      </c>
      <c r="C2162" t="s">
        <v>191</v>
      </c>
      <c r="D2162" t="s">
        <v>1051</v>
      </c>
      <c r="E2162">
        <v>2</v>
      </c>
      <c r="F2162">
        <f>_xlfn.XLOOKUP(Table1[[#This Row],[ProductID]],Products!A:A,Products!D:D,,0)</f>
        <v>150</v>
      </c>
      <c r="I2162">
        <v>499</v>
      </c>
      <c r="J2162">
        <v>499</v>
      </c>
      <c r="K2162" t="s">
        <v>1102</v>
      </c>
      <c r="L2162">
        <v>998</v>
      </c>
      <c r="M2162" t="s">
        <v>1093</v>
      </c>
      <c r="N2162" t="s">
        <v>1123</v>
      </c>
      <c r="O2162">
        <f>Table1[[#This Row],[Unit_Price]]*Table1[[#This Row],[Quantity]]</f>
        <v>300</v>
      </c>
    </row>
    <row r="2163" spans="1:15" x14ac:dyDescent="0.3">
      <c r="A2163" t="s">
        <v>3957</v>
      </c>
      <c r="B2163" t="s">
        <v>3516</v>
      </c>
      <c r="C2163" t="s">
        <v>969</v>
      </c>
      <c r="D2163" t="s">
        <v>1048</v>
      </c>
      <c r="E2163">
        <v>1</v>
      </c>
      <c r="F2163">
        <f>_xlfn.XLOOKUP(Table1[[#This Row],[ProductID]],Products!A:A,Products!D:D,,0)</f>
        <v>120</v>
      </c>
      <c r="I2163">
        <v>599</v>
      </c>
      <c r="J2163">
        <v>479</v>
      </c>
      <c r="K2163" t="s">
        <v>1097</v>
      </c>
      <c r="L2163">
        <v>479</v>
      </c>
      <c r="M2163" t="s">
        <v>1093</v>
      </c>
      <c r="N2163" t="s">
        <v>1094</v>
      </c>
      <c r="O2163">
        <f>Table1[[#This Row],[Unit_Price]]*Table1[[#This Row],[Quantity]]</f>
        <v>120</v>
      </c>
    </row>
    <row r="2164" spans="1:15" x14ac:dyDescent="0.3">
      <c r="A2164" t="s">
        <v>3958</v>
      </c>
      <c r="B2164" t="s">
        <v>1610</v>
      </c>
      <c r="C2164" t="s">
        <v>523</v>
      </c>
      <c r="D2164" t="s">
        <v>1066</v>
      </c>
      <c r="E2164">
        <v>3</v>
      </c>
      <c r="F2164">
        <f>_xlfn.XLOOKUP(Table1[[#This Row],[ProductID]],Products!A:A,Products!D:D,,0)</f>
        <v>140</v>
      </c>
      <c r="I2164">
        <v>499</v>
      </c>
      <c r="J2164">
        <v>424</v>
      </c>
      <c r="K2164" t="s">
        <v>1092</v>
      </c>
      <c r="L2164">
        <v>1272</v>
      </c>
      <c r="M2164" t="s">
        <v>1093</v>
      </c>
      <c r="N2164" t="s">
        <v>1099</v>
      </c>
      <c r="O2164">
        <f>Table1[[#This Row],[Unit_Price]]*Table1[[#This Row],[Quantity]]</f>
        <v>420</v>
      </c>
    </row>
    <row r="2165" spans="1:15" x14ac:dyDescent="0.3">
      <c r="A2165" t="s">
        <v>3959</v>
      </c>
      <c r="B2165" t="s">
        <v>1589</v>
      </c>
      <c r="C2165" t="s">
        <v>441</v>
      </c>
      <c r="D2165" t="s">
        <v>1057</v>
      </c>
      <c r="E2165">
        <v>1</v>
      </c>
      <c r="F2165">
        <f>_xlfn.XLOOKUP(Table1[[#This Row],[ProductID]],Products!A:A,Products!D:D,,0)</f>
        <v>130</v>
      </c>
      <c r="I2165">
        <v>549</v>
      </c>
      <c r="J2165">
        <v>467</v>
      </c>
      <c r="K2165" t="s">
        <v>1092</v>
      </c>
      <c r="L2165">
        <v>467</v>
      </c>
      <c r="M2165" t="s">
        <v>1098</v>
      </c>
      <c r="N2165" t="s">
        <v>1099</v>
      </c>
      <c r="O2165">
        <f>Table1[[#This Row],[Unit_Price]]*Table1[[#This Row],[Quantity]]</f>
        <v>130</v>
      </c>
    </row>
    <row r="2166" spans="1:15" x14ac:dyDescent="0.3">
      <c r="A2166" t="s">
        <v>3960</v>
      </c>
      <c r="B2166" t="s">
        <v>1511</v>
      </c>
      <c r="C2166" t="s">
        <v>871</v>
      </c>
      <c r="D2166" t="s">
        <v>1075</v>
      </c>
      <c r="E2166">
        <v>1</v>
      </c>
      <c r="F2166">
        <f>_xlfn.XLOOKUP(Table1[[#This Row],[ProductID]],Products!A:A,Products!D:D,,0)</f>
        <v>80</v>
      </c>
      <c r="I2166">
        <v>499</v>
      </c>
      <c r="J2166">
        <v>399</v>
      </c>
      <c r="K2166" t="s">
        <v>1097</v>
      </c>
      <c r="L2166">
        <v>399</v>
      </c>
      <c r="M2166" t="s">
        <v>1126</v>
      </c>
      <c r="N2166" t="s">
        <v>1123</v>
      </c>
      <c r="O2166">
        <f>Table1[[#This Row],[Unit_Price]]*Table1[[#This Row],[Quantity]]</f>
        <v>80</v>
      </c>
    </row>
    <row r="2167" spans="1:15" x14ac:dyDescent="0.3">
      <c r="A2167" t="s">
        <v>3961</v>
      </c>
      <c r="B2167" t="s">
        <v>2070</v>
      </c>
      <c r="C2167" t="s">
        <v>118</v>
      </c>
      <c r="D2167" t="s">
        <v>1064</v>
      </c>
      <c r="E2167">
        <v>2</v>
      </c>
      <c r="F2167">
        <f>_xlfn.XLOOKUP(Table1[[#This Row],[ProductID]],Products!A:A,Products!D:D,,0)</f>
        <v>160</v>
      </c>
      <c r="I2167">
        <v>699</v>
      </c>
      <c r="J2167">
        <v>559</v>
      </c>
      <c r="K2167" t="s">
        <v>1097</v>
      </c>
      <c r="L2167">
        <v>1118</v>
      </c>
      <c r="M2167" t="s">
        <v>1093</v>
      </c>
      <c r="N2167" t="s">
        <v>1099</v>
      </c>
      <c r="O2167">
        <f>Table1[[#This Row],[Unit_Price]]*Table1[[#This Row],[Quantity]]</f>
        <v>320</v>
      </c>
    </row>
    <row r="2168" spans="1:15" x14ac:dyDescent="0.3">
      <c r="A2168" t="s">
        <v>3962</v>
      </c>
      <c r="B2168" t="s">
        <v>2195</v>
      </c>
      <c r="C2168" t="s">
        <v>781</v>
      </c>
      <c r="D2168" t="s">
        <v>1051</v>
      </c>
      <c r="E2168">
        <v>1</v>
      </c>
      <c r="F2168">
        <f>_xlfn.XLOOKUP(Table1[[#This Row],[ProductID]],Products!A:A,Products!D:D,,0)</f>
        <v>150</v>
      </c>
      <c r="I2168">
        <v>499</v>
      </c>
      <c r="J2168">
        <v>449</v>
      </c>
      <c r="K2168" t="s">
        <v>1107</v>
      </c>
      <c r="L2168">
        <v>449</v>
      </c>
      <c r="M2168" t="s">
        <v>1118</v>
      </c>
      <c r="N2168" t="s">
        <v>1099</v>
      </c>
      <c r="O2168">
        <f>Table1[[#This Row],[Unit_Price]]*Table1[[#This Row],[Quantity]]</f>
        <v>150</v>
      </c>
    </row>
    <row r="2169" spans="1:15" x14ac:dyDescent="0.3">
      <c r="A2169" t="s">
        <v>3963</v>
      </c>
      <c r="B2169" t="s">
        <v>1174</v>
      </c>
      <c r="C2169" t="s">
        <v>49</v>
      </c>
      <c r="D2169" t="s">
        <v>1080</v>
      </c>
      <c r="E2169">
        <v>2</v>
      </c>
      <c r="F2169">
        <f>_xlfn.XLOOKUP(Table1[[#This Row],[ProductID]],Products!A:A,Products!D:D,,0)</f>
        <v>45</v>
      </c>
      <c r="I2169">
        <v>249</v>
      </c>
      <c r="J2169">
        <v>212</v>
      </c>
      <c r="K2169" t="s">
        <v>1092</v>
      </c>
      <c r="L2169">
        <v>424</v>
      </c>
      <c r="M2169" t="s">
        <v>1098</v>
      </c>
      <c r="N2169" t="s">
        <v>1099</v>
      </c>
      <c r="O2169">
        <f>Table1[[#This Row],[Unit_Price]]*Table1[[#This Row],[Quantity]]</f>
        <v>90</v>
      </c>
    </row>
    <row r="2170" spans="1:15" x14ac:dyDescent="0.3">
      <c r="A2170" t="s">
        <v>3964</v>
      </c>
      <c r="B2170" t="s">
        <v>3399</v>
      </c>
      <c r="C2170" t="s">
        <v>317</v>
      </c>
      <c r="D2170" t="s">
        <v>1048</v>
      </c>
      <c r="E2170">
        <v>1</v>
      </c>
      <c r="F2170">
        <f>_xlfn.XLOOKUP(Table1[[#This Row],[ProductID]],Products!A:A,Products!D:D,,0)</f>
        <v>120</v>
      </c>
      <c r="I2170">
        <v>599</v>
      </c>
      <c r="J2170">
        <v>599</v>
      </c>
      <c r="K2170" t="s">
        <v>1102</v>
      </c>
      <c r="L2170">
        <v>599</v>
      </c>
      <c r="M2170" t="s">
        <v>1126</v>
      </c>
      <c r="N2170" t="s">
        <v>1099</v>
      </c>
      <c r="O2170">
        <f>Table1[[#This Row],[Unit_Price]]*Table1[[#This Row],[Quantity]]</f>
        <v>120</v>
      </c>
    </row>
    <row r="2171" spans="1:15" x14ac:dyDescent="0.3">
      <c r="A2171" t="s">
        <v>3965</v>
      </c>
      <c r="B2171" t="s">
        <v>1331</v>
      </c>
      <c r="C2171" t="s">
        <v>841</v>
      </c>
      <c r="D2171" t="s">
        <v>1059</v>
      </c>
      <c r="E2171">
        <v>2</v>
      </c>
      <c r="F2171">
        <f>_xlfn.XLOOKUP(Table1[[#This Row],[ProductID]],Products!A:A,Products!D:D,,0)</f>
        <v>110</v>
      </c>
      <c r="I2171">
        <v>399</v>
      </c>
      <c r="J2171">
        <v>319</v>
      </c>
      <c r="K2171" t="s">
        <v>1097</v>
      </c>
      <c r="L2171">
        <v>638</v>
      </c>
      <c r="M2171" t="s">
        <v>1093</v>
      </c>
      <c r="N2171" t="s">
        <v>1099</v>
      </c>
      <c r="O2171">
        <f>Table1[[#This Row],[Unit_Price]]*Table1[[#This Row],[Quantity]]</f>
        <v>220</v>
      </c>
    </row>
    <row r="2172" spans="1:15" x14ac:dyDescent="0.3">
      <c r="A2172" t="s">
        <v>3966</v>
      </c>
      <c r="B2172" t="s">
        <v>1400</v>
      </c>
      <c r="C2172" t="s">
        <v>1029</v>
      </c>
      <c r="D2172" t="s">
        <v>1075</v>
      </c>
      <c r="E2172">
        <v>1</v>
      </c>
      <c r="F2172">
        <f>_xlfn.XLOOKUP(Table1[[#This Row],[ProductID]],Products!A:A,Products!D:D,,0)</f>
        <v>80</v>
      </c>
      <c r="I2172">
        <v>499</v>
      </c>
      <c r="J2172">
        <v>424</v>
      </c>
      <c r="K2172" t="s">
        <v>1092</v>
      </c>
      <c r="L2172">
        <v>424</v>
      </c>
      <c r="M2172" t="s">
        <v>1093</v>
      </c>
      <c r="N2172" t="s">
        <v>1094</v>
      </c>
      <c r="O2172">
        <f>Table1[[#This Row],[Unit_Price]]*Table1[[#This Row],[Quantity]]</f>
        <v>80</v>
      </c>
    </row>
    <row r="2173" spans="1:15" x14ac:dyDescent="0.3">
      <c r="A2173" t="s">
        <v>3967</v>
      </c>
      <c r="B2173" t="s">
        <v>3041</v>
      </c>
      <c r="C2173" t="s">
        <v>935</v>
      </c>
      <c r="D2173" t="s">
        <v>1066</v>
      </c>
      <c r="E2173">
        <v>1</v>
      </c>
      <c r="F2173">
        <f>_xlfn.XLOOKUP(Table1[[#This Row],[ProductID]],Products!A:A,Products!D:D,,0)</f>
        <v>140</v>
      </c>
      <c r="I2173">
        <v>499</v>
      </c>
      <c r="J2173">
        <v>449</v>
      </c>
      <c r="K2173" t="s">
        <v>1107</v>
      </c>
      <c r="L2173">
        <v>449</v>
      </c>
      <c r="M2173" t="s">
        <v>1093</v>
      </c>
      <c r="N2173" t="s">
        <v>1094</v>
      </c>
      <c r="O2173">
        <f>Table1[[#This Row],[Unit_Price]]*Table1[[#This Row],[Quantity]]</f>
        <v>140</v>
      </c>
    </row>
    <row r="2174" spans="1:15" x14ac:dyDescent="0.3">
      <c r="A2174" t="s">
        <v>3968</v>
      </c>
      <c r="B2174" t="s">
        <v>3243</v>
      </c>
      <c r="C2174" t="s">
        <v>425</v>
      </c>
      <c r="D2174" t="s">
        <v>1048</v>
      </c>
      <c r="E2174">
        <v>1</v>
      </c>
      <c r="F2174">
        <f>_xlfn.XLOOKUP(Table1[[#This Row],[ProductID]],Products!A:A,Products!D:D,,0)</f>
        <v>120</v>
      </c>
      <c r="I2174">
        <v>599</v>
      </c>
      <c r="J2174">
        <v>599</v>
      </c>
      <c r="K2174" t="s">
        <v>1102</v>
      </c>
      <c r="L2174">
        <v>599</v>
      </c>
      <c r="M2174" t="s">
        <v>1093</v>
      </c>
      <c r="N2174" t="s">
        <v>1099</v>
      </c>
      <c r="O2174">
        <f>Table1[[#This Row],[Unit_Price]]*Table1[[#This Row],[Quantity]]</f>
        <v>120</v>
      </c>
    </row>
    <row r="2175" spans="1:15" x14ac:dyDescent="0.3">
      <c r="A2175" t="s">
        <v>3969</v>
      </c>
      <c r="B2175" t="s">
        <v>1659</v>
      </c>
      <c r="C2175" t="s">
        <v>52</v>
      </c>
      <c r="D2175" t="s">
        <v>1053</v>
      </c>
      <c r="E2175">
        <v>2</v>
      </c>
      <c r="F2175">
        <f>_xlfn.XLOOKUP(Table1[[#This Row],[ProductID]],Products!A:A,Products!D:D,,0)</f>
        <v>200</v>
      </c>
      <c r="I2175">
        <v>899</v>
      </c>
      <c r="J2175">
        <v>764</v>
      </c>
      <c r="K2175" t="s">
        <v>1092</v>
      </c>
      <c r="L2175">
        <v>1528</v>
      </c>
      <c r="M2175" t="s">
        <v>1118</v>
      </c>
      <c r="N2175" t="s">
        <v>1099</v>
      </c>
      <c r="O2175">
        <f>Table1[[#This Row],[Unit_Price]]*Table1[[#This Row],[Quantity]]</f>
        <v>400</v>
      </c>
    </row>
    <row r="2176" spans="1:15" x14ac:dyDescent="0.3">
      <c r="A2176" t="s">
        <v>3970</v>
      </c>
      <c r="B2176" t="s">
        <v>2316</v>
      </c>
      <c r="C2176" t="s">
        <v>939</v>
      </c>
      <c r="D2176" t="s">
        <v>1080</v>
      </c>
      <c r="E2176">
        <v>1</v>
      </c>
      <c r="F2176">
        <f>_xlfn.XLOOKUP(Table1[[#This Row],[ProductID]],Products!A:A,Products!D:D,,0)</f>
        <v>45</v>
      </c>
      <c r="I2176">
        <v>249</v>
      </c>
      <c r="J2176">
        <v>224</v>
      </c>
      <c r="K2176" t="s">
        <v>1107</v>
      </c>
      <c r="L2176">
        <v>224</v>
      </c>
      <c r="M2176" t="s">
        <v>1098</v>
      </c>
      <c r="N2176" t="s">
        <v>1099</v>
      </c>
      <c r="O2176">
        <f>Table1[[#This Row],[Unit_Price]]*Table1[[#This Row],[Quantity]]</f>
        <v>45</v>
      </c>
    </row>
    <row r="2177" spans="1:15" x14ac:dyDescent="0.3">
      <c r="A2177" t="s">
        <v>3971</v>
      </c>
      <c r="B2177" t="s">
        <v>2004</v>
      </c>
      <c r="C2177" t="s">
        <v>951</v>
      </c>
      <c r="D2177" t="s">
        <v>1059</v>
      </c>
      <c r="E2177">
        <v>2</v>
      </c>
      <c r="F2177">
        <f>_xlfn.XLOOKUP(Table1[[#This Row],[ProductID]],Products!A:A,Products!D:D,,0)</f>
        <v>110</v>
      </c>
      <c r="I2177">
        <v>399</v>
      </c>
      <c r="J2177">
        <v>339</v>
      </c>
      <c r="K2177" t="s">
        <v>1092</v>
      </c>
      <c r="L2177">
        <v>678</v>
      </c>
      <c r="M2177" t="s">
        <v>1098</v>
      </c>
      <c r="N2177" t="s">
        <v>1099</v>
      </c>
      <c r="O2177">
        <f>Table1[[#This Row],[Unit_Price]]*Table1[[#This Row],[Quantity]]</f>
        <v>220</v>
      </c>
    </row>
    <row r="2178" spans="1:15" x14ac:dyDescent="0.3">
      <c r="A2178" t="s">
        <v>3972</v>
      </c>
      <c r="B2178" t="s">
        <v>1541</v>
      </c>
      <c r="C2178" t="s">
        <v>849</v>
      </c>
      <c r="D2178" t="s">
        <v>1071</v>
      </c>
      <c r="E2178">
        <v>1</v>
      </c>
      <c r="F2178">
        <f>_xlfn.XLOOKUP(Table1[[#This Row],[ProductID]],Products!A:A,Products!D:D,,0)</f>
        <v>125</v>
      </c>
      <c r="I2178">
        <v>399</v>
      </c>
      <c r="J2178">
        <v>359</v>
      </c>
      <c r="K2178" t="s">
        <v>1107</v>
      </c>
      <c r="L2178">
        <v>359</v>
      </c>
      <c r="M2178" t="s">
        <v>1126</v>
      </c>
      <c r="N2178" t="s">
        <v>1099</v>
      </c>
      <c r="O2178">
        <f>Table1[[#This Row],[Unit_Price]]*Table1[[#This Row],[Quantity]]</f>
        <v>125</v>
      </c>
    </row>
    <row r="2179" spans="1:15" x14ac:dyDescent="0.3">
      <c r="A2179" t="s">
        <v>3973</v>
      </c>
      <c r="B2179" t="s">
        <v>1880</v>
      </c>
      <c r="C2179" t="s">
        <v>669</v>
      </c>
      <c r="D2179" t="s">
        <v>1066</v>
      </c>
      <c r="E2179">
        <v>1</v>
      </c>
      <c r="F2179">
        <f>_xlfn.XLOOKUP(Table1[[#This Row],[ProductID]],Products!A:A,Products!D:D,,0)</f>
        <v>140</v>
      </c>
      <c r="I2179">
        <v>499</v>
      </c>
      <c r="J2179">
        <v>449</v>
      </c>
      <c r="K2179" t="s">
        <v>1107</v>
      </c>
      <c r="L2179">
        <v>449</v>
      </c>
      <c r="M2179" t="s">
        <v>1098</v>
      </c>
      <c r="N2179" t="s">
        <v>1099</v>
      </c>
      <c r="O2179">
        <f>Table1[[#This Row],[Unit_Price]]*Table1[[#This Row],[Quantity]]</f>
        <v>140</v>
      </c>
    </row>
    <row r="2180" spans="1:15" x14ac:dyDescent="0.3">
      <c r="A2180" t="s">
        <v>3974</v>
      </c>
      <c r="B2180" t="s">
        <v>2516</v>
      </c>
      <c r="C2180" t="s">
        <v>227</v>
      </c>
      <c r="D2180" t="s">
        <v>1068</v>
      </c>
      <c r="E2180">
        <v>3</v>
      </c>
      <c r="F2180">
        <f>_xlfn.XLOOKUP(Table1[[#This Row],[ProductID]],Products!A:A,Products!D:D,,0)</f>
        <v>180</v>
      </c>
      <c r="I2180">
        <v>449</v>
      </c>
      <c r="J2180">
        <v>449</v>
      </c>
      <c r="K2180" t="s">
        <v>1102</v>
      </c>
      <c r="L2180">
        <v>1347</v>
      </c>
      <c r="M2180" t="s">
        <v>1098</v>
      </c>
      <c r="N2180" t="s">
        <v>1099</v>
      </c>
      <c r="O2180">
        <f>Table1[[#This Row],[Unit_Price]]*Table1[[#This Row],[Quantity]]</f>
        <v>540</v>
      </c>
    </row>
    <row r="2181" spans="1:15" x14ac:dyDescent="0.3">
      <c r="A2181" t="s">
        <v>3975</v>
      </c>
      <c r="B2181" t="s">
        <v>1357</v>
      </c>
      <c r="C2181" t="s">
        <v>134</v>
      </c>
      <c r="D2181" t="s">
        <v>1062</v>
      </c>
      <c r="E2181">
        <v>1</v>
      </c>
      <c r="F2181">
        <f>_xlfn.XLOOKUP(Table1[[#This Row],[ProductID]],Products!A:A,Products!D:D,,0)</f>
        <v>95</v>
      </c>
      <c r="I2181">
        <v>349</v>
      </c>
      <c r="J2181">
        <v>349</v>
      </c>
      <c r="K2181" t="s">
        <v>1102</v>
      </c>
      <c r="L2181">
        <v>349</v>
      </c>
      <c r="M2181" t="s">
        <v>1098</v>
      </c>
      <c r="N2181" t="s">
        <v>1099</v>
      </c>
      <c r="O2181">
        <f>Table1[[#This Row],[Unit_Price]]*Table1[[#This Row],[Quantity]]</f>
        <v>95</v>
      </c>
    </row>
    <row r="2182" spans="1:15" x14ac:dyDescent="0.3">
      <c r="A2182" t="s">
        <v>3976</v>
      </c>
      <c r="B2182" t="s">
        <v>1333</v>
      </c>
      <c r="C2182" t="s">
        <v>587</v>
      </c>
      <c r="D2182" t="s">
        <v>1048</v>
      </c>
      <c r="E2182">
        <v>1</v>
      </c>
      <c r="F2182">
        <f>_xlfn.XLOOKUP(Table1[[#This Row],[ProductID]],Products!A:A,Products!D:D,,0)</f>
        <v>120</v>
      </c>
      <c r="I2182">
        <v>599</v>
      </c>
      <c r="J2182">
        <v>509</v>
      </c>
      <c r="K2182" t="s">
        <v>1092</v>
      </c>
      <c r="L2182">
        <v>509</v>
      </c>
      <c r="M2182" t="s">
        <v>1093</v>
      </c>
      <c r="N2182" t="s">
        <v>1099</v>
      </c>
      <c r="O2182">
        <f>Table1[[#This Row],[Unit_Price]]*Table1[[#This Row],[Quantity]]</f>
        <v>120</v>
      </c>
    </row>
    <row r="2183" spans="1:15" x14ac:dyDescent="0.3">
      <c r="A2183" t="s">
        <v>3977</v>
      </c>
      <c r="B2183" t="s">
        <v>1281</v>
      </c>
      <c r="C2183" t="s">
        <v>581</v>
      </c>
      <c r="D2183" t="s">
        <v>1075</v>
      </c>
      <c r="E2183">
        <v>1</v>
      </c>
      <c r="F2183">
        <f>_xlfn.XLOOKUP(Table1[[#This Row],[ProductID]],Products!A:A,Products!D:D,,0)</f>
        <v>80</v>
      </c>
      <c r="I2183">
        <v>499</v>
      </c>
      <c r="J2183">
        <v>449</v>
      </c>
      <c r="K2183" t="s">
        <v>1107</v>
      </c>
      <c r="L2183">
        <v>449</v>
      </c>
      <c r="M2183" t="s">
        <v>1093</v>
      </c>
      <c r="N2183" t="s">
        <v>1094</v>
      </c>
      <c r="O2183">
        <f>Table1[[#This Row],[Unit_Price]]*Table1[[#This Row],[Quantity]]</f>
        <v>80</v>
      </c>
    </row>
    <row r="2184" spans="1:15" x14ac:dyDescent="0.3">
      <c r="A2184" t="s">
        <v>3978</v>
      </c>
      <c r="B2184" t="s">
        <v>2316</v>
      </c>
      <c r="C2184" t="s">
        <v>777</v>
      </c>
      <c r="D2184" t="s">
        <v>1073</v>
      </c>
      <c r="E2184">
        <v>2</v>
      </c>
      <c r="F2184">
        <f>_xlfn.XLOOKUP(Table1[[#This Row],[ProductID]],Products!A:A,Products!D:D,,0)</f>
        <v>100</v>
      </c>
      <c r="I2184">
        <v>349</v>
      </c>
      <c r="J2184">
        <v>349</v>
      </c>
      <c r="K2184" t="s">
        <v>1102</v>
      </c>
      <c r="L2184">
        <v>698</v>
      </c>
      <c r="M2184" t="s">
        <v>1126</v>
      </c>
      <c r="N2184" t="s">
        <v>1099</v>
      </c>
      <c r="O2184">
        <f>Table1[[#This Row],[Unit_Price]]*Table1[[#This Row],[Quantity]]</f>
        <v>200</v>
      </c>
    </row>
    <row r="2185" spans="1:15" x14ac:dyDescent="0.3">
      <c r="A2185" t="s">
        <v>3979</v>
      </c>
      <c r="B2185" t="s">
        <v>1140</v>
      </c>
      <c r="C2185" t="s">
        <v>14</v>
      </c>
      <c r="D2185" t="s">
        <v>1073</v>
      </c>
      <c r="E2185">
        <v>1</v>
      </c>
      <c r="F2185">
        <f>_xlfn.XLOOKUP(Table1[[#This Row],[ProductID]],Products!A:A,Products!D:D,,0)</f>
        <v>100</v>
      </c>
      <c r="I2185">
        <v>349</v>
      </c>
      <c r="J2185">
        <v>314</v>
      </c>
      <c r="K2185" t="s">
        <v>1107</v>
      </c>
      <c r="L2185">
        <v>314</v>
      </c>
      <c r="M2185" t="s">
        <v>1093</v>
      </c>
      <c r="N2185" t="s">
        <v>1094</v>
      </c>
      <c r="O2185">
        <f>Table1[[#This Row],[Unit_Price]]*Table1[[#This Row],[Quantity]]</f>
        <v>100</v>
      </c>
    </row>
    <row r="2186" spans="1:15" x14ac:dyDescent="0.3">
      <c r="A2186" t="s">
        <v>3980</v>
      </c>
      <c r="B2186" t="s">
        <v>2949</v>
      </c>
      <c r="C2186" t="s">
        <v>583</v>
      </c>
      <c r="D2186" t="s">
        <v>1059</v>
      </c>
      <c r="E2186">
        <v>2</v>
      </c>
      <c r="F2186">
        <f>_xlfn.XLOOKUP(Table1[[#This Row],[ProductID]],Products!A:A,Products!D:D,,0)</f>
        <v>110</v>
      </c>
      <c r="I2186">
        <v>399</v>
      </c>
      <c r="J2186">
        <v>359</v>
      </c>
      <c r="K2186" t="s">
        <v>1107</v>
      </c>
      <c r="L2186">
        <v>718</v>
      </c>
      <c r="M2186" t="s">
        <v>1098</v>
      </c>
      <c r="N2186" t="s">
        <v>1099</v>
      </c>
      <c r="O2186">
        <f>Table1[[#This Row],[Unit_Price]]*Table1[[#This Row],[Quantity]]</f>
        <v>220</v>
      </c>
    </row>
    <row r="2187" spans="1:15" x14ac:dyDescent="0.3">
      <c r="A2187" t="s">
        <v>3981</v>
      </c>
      <c r="B2187" t="s">
        <v>1355</v>
      </c>
      <c r="C2187" t="s">
        <v>661</v>
      </c>
      <c r="D2187" t="s">
        <v>1071</v>
      </c>
      <c r="E2187">
        <v>2</v>
      </c>
      <c r="F2187">
        <f>_xlfn.XLOOKUP(Table1[[#This Row],[ProductID]],Products!A:A,Products!D:D,,0)</f>
        <v>125</v>
      </c>
      <c r="I2187">
        <v>399</v>
      </c>
      <c r="J2187">
        <v>359</v>
      </c>
      <c r="K2187" t="s">
        <v>1107</v>
      </c>
      <c r="L2187">
        <v>718</v>
      </c>
      <c r="M2187" t="s">
        <v>1093</v>
      </c>
      <c r="N2187" t="s">
        <v>1099</v>
      </c>
      <c r="O2187">
        <f>Table1[[#This Row],[Unit_Price]]*Table1[[#This Row],[Quantity]]</f>
        <v>250</v>
      </c>
    </row>
    <row r="2188" spans="1:15" x14ac:dyDescent="0.3">
      <c r="A2188" t="s">
        <v>3982</v>
      </c>
      <c r="B2188" t="s">
        <v>1379</v>
      </c>
      <c r="C2188" t="s">
        <v>661</v>
      </c>
      <c r="D2188" t="s">
        <v>1075</v>
      </c>
      <c r="E2188">
        <v>1</v>
      </c>
      <c r="F2188">
        <f>_xlfn.XLOOKUP(Table1[[#This Row],[ProductID]],Products!A:A,Products!D:D,,0)</f>
        <v>80</v>
      </c>
      <c r="I2188">
        <v>499</v>
      </c>
      <c r="J2188">
        <v>399</v>
      </c>
      <c r="K2188" t="s">
        <v>1097</v>
      </c>
      <c r="L2188">
        <v>399</v>
      </c>
      <c r="M2188" t="s">
        <v>1093</v>
      </c>
      <c r="N2188" t="s">
        <v>1099</v>
      </c>
      <c r="O2188">
        <f>Table1[[#This Row],[Unit_Price]]*Table1[[#This Row],[Quantity]]</f>
        <v>80</v>
      </c>
    </row>
    <row r="2189" spans="1:15" x14ac:dyDescent="0.3">
      <c r="A2189" t="s">
        <v>3983</v>
      </c>
      <c r="B2189" t="s">
        <v>3473</v>
      </c>
      <c r="C2189" t="s">
        <v>415</v>
      </c>
      <c r="D2189" t="s">
        <v>1062</v>
      </c>
      <c r="E2189">
        <v>1</v>
      </c>
      <c r="F2189">
        <f>_xlfn.XLOOKUP(Table1[[#This Row],[ProductID]],Products!A:A,Products!D:D,,0)</f>
        <v>95</v>
      </c>
      <c r="I2189">
        <v>349</v>
      </c>
      <c r="J2189">
        <v>297</v>
      </c>
      <c r="K2189" t="s">
        <v>1092</v>
      </c>
      <c r="L2189">
        <v>297</v>
      </c>
      <c r="M2189" t="s">
        <v>1098</v>
      </c>
      <c r="N2189" t="s">
        <v>1099</v>
      </c>
      <c r="O2189">
        <f>Table1[[#This Row],[Unit_Price]]*Table1[[#This Row],[Quantity]]</f>
        <v>95</v>
      </c>
    </row>
    <row r="2190" spans="1:15" x14ac:dyDescent="0.3">
      <c r="A2190" t="s">
        <v>3984</v>
      </c>
      <c r="B2190" t="s">
        <v>1111</v>
      </c>
      <c r="C2190" t="s">
        <v>785</v>
      </c>
      <c r="D2190" t="s">
        <v>1051</v>
      </c>
      <c r="E2190">
        <v>4</v>
      </c>
      <c r="F2190">
        <f>_xlfn.XLOOKUP(Table1[[#This Row],[ProductID]],Products!A:A,Products!D:D,,0)</f>
        <v>150</v>
      </c>
      <c r="I2190">
        <v>499</v>
      </c>
      <c r="J2190">
        <v>424</v>
      </c>
      <c r="K2190" t="s">
        <v>1092</v>
      </c>
      <c r="L2190">
        <v>1696</v>
      </c>
      <c r="M2190" t="s">
        <v>1098</v>
      </c>
      <c r="N2190" t="s">
        <v>1099</v>
      </c>
      <c r="O2190">
        <f>Table1[[#This Row],[Unit_Price]]*Table1[[#This Row],[Quantity]]</f>
        <v>600</v>
      </c>
    </row>
    <row r="2191" spans="1:15" x14ac:dyDescent="0.3">
      <c r="A2191" t="s">
        <v>3985</v>
      </c>
      <c r="B2191" t="s">
        <v>2413</v>
      </c>
      <c r="C2191" t="s">
        <v>311</v>
      </c>
      <c r="D2191" t="s">
        <v>1068</v>
      </c>
      <c r="E2191">
        <v>1</v>
      </c>
      <c r="F2191">
        <f>_xlfn.XLOOKUP(Table1[[#This Row],[ProductID]],Products!A:A,Products!D:D,,0)</f>
        <v>180</v>
      </c>
      <c r="I2191">
        <v>449</v>
      </c>
      <c r="J2191">
        <v>404</v>
      </c>
      <c r="K2191" t="s">
        <v>1107</v>
      </c>
      <c r="L2191">
        <v>404</v>
      </c>
      <c r="M2191" t="s">
        <v>1098</v>
      </c>
      <c r="N2191" t="s">
        <v>1099</v>
      </c>
      <c r="O2191">
        <f>Table1[[#This Row],[Unit_Price]]*Table1[[#This Row],[Quantity]]</f>
        <v>180</v>
      </c>
    </row>
    <row r="2192" spans="1:15" x14ac:dyDescent="0.3">
      <c r="A2192" t="s">
        <v>3986</v>
      </c>
      <c r="B2192" t="s">
        <v>1317</v>
      </c>
      <c r="C2192" t="s">
        <v>349</v>
      </c>
      <c r="D2192" t="s">
        <v>1080</v>
      </c>
      <c r="E2192">
        <v>1</v>
      </c>
      <c r="F2192">
        <f>_xlfn.XLOOKUP(Table1[[#This Row],[ProductID]],Products!A:A,Products!D:D,,0)</f>
        <v>45</v>
      </c>
      <c r="I2192">
        <v>249</v>
      </c>
      <c r="J2192">
        <v>249</v>
      </c>
      <c r="K2192" t="s">
        <v>1102</v>
      </c>
      <c r="L2192">
        <v>249</v>
      </c>
      <c r="M2192" t="s">
        <v>1093</v>
      </c>
      <c r="N2192" t="s">
        <v>1099</v>
      </c>
      <c r="O2192">
        <f>Table1[[#This Row],[Unit_Price]]*Table1[[#This Row],[Quantity]]</f>
        <v>45</v>
      </c>
    </row>
    <row r="2193" spans="1:15" x14ac:dyDescent="0.3">
      <c r="A2193" t="s">
        <v>3987</v>
      </c>
      <c r="B2193" t="s">
        <v>1312</v>
      </c>
      <c r="C2193" t="s">
        <v>671</v>
      </c>
      <c r="D2193" t="s">
        <v>1080</v>
      </c>
      <c r="E2193">
        <v>1</v>
      </c>
      <c r="F2193">
        <f>_xlfn.XLOOKUP(Table1[[#This Row],[ProductID]],Products!A:A,Products!D:D,,0)</f>
        <v>45</v>
      </c>
      <c r="I2193">
        <v>249</v>
      </c>
      <c r="J2193">
        <v>249</v>
      </c>
      <c r="K2193" t="s">
        <v>1102</v>
      </c>
      <c r="L2193">
        <v>249</v>
      </c>
      <c r="M2193" t="s">
        <v>1093</v>
      </c>
      <c r="N2193" t="s">
        <v>1099</v>
      </c>
      <c r="O2193">
        <f>Table1[[#This Row],[Unit_Price]]*Table1[[#This Row],[Quantity]]</f>
        <v>45</v>
      </c>
    </row>
    <row r="2194" spans="1:15" x14ac:dyDescent="0.3">
      <c r="A2194" t="s">
        <v>3988</v>
      </c>
      <c r="B2194" t="s">
        <v>3989</v>
      </c>
      <c r="C2194" t="s">
        <v>189</v>
      </c>
      <c r="D2194" t="s">
        <v>1053</v>
      </c>
      <c r="E2194">
        <v>1</v>
      </c>
      <c r="F2194">
        <f>_xlfn.XLOOKUP(Table1[[#This Row],[ProductID]],Products!A:A,Products!D:D,,0)</f>
        <v>200</v>
      </c>
      <c r="I2194">
        <v>899</v>
      </c>
      <c r="J2194">
        <v>899</v>
      </c>
      <c r="K2194" t="s">
        <v>1102</v>
      </c>
      <c r="L2194">
        <v>899</v>
      </c>
      <c r="M2194" t="s">
        <v>1098</v>
      </c>
      <c r="N2194" t="s">
        <v>1099</v>
      </c>
      <c r="O2194">
        <f>Table1[[#This Row],[Unit_Price]]*Table1[[#This Row],[Quantity]]</f>
        <v>200</v>
      </c>
    </row>
    <row r="2195" spans="1:15" x14ac:dyDescent="0.3">
      <c r="A2195" t="s">
        <v>3990</v>
      </c>
      <c r="B2195" t="s">
        <v>1496</v>
      </c>
      <c r="C2195" t="s">
        <v>429</v>
      </c>
      <c r="D2195" t="s">
        <v>1071</v>
      </c>
      <c r="E2195">
        <v>1</v>
      </c>
      <c r="F2195">
        <f>_xlfn.XLOOKUP(Table1[[#This Row],[ProductID]],Products!A:A,Products!D:D,,0)</f>
        <v>125</v>
      </c>
      <c r="I2195">
        <v>399</v>
      </c>
      <c r="J2195">
        <v>339</v>
      </c>
      <c r="K2195" t="s">
        <v>1092</v>
      </c>
      <c r="L2195">
        <v>339</v>
      </c>
      <c r="M2195" t="s">
        <v>1098</v>
      </c>
      <c r="N2195" t="s">
        <v>1099</v>
      </c>
      <c r="O2195">
        <f>Table1[[#This Row],[Unit_Price]]*Table1[[#This Row],[Quantity]]</f>
        <v>125</v>
      </c>
    </row>
    <row r="2196" spans="1:15" x14ac:dyDescent="0.3">
      <c r="A2196" t="s">
        <v>3991</v>
      </c>
      <c r="B2196" t="s">
        <v>1355</v>
      </c>
      <c r="C2196" t="s">
        <v>971</v>
      </c>
      <c r="D2196" t="s">
        <v>1059</v>
      </c>
      <c r="E2196">
        <v>1</v>
      </c>
      <c r="F2196">
        <f>_xlfn.XLOOKUP(Table1[[#This Row],[ProductID]],Products!A:A,Products!D:D,,0)</f>
        <v>110</v>
      </c>
      <c r="I2196">
        <v>399</v>
      </c>
      <c r="J2196">
        <v>339</v>
      </c>
      <c r="K2196" t="s">
        <v>1092</v>
      </c>
      <c r="L2196">
        <v>339</v>
      </c>
      <c r="M2196" t="s">
        <v>1093</v>
      </c>
      <c r="N2196" t="s">
        <v>1099</v>
      </c>
      <c r="O2196">
        <f>Table1[[#This Row],[Unit_Price]]*Table1[[#This Row],[Quantity]]</f>
        <v>110</v>
      </c>
    </row>
    <row r="2197" spans="1:15" x14ac:dyDescent="0.3">
      <c r="A2197" t="s">
        <v>3992</v>
      </c>
      <c r="B2197" t="s">
        <v>2167</v>
      </c>
      <c r="C2197" t="s">
        <v>71</v>
      </c>
      <c r="D2197" t="s">
        <v>1071</v>
      </c>
      <c r="E2197">
        <v>1</v>
      </c>
      <c r="F2197">
        <f>_xlfn.XLOOKUP(Table1[[#This Row],[ProductID]],Products!A:A,Products!D:D,,0)</f>
        <v>125</v>
      </c>
      <c r="I2197">
        <v>399</v>
      </c>
      <c r="J2197">
        <v>339</v>
      </c>
      <c r="K2197" t="s">
        <v>1092</v>
      </c>
      <c r="L2197">
        <v>339</v>
      </c>
      <c r="M2197" t="s">
        <v>1093</v>
      </c>
      <c r="N2197" t="s">
        <v>1099</v>
      </c>
      <c r="O2197">
        <f>Table1[[#This Row],[Unit_Price]]*Table1[[#This Row],[Quantity]]</f>
        <v>125</v>
      </c>
    </row>
    <row r="2198" spans="1:15" x14ac:dyDescent="0.3">
      <c r="A2198" t="s">
        <v>3993</v>
      </c>
      <c r="B2198" t="s">
        <v>3944</v>
      </c>
      <c r="C2198" t="s">
        <v>879</v>
      </c>
      <c r="D2198" t="s">
        <v>1062</v>
      </c>
      <c r="E2198">
        <v>3</v>
      </c>
      <c r="F2198">
        <f>_xlfn.XLOOKUP(Table1[[#This Row],[ProductID]],Products!A:A,Products!D:D,,0)</f>
        <v>95</v>
      </c>
      <c r="I2198">
        <v>349</v>
      </c>
      <c r="J2198">
        <v>279</v>
      </c>
      <c r="K2198" t="s">
        <v>1097</v>
      </c>
      <c r="L2198">
        <v>837</v>
      </c>
      <c r="M2198" t="s">
        <v>1093</v>
      </c>
      <c r="N2198" t="s">
        <v>1094</v>
      </c>
      <c r="O2198">
        <f>Table1[[#This Row],[Unit_Price]]*Table1[[#This Row],[Quantity]]</f>
        <v>285</v>
      </c>
    </row>
    <row r="2199" spans="1:15" x14ac:dyDescent="0.3">
      <c r="A2199" t="s">
        <v>3994</v>
      </c>
      <c r="B2199" t="s">
        <v>1111</v>
      </c>
      <c r="C2199" t="s">
        <v>637</v>
      </c>
      <c r="D2199" t="s">
        <v>1073</v>
      </c>
      <c r="E2199">
        <v>1</v>
      </c>
      <c r="F2199">
        <f>_xlfn.XLOOKUP(Table1[[#This Row],[ProductID]],Products!A:A,Products!D:D,,0)</f>
        <v>100</v>
      </c>
      <c r="I2199">
        <v>349</v>
      </c>
      <c r="J2199">
        <v>349</v>
      </c>
      <c r="K2199" t="s">
        <v>1102</v>
      </c>
      <c r="L2199">
        <v>349</v>
      </c>
      <c r="M2199" t="s">
        <v>1098</v>
      </c>
      <c r="N2199" t="s">
        <v>1099</v>
      </c>
      <c r="O2199">
        <f>Table1[[#This Row],[Unit_Price]]*Table1[[#This Row],[Quantity]]</f>
        <v>100</v>
      </c>
    </row>
    <row r="2200" spans="1:15" x14ac:dyDescent="0.3">
      <c r="A2200" t="s">
        <v>3995</v>
      </c>
      <c r="B2200" t="s">
        <v>2165</v>
      </c>
      <c r="C2200" t="s">
        <v>1041</v>
      </c>
      <c r="D2200" t="s">
        <v>1075</v>
      </c>
      <c r="E2200">
        <v>1</v>
      </c>
      <c r="F2200">
        <f>_xlfn.XLOOKUP(Table1[[#This Row],[ProductID]],Products!A:A,Products!D:D,,0)</f>
        <v>80</v>
      </c>
      <c r="I2200">
        <v>499</v>
      </c>
      <c r="J2200">
        <v>449</v>
      </c>
      <c r="K2200" t="s">
        <v>1107</v>
      </c>
      <c r="L2200">
        <v>449</v>
      </c>
      <c r="M2200" t="s">
        <v>1093</v>
      </c>
      <c r="N2200" t="s">
        <v>1099</v>
      </c>
      <c r="O2200">
        <f>Table1[[#This Row],[Unit_Price]]*Table1[[#This Row],[Quantity]]</f>
        <v>80</v>
      </c>
    </row>
    <row r="2201" spans="1:15" x14ac:dyDescent="0.3">
      <c r="A2201" t="s">
        <v>3996</v>
      </c>
      <c r="B2201" t="s">
        <v>1488</v>
      </c>
      <c r="C2201" t="s">
        <v>459</v>
      </c>
      <c r="D2201" t="s">
        <v>1073</v>
      </c>
      <c r="E2201">
        <v>2</v>
      </c>
      <c r="F2201">
        <f>_xlfn.XLOOKUP(Table1[[#This Row],[ProductID]],Products!A:A,Products!D:D,,0)</f>
        <v>100</v>
      </c>
      <c r="I2201">
        <v>349</v>
      </c>
      <c r="J2201">
        <v>314</v>
      </c>
      <c r="K2201" t="s">
        <v>1107</v>
      </c>
      <c r="L2201">
        <v>628</v>
      </c>
      <c r="M2201" t="s">
        <v>1093</v>
      </c>
      <c r="N2201" t="s">
        <v>1094</v>
      </c>
      <c r="O2201">
        <f>Table1[[#This Row],[Unit_Price]]*Table1[[#This Row],[Quantity]]</f>
        <v>200</v>
      </c>
    </row>
    <row r="2202" spans="1:15" x14ac:dyDescent="0.3">
      <c r="A2202" t="s">
        <v>3997</v>
      </c>
      <c r="B2202" t="s">
        <v>3240</v>
      </c>
      <c r="C2202" t="s">
        <v>575</v>
      </c>
      <c r="D2202" t="s">
        <v>1066</v>
      </c>
      <c r="E2202">
        <v>1</v>
      </c>
      <c r="F2202">
        <f>_xlfn.XLOOKUP(Table1[[#This Row],[ProductID]],Products!A:A,Products!D:D,,0)</f>
        <v>140</v>
      </c>
      <c r="I2202">
        <v>499</v>
      </c>
      <c r="J2202">
        <v>449</v>
      </c>
      <c r="K2202" t="s">
        <v>1107</v>
      </c>
      <c r="L2202">
        <v>449</v>
      </c>
      <c r="M2202" t="s">
        <v>1126</v>
      </c>
      <c r="N2202" t="s">
        <v>1099</v>
      </c>
      <c r="O2202">
        <f>Table1[[#This Row],[Unit_Price]]*Table1[[#This Row],[Quantity]]</f>
        <v>140</v>
      </c>
    </row>
    <row r="2203" spans="1:15" x14ac:dyDescent="0.3">
      <c r="A2203" t="s">
        <v>3998</v>
      </c>
      <c r="B2203" t="s">
        <v>1160</v>
      </c>
      <c r="C2203" t="s">
        <v>481</v>
      </c>
      <c r="D2203" t="s">
        <v>1062</v>
      </c>
      <c r="E2203">
        <v>4</v>
      </c>
      <c r="F2203">
        <f>_xlfn.XLOOKUP(Table1[[#This Row],[ProductID]],Products!A:A,Products!D:D,,0)</f>
        <v>95</v>
      </c>
      <c r="I2203">
        <v>349</v>
      </c>
      <c r="J2203">
        <v>349</v>
      </c>
      <c r="K2203" t="s">
        <v>1102</v>
      </c>
      <c r="L2203">
        <v>1396</v>
      </c>
      <c r="M2203" t="s">
        <v>1093</v>
      </c>
      <c r="N2203" t="s">
        <v>1099</v>
      </c>
      <c r="O2203">
        <f>Table1[[#This Row],[Unit_Price]]*Table1[[#This Row],[Quantity]]</f>
        <v>380</v>
      </c>
    </row>
    <row r="2204" spans="1:15" x14ac:dyDescent="0.3">
      <c r="A2204" t="s">
        <v>3999</v>
      </c>
      <c r="B2204" t="s">
        <v>2389</v>
      </c>
      <c r="C2204" t="s">
        <v>661</v>
      </c>
      <c r="D2204" t="s">
        <v>1059</v>
      </c>
      <c r="E2204">
        <v>1</v>
      </c>
      <c r="F2204">
        <f>_xlfn.XLOOKUP(Table1[[#This Row],[ProductID]],Products!A:A,Products!D:D,,0)</f>
        <v>110</v>
      </c>
      <c r="I2204">
        <v>399</v>
      </c>
      <c r="J2204">
        <v>319</v>
      </c>
      <c r="K2204" t="s">
        <v>1097</v>
      </c>
      <c r="L2204">
        <v>319</v>
      </c>
      <c r="M2204" t="s">
        <v>1098</v>
      </c>
      <c r="N2204" t="s">
        <v>1099</v>
      </c>
      <c r="O2204">
        <f>Table1[[#This Row],[Unit_Price]]*Table1[[#This Row],[Quantity]]</f>
        <v>110</v>
      </c>
    </row>
    <row r="2205" spans="1:15" x14ac:dyDescent="0.3">
      <c r="A2205" t="s">
        <v>4000</v>
      </c>
      <c r="B2205" t="s">
        <v>2605</v>
      </c>
      <c r="C2205" t="s">
        <v>739</v>
      </c>
      <c r="D2205" t="s">
        <v>1059</v>
      </c>
      <c r="E2205">
        <v>2</v>
      </c>
      <c r="F2205">
        <f>_xlfn.XLOOKUP(Table1[[#This Row],[ProductID]],Products!A:A,Products!D:D,,0)</f>
        <v>110</v>
      </c>
      <c r="I2205">
        <v>399</v>
      </c>
      <c r="J2205">
        <v>399</v>
      </c>
      <c r="K2205" t="s">
        <v>1102</v>
      </c>
      <c r="L2205">
        <v>798</v>
      </c>
      <c r="M2205" t="s">
        <v>1093</v>
      </c>
      <c r="N2205" t="s">
        <v>1099</v>
      </c>
      <c r="O2205">
        <f>Table1[[#This Row],[Unit_Price]]*Table1[[#This Row],[Quantity]]</f>
        <v>220</v>
      </c>
    </row>
    <row r="2206" spans="1:15" x14ac:dyDescent="0.3">
      <c r="A2206" t="s">
        <v>4001</v>
      </c>
      <c r="B2206" t="s">
        <v>1168</v>
      </c>
      <c r="C2206" t="s">
        <v>789</v>
      </c>
      <c r="D2206" t="s">
        <v>1078</v>
      </c>
      <c r="E2206">
        <v>1</v>
      </c>
      <c r="F2206">
        <f>_xlfn.XLOOKUP(Table1[[#This Row],[ProductID]],Products!A:A,Products!D:D,,0)</f>
        <v>80</v>
      </c>
      <c r="I2206">
        <v>499</v>
      </c>
      <c r="J2206">
        <v>499</v>
      </c>
      <c r="K2206" t="s">
        <v>1102</v>
      </c>
      <c r="L2206">
        <v>499</v>
      </c>
      <c r="M2206" t="s">
        <v>1093</v>
      </c>
      <c r="N2206" t="s">
        <v>1099</v>
      </c>
      <c r="O2206">
        <f>Table1[[#This Row],[Unit_Price]]*Table1[[#This Row],[Quantity]]</f>
        <v>80</v>
      </c>
    </row>
    <row r="2207" spans="1:15" x14ac:dyDescent="0.3">
      <c r="A2207" t="s">
        <v>4002</v>
      </c>
      <c r="B2207" t="s">
        <v>2605</v>
      </c>
      <c r="C2207" t="s">
        <v>643</v>
      </c>
      <c r="D2207" t="s">
        <v>1053</v>
      </c>
      <c r="E2207">
        <v>4</v>
      </c>
      <c r="F2207">
        <f>_xlfn.XLOOKUP(Table1[[#This Row],[ProductID]],Products!A:A,Products!D:D,,0)</f>
        <v>200</v>
      </c>
      <c r="I2207">
        <v>899</v>
      </c>
      <c r="J2207">
        <v>809</v>
      </c>
      <c r="K2207" t="s">
        <v>1107</v>
      </c>
      <c r="L2207">
        <v>3236</v>
      </c>
      <c r="M2207" t="s">
        <v>1093</v>
      </c>
      <c r="N2207" t="s">
        <v>1099</v>
      </c>
      <c r="O2207">
        <f>Table1[[#This Row],[Unit_Price]]*Table1[[#This Row],[Quantity]]</f>
        <v>800</v>
      </c>
    </row>
    <row r="2208" spans="1:15" x14ac:dyDescent="0.3">
      <c r="A2208" t="s">
        <v>4003</v>
      </c>
      <c r="B2208" t="s">
        <v>1865</v>
      </c>
      <c r="C2208" t="s">
        <v>829</v>
      </c>
      <c r="D2208" t="s">
        <v>1059</v>
      </c>
      <c r="E2208">
        <v>1</v>
      </c>
      <c r="F2208">
        <f>_xlfn.XLOOKUP(Table1[[#This Row],[ProductID]],Products!A:A,Products!D:D,,0)</f>
        <v>110</v>
      </c>
      <c r="I2208">
        <v>399</v>
      </c>
      <c r="J2208">
        <v>359</v>
      </c>
      <c r="K2208" t="s">
        <v>1107</v>
      </c>
      <c r="L2208">
        <v>359</v>
      </c>
      <c r="M2208" t="s">
        <v>1126</v>
      </c>
      <c r="N2208" t="s">
        <v>1099</v>
      </c>
      <c r="O2208">
        <f>Table1[[#This Row],[Unit_Price]]*Table1[[#This Row],[Quantity]]</f>
        <v>110</v>
      </c>
    </row>
    <row r="2209" spans="1:15" x14ac:dyDescent="0.3">
      <c r="A2209" t="s">
        <v>4004</v>
      </c>
      <c r="B2209" t="s">
        <v>1985</v>
      </c>
      <c r="C2209" t="s">
        <v>799</v>
      </c>
      <c r="D2209" t="s">
        <v>1075</v>
      </c>
      <c r="E2209">
        <v>1</v>
      </c>
      <c r="F2209">
        <f>_xlfn.XLOOKUP(Table1[[#This Row],[ProductID]],Products!A:A,Products!D:D,,0)</f>
        <v>80</v>
      </c>
      <c r="I2209">
        <v>499</v>
      </c>
      <c r="J2209">
        <v>449</v>
      </c>
      <c r="K2209" t="s">
        <v>1107</v>
      </c>
      <c r="L2209">
        <v>449</v>
      </c>
      <c r="M2209" t="s">
        <v>1093</v>
      </c>
      <c r="N2209" t="s">
        <v>1099</v>
      </c>
      <c r="O2209">
        <f>Table1[[#This Row],[Unit_Price]]*Table1[[#This Row],[Quantity]]</f>
        <v>80</v>
      </c>
    </row>
    <row r="2210" spans="1:15" x14ac:dyDescent="0.3">
      <c r="A2210" t="s">
        <v>4005</v>
      </c>
      <c r="B2210" t="s">
        <v>2132</v>
      </c>
      <c r="C2210" t="s">
        <v>83</v>
      </c>
      <c r="D2210" t="s">
        <v>1057</v>
      </c>
      <c r="E2210">
        <v>1</v>
      </c>
      <c r="F2210">
        <f>_xlfn.XLOOKUP(Table1[[#This Row],[ProductID]],Products!A:A,Products!D:D,,0)</f>
        <v>130</v>
      </c>
      <c r="I2210">
        <v>549</v>
      </c>
      <c r="J2210">
        <v>467</v>
      </c>
      <c r="K2210" t="s">
        <v>1092</v>
      </c>
      <c r="L2210">
        <v>467</v>
      </c>
      <c r="M2210" t="s">
        <v>1098</v>
      </c>
      <c r="N2210" t="s">
        <v>1099</v>
      </c>
      <c r="O2210">
        <f>Table1[[#This Row],[Unit_Price]]*Table1[[#This Row],[Quantity]]</f>
        <v>130</v>
      </c>
    </row>
    <row r="2211" spans="1:15" x14ac:dyDescent="0.3">
      <c r="A2211" t="s">
        <v>4006</v>
      </c>
      <c r="B2211" t="s">
        <v>1828</v>
      </c>
      <c r="C2211" t="s">
        <v>527</v>
      </c>
      <c r="D2211" t="s">
        <v>1053</v>
      </c>
      <c r="E2211">
        <v>2</v>
      </c>
      <c r="F2211">
        <f>_xlfn.XLOOKUP(Table1[[#This Row],[ProductID]],Products!A:A,Products!D:D,,0)</f>
        <v>200</v>
      </c>
      <c r="I2211">
        <v>899</v>
      </c>
      <c r="J2211">
        <v>899</v>
      </c>
      <c r="K2211" t="s">
        <v>1102</v>
      </c>
      <c r="L2211">
        <v>1798</v>
      </c>
      <c r="M2211" t="s">
        <v>1093</v>
      </c>
      <c r="N2211" t="s">
        <v>1099</v>
      </c>
      <c r="O2211">
        <f>Table1[[#This Row],[Unit_Price]]*Table1[[#This Row],[Quantity]]</f>
        <v>400</v>
      </c>
    </row>
    <row r="2212" spans="1:15" x14ac:dyDescent="0.3">
      <c r="A2212" t="s">
        <v>4007</v>
      </c>
      <c r="B2212" t="s">
        <v>3493</v>
      </c>
      <c r="C2212" t="s">
        <v>1021</v>
      </c>
      <c r="D2212" t="s">
        <v>1051</v>
      </c>
      <c r="E2212">
        <v>1</v>
      </c>
      <c r="F2212">
        <f>_xlfn.XLOOKUP(Table1[[#This Row],[ProductID]],Products!A:A,Products!D:D,,0)</f>
        <v>150</v>
      </c>
      <c r="I2212">
        <v>499</v>
      </c>
      <c r="J2212">
        <v>449</v>
      </c>
      <c r="K2212" t="s">
        <v>1107</v>
      </c>
      <c r="L2212">
        <v>449</v>
      </c>
      <c r="M2212" t="s">
        <v>1098</v>
      </c>
      <c r="N2212" t="s">
        <v>1099</v>
      </c>
      <c r="O2212">
        <f>Table1[[#This Row],[Unit_Price]]*Table1[[#This Row],[Quantity]]</f>
        <v>150</v>
      </c>
    </row>
    <row r="2213" spans="1:15" x14ac:dyDescent="0.3">
      <c r="A2213" t="s">
        <v>4008</v>
      </c>
      <c r="B2213" t="s">
        <v>1194</v>
      </c>
      <c r="C2213" t="s">
        <v>251</v>
      </c>
      <c r="D2213" t="s">
        <v>1073</v>
      </c>
      <c r="E2213">
        <v>2</v>
      </c>
      <c r="F2213">
        <f>_xlfn.XLOOKUP(Table1[[#This Row],[ProductID]],Products!A:A,Products!D:D,,0)</f>
        <v>100</v>
      </c>
      <c r="I2213">
        <v>349</v>
      </c>
      <c r="J2213">
        <v>314</v>
      </c>
      <c r="K2213" t="s">
        <v>1107</v>
      </c>
      <c r="L2213">
        <v>628</v>
      </c>
      <c r="M2213" t="s">
        <v>1098</v>
      </c>
      <c r="N2213" t="s">
        <v>1099</v>
      </c>
      <c r="O2213">
        <f>Table1[[#This Row],[Unit_Price]]*Table1[[#This Row],[Quantity]]</f>
        <v>200</v>
      </c>
    </row>
    <row r="2214" spans="1:15" x14ac:dyDescent="0.3">
      <c r="A2214" t="s">
        <v>4009</v>
      </c>
      <c r="B2214" t="s">
        <v>1416</v>
      </c>
      <c r="C2214" t="s">
        <v>305</v>
      </c>
      <c r="D2214" t="s">
        <v>1048</v>
      </c>
      <c r="E2214">
        <v>3</v>
      </c>
      <c r="F2214">
        <f>_xlfn.XLOOKUP(Table1[[#This Row],[ProductID]],Products!A:A,Products!D:D,,0)</f>
        <v>120</v>
      </c>
      <c r="I2214">
        <v>599</v>
      </c>
      <c r="J2214">
        <v>599</v>
      </c>
      <c r="K2214" t="s">
        <v>1102</v>
      </c>
      <c r="L2214">
        <v>1797</v>
      </c>
      <c r="M2214" t="s">
        <v>1126</v>
      </c>
      <c r="N2214" t="s">
        <v>1099</v>
      </c>
      <c r="O2214">
        <f>Table1[[#This Row],[Unit_Price]]*Table1[[#This Row],[Quantity]]</f>
        <v>360</v>
      </c>
    </row>
    <row r="2215" spans="1:15" x14ac:dyDescent="0.3">
      <c r="A2215" t="s">
        <v>4010</v>
      </c>
      <c r="B2215" t="s">
        <v>1591</v>
      </c>
      <c r="C2215" t="s">
        <v>647</v>
      </c>
      <c r="D2215" t="s">
        <v>1057</v>
      </c>
      <c r="E2215">
        <v>1</v>
      </c>
      <c r="F2215">
        <f>_xlfn.XLOOKUP(Table1[[#This Row],[ProductID]],Products!A:A,Products!D:D,,0)</f>
        <v>130</v>
      </c>
      <c r="I2215">
        <v>549</v>
      </c>
      <c r="J2215">
        <v>494</v>
      </c>
      <c r="K2215" t="s">
        <v>1107</v>
      </c>
      <c r="L2215">
        <v>494</v>
      </c>
      <c r="M2215" t="s">
        <v>1098</v>
      </c>
      <c r="N2215" t="s">
        <v>1099</v>
      </c>
      <c r="O2215">
        <f>Table1[[#This Row],[Unit_Price]]*Table1[[#This Row],[Quantity]]</f>
        <v>130</v>
      </c>
    </row>
    <row r="2216" spans="1:15" x14ac:dyDescent="0.3">
      <c r="A2216" t="s">
        <v>4011</v>
      </c>
      <c r="B2216" t="s">
        <v>3694</v>
      </c>
      <c r="C2216" t="s">
        <v>527</v>
      </c>
      <c r="D2216" t="s">
        <v>1068</v>
      </c>
      <c r="E2216">
        <v>1</v>
      </c>
      <c r="F2216">
        <f>_xlfn.XLOOKUP(Table1[[#This Row],[ProductID]],Products!A:A,Products!D:D,,0)</f>
        <v>180</v>
      </c>
      <c r="I2216">
        <v>449</v>
      </c>
      <c r="J2216">
        <v>404</v>
      </c>
      <c r="K2216" t="s">
        <v>1107</v>
      </c>
      <c r="L2216">
        <v>404</v>
      </c>
      <c r="M2216" t="s">
        <v>1098</v>
      </c>
      <c r="N2216" t="s">
        <v>1099</v>
      </c>
      <c r="O2216">
        <f>Table1[[#This Row],[Unit_Price]]*Table1[[#This Row],[Quantity]]</f>
        <v>180</v>
      </c>
    </row>
    <row r="2217" spans="1:15" x14ac:dyDescent="0.3">
      <c r="A2217" t="s">
        <v>4012</v>
      </c>
      <c r="B2217" t="s">
        <v>2539</v>
      </c>
      <c r="C2217" t="s">
        <v>877</v>
      </c>
      <c r="D2217" t="s">
        <v>1048</v>
      </c>
      <c r="E2217">
        <v>2</v>
      </c>
      <c r="F2217">
        <f>_xlfn.XLOOKUP(Table1[[#This Row],[ProductID]],Products!A:A,Products!D:D,,0)</f>
        <v>120</v>
      </c>
      <c r="I2217">
        <v>599</v>
      </c>
      <c r="J2217">
        <v>599</v>
      </c>
      <c r="K2217" t="s">
        <v>1102</v>
      </c>
      <c r="L2217">
        <v>1198</v>
      </c>
      <c r="M2217" t="s">
        <v>1098</v>
      </c>
      <c r="N2217" t="s">
        <v>1099</v>
      </c>
      <c r="O2217">
        <f>Table1[[#This Row],[Unit_Price]]*Table1[[#This Row],[Quantity]]</f>
        <v>240</v>
      </c>
    </row>
    <row r="2218" spans="1:15" x14ac:dyDescent="0.3">
      <c r="A2218" t="s">
        <v>4013</v>
      </c>
      <c r="B2218" t="s">
        <v>2757</v>
      </c>
      <c r="C2218" t="s">
        <v>623</v>
      </c>
      <c r="D2218" t="s">
        <v>1071</v>
      </c>
      <c r="E2218">
        <v>2</v>
      </c>
      <c r="F2218">
        <f>_xlfn.XLOOKUP(Table1[[#This Row],[ProductID]],Products!A:A,Products!D:D,,0)</f>
        <v>125</v>
      </c>
      <c r="I2218">
        <v>399</v>
      </c>
      <c r="J2218">
        <v>319</v>
      </c>
      <c r="K2218" t="s">
        <v>1097</v>
      </c>
      <c r="L2218">
        <v>638</v>
      </c>
      <c r="M2218" t="s">
        <v>1098</v>
      </c>
      <c r="N2218" t="s">
        <v>1099</v>
      </c>
      <c r="O2218">
        <f>Table1[[#This Row],[Unit_Price]]*Table1[[#This Row],[Quantity]]</f>
        <v>250</v>
      </c>
    </row>
    <row r="2219" spans="1:15" x14ac:dyDescent="0.3">
      <c r="A2219" t="s">
        <v>4014</v>
      </c>
      <c r="B2219" t="s">
        <v>1341</v>
      </c>
      <c r="C2219" t="s">
        <v>156</v>
      </c>
      <c r="D2219" t="s">
        <v>1071</v>
      </c>
      <c r="E2219">
        <v>2</v>
      </c>
      <c r="F2219">
        <f>_xlfn.XLOOKUP(Table1[[#This Row],[ProductID]],Products!A:A,Products!D:D,,0)</f>
        <v>125</v>
      </c>
      <c r="I2219">
        <v>399</v>
      </c>
      <c r="J2219">
        <v>359</v>
      </c>
      <c r="K2219" t="s">
        <v>1107</v>
      </c>
      <c r="L2219">
        <v>718</v>
      </c>
      <c r="M2219" t="s">
        <v>1093</v>
      </c>
      <c r="N2219" t="s">
        <v>1094</v>
      </c>
      <c r="O2219">
        <f>Table1[[#This Row],[Unit_Price]]*Table1[[#This Row],[Quantity]]</f>
        <v>250</v>
      </c>
    </row>
    <row r="2220" spans="1:15" x14ac:dyDescent="0.3">
      <c r="A2220" t="s">
        <v>4015</v>
      </c>
      <c r="B2220" t="s">
        <v>1166</v>
      </c>
      <c r="C2220" t="s">
        <v>881</v>
      </c>
      <c r="D2220" t="s">
        <v>1080</v>
      </c>
      <c r="E2220">
        <v>1</v>
      </c>
      <c r="F2220">
        <f>_xlfn.XLOOKUP(Table1[[#This Row],[ProductID]],Products!A:A,Products!D:D,,0)</f>
        <v>45</v>
      </c>
      <c r="I2220">
        <v>249</v>
      </c>
      <c r="J2220">
        <v>199</v>
      </c>
      <c r="K2220" t="s">
        <v>1097</v>
      </c>
      <c r="L2220">
        <v>199</v>
      </c>
      <c r="M2220" t="s">
        <v>1098</v>
      </c>
      <c r="N2220" t="s">
        <v>1099</v>
      </c>
      <c r="O2220">
        <f>Table1[[#This Row],[Unit_Price]]*Table1[[#This Row],[Quantity]]</f>
        <v>45</v>
      </c>
    </row>
    <row r="2221" spans="1:15" x14ac:dyDescent="0.3">
      <c r="A2221" t="s">
        <v>4016</v>
      </c>
      <c r="B2221" t="s">
        <v>1949</v>
      </c>
      <c r="C2221" t="s">
        <v>917</v>
      </c>
      <c r="D2221" t="s">
        <v>1055</v>
      </c>
      <c r="E2221">
        <v>1</v>
      </c>
      <c r="F2221">
        <f>_xlfn.XLOOKUP(Table1[[#This Row],[ProductID]],Products!A:A,Products!D:D,,0)</f>
        <v>75</v>
      </c>
      <c r="I2221">
        <v>299</v>
      </c>
      <c r="J2221">
        <v>269</v>
      </c>
      <c r="K2221" t="s">
        <v>1107</v>
      </c>
      <c r="L2221">
        <v>269</v>
      </c>
      <c r="M2221" t="s">
        <v>1098</v>
      </c>
      <c r="N2221" t="s">
        <v>1099</v>
      </c>
      <c r="O2221">
        <f>Table1[[#This Row],[Unit_Price]]*Table1[[#This Row],[Quantity]]</f>
        <v>75</v>
      </c>
    </row>
    <row r="2222" spans="1:15" x14ac:dyDescent="0.3">
      <c r="A2222" t="s">
        <v>4017</v>
      </c>
      <c r="B2222" t="s">
        <v>2342</v>
      </c>
      <c r="C2222" t="s">
        <v>571</v>
      </c>
      <c r="D2222" t="s">
        <v>1062</v>
      </c>
      <c r="E2222">
        <v>4</v>
      </c>
      <c r="F2222">
        <f>_xlfn.XLOOKUP(Table1[[#This Row],[ProductID]],Products!A:A,Products!D:D,,0)</f>
        <v>95</v>
      </c>
      <c r="I2222">
        <v>349</v>
      </c>
      <c r="J2222">
        <v>314</v>
      </c>
      <c r="K2222" t="s">
        <v>1107</v>
      </c>
      <c r="L2222">
        <v>1256</v>
      </c>
      <c r="M2222" t="s">
        <v>1093</v>
      </c>
      <c r="N2222" t="s">
        <v>1099</v>
      </c>
      <c r="O2222">
        <f>Table1[[#This Row],[Unit_Price]]*Table1[[#This Row],[Quantity]]</f>
        <v>380</v>
      </c>
    </row>
    <row r="2223" spans="1:15" x14ac:dyDescent="0.3">
      <c r="A2223" t="s">
        <v>4018</v>
      </c>
      <c r="B2223" t="s">
        <v>2403</v>
      </c>
      <c r="C2223" t="s">
        <v>955</v>
      </c>
      <c r="D2223" t="s">
        <v>1048</v>
      </c>
      <c r="E2223">
        <v>1</v>
      </c>
      <c r="F2223">
        <f>_xlfn.XLOOKUP(Table1[[#This Row],[ProductID]],Products!A:A,Products!D:D,,0)</f>
        <v>120</v>
      </c>
      <c r="I2223">
        <v>599</v>
      </c>
      <c r="J2223">
        <v>539</v>
      </c>
      <c r="K2223" t="s">
        <v>1107</v>
      </c>
      <c r="L2223">
        <v>539</v>
      </c>
      <c r="M2223" t="s">
        <v>1098</v>
      </c>
      <c r="N2223" t="s">
        <v>1099</v>
      </c>
      <c r="O2223">
        <f>Table1[[#This Row],[Unit_Price]]*Table1[[#This Row],[Quantity]]</f>
        <v>120</v>
      </c>
    </row>
    <row r="2224" spans="1:15" x14ac:dyDescent="0.3">
      <c r="A2224" t="s">
        <v>4019</v>
      </c>
      <c r="B2224" t="s">
        <v>1381</v>
      </c>
      <c r="C2224" t="s">
        <v>505</v>
      </c>
      <c r="D2224" t="s">
        <v>1071</v>
      </c>
      <c r="E2224">
        <v>1</v>
      </c>
      <c r="F2224">
        <f>_xlfn.XLOOKUP(Table1[[#This Row],[ProductID]],Products!A:A,Products!D:D,,0)</f>
        <v>125</v>
      </c>
      <c r="I2224">
        <v>399</v>
      </c>
      <c r="J2224">
        <v>399</v>
      </c>
      <c r="K2224" t="s">
        <v>1102</v>
      </c>
      <c r="L2224">
        <v>399</v>
      </c>
      <c r="M2224" t="s">
        <v>1093</v>
      </c>
      <c r="N2224" t="s">
        <v>1099</v>
      </c>
      <c r="O2224">
        <f>Table1[[#This Row],[Unit_Price]]*Table1[[#This Row],[Quantity]]</f>
        <v>125</v>
      </c>
    </row>
    <row r="2225" spans="1:15" x14ac:dyDescent="0.3">
      <c r="A2225" t="s">
        <v>4020</v>
      </c>
      <c r="B2225" t="s">
        <v>1463</v>
      </c>
      <c r="C2225" t="s">
        <v>957</v>
      </c>
      <c r="D2225" t="s">
        <v>1051</v>
      </c>
      <c r="E2225">
        <v>1</v>
      </c>
      <c r="F2225">
        <f>_xlfn.XLOOKUP(Table1[[#This Row],[ProductID]],Products!A:A,Products!D:D,,0)</f>
        <v>150</v>
      </c>
      <c r="I2225">
        <v>499</v>
      </c>
      <c r="J2225">
        <v>449</v>
      </c>
      <c r="K2225" t="s">
        <v>1107</v>
      </c>
      <c r="L2225">
        <v>449</v>
      </c>
      <c r="M2225" t="s">
        <v>1093</v>
      </c>
      <c r="N2225" t="s">
        <v>1123</v>
      </c>
      <c r="O2225">
        <f>Table1[[#This Row],[Unit_Price]]*Table1[[#This Row],[Quantity]]</f>
        <v>150</v>
      </c>
    </row>
    <row r="2226" spans="1:15" x14ac:dyDescent="0.3">
      <c r="A2226" t="s">
        <v>4021</v>
      </c>
      <c r="B2226" t="s">
        <v>1106</v>
      </c>
      <c r="C2226" t="s">
        <v>197</v>
      </c>
      <c r="D2226" t="s">
        <v>1053</v>
      </c>
      <c r="E2226">
        <v>2</v>
      </c>
      <c r="F2226">
        <f>_xlfn.XLOOKUP(Table1[[#This Row],[ProductID]],Products!A:A,Products!D:D,,0)</f>
        <v>200</v>
      </c>
      <c r="I2226">
        <v>899</v>
      </c>
      <c r="J2226">
        <v>899</v>
      </c>
      <c r="K2226" t="s">
        <v>1102</v>
      </c>
      <c r="L2226">
        <v>1798</v>
      </c>
      <c r="M2226" t="s">
        <v>1093</v>
      </c>
      <c r="N2226" t="s">
        <v>1094</v>
      </c>
      <c r="O2226">
        <f>Table1[[#This Row],[Unit_Price]]*Table1[[#This Row],[Quantity]]</f>
        <v>400</v>
      </c>
    </row>
    <row r="2227" spans="1:15" x14ac:dyDescent="0.3">
      <c r="A2227" t="s">
        <v>4022</v>
      </c>
      <c r="B2227" t="s">
        <v>1551</v>
      </c>
      <c r="C2227" t="s">
        <v>469</v>
      </c>
      <c r="D2227" t="s">
        <v>1051</v>
      </c>
      <c r="E2227">
        <v>3</v>
      </c>
      <c r="F2227">
        <f>_xlfn.XLOOKUP(Table1[[#This Row],[ProductID]],Products!A:A,Products!D:D,,0)</f>
        <v>150</v>
      </c>
      <c r="I2227">
        <v>499</v>
      </c>
      <c r="J2227">
        <v>424</v>
      </c>
      <c r="K2227" t="s">
        <v>1092</v>
      </c>
      <c r="L2227">
        <v>1272</v>
      </c>
      <c r="M2227" t="s">
        <v>1126</v>
      </c>
      <c r="N2227" t="s">
        <v>1099</v>
      </c>
      <c r="O2227">
        <f>Table1[[#This Row],[Unit_Price]]*Table1[[#This Row],[Quantity]]</f>
        <v>450</v>
      </c>
    </row>
    <row r="2228" spans="1:15" x14ac:dyDescent="0.3">
      <c r="A2228" t="s">
        <v>4023</v>
      </c>
      <c r="B2228" t="s">
        <v>1325</v>
      </c>
      <c r="C2228" t="s">
        <v>319</v>
      </c>
      <c r="D2228" t="s">
        <v>1080</v>
      </c>
      <c r="E2228">
        <v>4</v>
      </c>
      <c r="F2228">
        <f>_xlfn.XLOOKUP(Table1[[#This Row],[ProductID]],Products!A:A,Products!D:D,,0)</f>
        <v>45</v>
      </c>
      <c r="I2228">
        <v>249</v>
      </c>
      <c r="J2228">
        <v>249</v>
      </c>
      <c r="K2228" t="s">
        <v>1102</v>
      </c>
      <c r="L2228">
        <v>996</v>
      </c>
      <c r="M2228" t="s">
        <v>1093</v>
      </c>
      <c r="N2228" t="s">
        <v>1099</v>
      </c>
      <c r="O2228">
        <f>Table1[[#This Row],[Unit_Price]]*Table1[[#This Row],[Quantity]]</f>
        <v>180</v>
      </c>
    </row>
    <row r="2229" spans="1:15" x14ac:dyDescent="0.3">
      <c r="A2229" t="s">
        <v>4024</v>
      </c>
      <c r="B2229" t="s">
        <v>2146</v>
      </c>
      <c r="C2229" t="s">
        <v>489</v>
      </c>
      <c r="D2229" t="s">
        <v>1057</v>
      </c>
      <c r="E2229">
        <v>2</v>
      </c>
      <c r="F2229">
        <f>_xlfn.XLOOKUP(Table1[[#This Row],[ProductID]],Products!A:A,Products!D:D,,0)</f>
        <v>130</v>
      </c>
      <c r="I2229">
        <v>549</v>
      </c>
      <c r="J2229">
        <v>549</v>
      </c>
      <c r="K2229" t="s">
        <v>1102</v>
      </c>
      <c r="L2229">
        <v>1098</v>
      </c>
      <c r="M2229" t="s">
        <v>1098</v>
      </c>
      <c r="N2229" t="s">
        <v>1123</v>
      </c>
      <c r="O2229">
        <f>Table1[[#This Row],[Unit_Price]]*Table1[[#This Row],[Quantity]]</f>
        <v>260</v>
      </c>
    </row>
    <row r="2230" spans="1:15" x14ac:dyDescent="0.3">
      <c r="A2230" t="s">
        <v>4025</v>
      </c>
      <c r="B2230" t="s">
        <v>1543</v>
      </c>
      <c r="C2230" t="s">
        <v>397</v>
      </c>
      <c r="D2230" t="s">
        <v>1062</v>
      </c>
      <c r="E2230">
        <v>1</v>
      </c>
      <c r="F2230">
        <f>_xlfn.XLOOKUP(Table1[[#This Row],[ProductID]],Products!A:A,Products!D:D,,0)</f>
        <v>95</v>
      </c>
      <c r="I2230">
        <v>349</v>
      </c>
      <c r="J2230">
        <v>297</v>
      </c>
      <c r="K2230" t="s">
        <v>1092</v>
      </c>
      <c r="L2230">
        <v>297</v>
      </c>
      <c r="M2230" t="s">
        <v>1093</v>
      </c>
      <c r="N2230" t="s">
        <v>1123</v>
      </c>
      <c r="O2230">
        <f>Table1[[#This Row],[Unit_Price]]*Table1[[#This Row],[Quantity]]</f>
        <v>95</v>
      </c>
    </row>
    <row r="2231" spans="1:15" x14ac:dyDescent="0.3">
      <c r="A2231" t="s">
        <v>4026</v>
      </c>
      <c r="B2231" t="s">
        <v>2628</v>
      </c>
      <c r="C2231" t="s">
        <v>899</v>
      </c>
      <c r="D2231" t="s">
        <v>1068</v>
      </c>
      <c r="E2231">
        <v>1</v>
      </c>
      <c r="F2231">
        <f>_xlfn.XLOOKUP(Table1[[#This Row],[ProductID]],Products!A:A,Products!D:D,,0)</f>
        <v>180</v>
      </c>
      <c r="I2231">
        <v>449</v>
      </c>
      <c r="J2231">
        <v>449</v>
      </c>
      <c r="K2231" t="s">
        <v>1102</v>
      </c>
      <c r="L2231">
        <v>449</v>
      </c>
      <c r="M2231" t="s">
        <v>1098</v>
      </c>
      <c r="N2231" t="s">
        <v>1099</v>
      </c>
      <c r="O2231">
        <f>Table1[[#This Row],[Unit_Price]]*Table1[[#This Row],[Quantity]]</f>
        <v>180</v>
      </c>
    </row>
    <row r="2232" spans="1:15" x14ac:dyDescent="0.3">
      <c r="A2232" t="s">
        <v>4027</v>
      </c>
      <c r="B2232" t="s">
        <v>1780</v>
      </c>
      <c r="C2232" t="s">
        <v>271</v>
      </c>
      <c r="D2232" t="s">
        <v>1057</v>
      </c>
      <c r="E2232">
        <v>1</v>
      </c>
      <c r="F2232">
        <f>_xlfn.XLOOKUP(Table1[[#This Row],[ProductID]],Products!A:A,Products!D:D,,0)</f>
        <v>130</v>
      </c>
      <c r="I2232">
        <v>549</v>
      </c>
      <c r="J2232">
        <v>467</v>
      </c>
      <c r="K2232" t="s">
        <v>1092</v>
      </c>
      <c r="L2232">
        <v>467</v>
      </c>
      <c r="M2232" t="s">
        <v>1098</v>
      </c>
      <c r="N2232" t="s">
        <v>1099</v>
      </c>
      <c r="O2232">
        <f>Table1[[#This Row],[Unit_Price]]*Table1[[#This Row],[Quantity]]</f>
        <v>130</v>
      </c>
    </row>
    <row r="2233" spans="1:15" x14ac:dyDescent="0.3">
      <c r="A2233" t="s">
        <v>4028</v>
      </c>
      <c r="B2233" t="s">
        <v>2178</v>
      </c>
      <c r="C2233" t="s">
        <v>589</v>
      </c>
      <c r="D2233" t="s">
        <v>1053</v>
      </c>
      <c r="E2233">
        <v>1</v>
      </c>
      <c r="F2233">
        <f>_xlfn.XLOOKUP(Table1[[#This Row],[ProductID]],Products!A:A,Products!D:D,,0)</f>
        <v>200</v>
      </c>
      <c r="I2233">
        <v>899</v>
      </c>
      <c r="J2233">
        <v>899</v>
      </c>
      <c r="K2233" t="s">
        <v>1102</v>
      </c>
      <c r="L2233">
        <v>899</v>
      </c>
      <c r="M2233" t="s">
        <v>1093</v>
      </c>
      <c r="N2233" t="s">
        <v>1099</v>
      </c>
      <c r="O2233">
        <f>Table1[[#This Row],[Unit_Price]]*Table1[[#This Row],[Quantity]]</f>
        <v>200</v>
      </c>
    </row>
    <row r="2234" spans="1:15" x14ac:dyDescent="0.3">
      <c r="A2234" t="s">
        <v>4029</v>
      </c>
      <c r="B2234" t="s">
        <v>1645</v>
      </c>
      <c r="C2234" t="s">
        <v>829</v>
      </c>
      <c r="D2234" t="s">
        <v>1048</v>
      </c>
      <c r="E2234">
        <v>1</v>
      </c>
      <c r="F2234">
        <f>_xlfn.XLOOKUP(Table1[[#This Row],[ProductID]],Products!A:A,Products!D:D,,0)</f>
        <v>120</v>
      </c>
      <c r="I2234">
        <v>599</v>
      </c>
      <c r="J2234">
        <v>479</v>
      </c>
      <c r="K2234" t="s">
        <v>1097</v>
      </c>
      <c r="L2234">
        <v>479</v>
      </c>
      <c r="M2234" t="s">
        <v>1093</v>
      </c>
      <c r="N2234" t="s">
        <v>1094</v>
      </c>
      <c r="O2234">
        <f>Table1[[#This Row],[Unit_Price]]*Table1[[#This Row],[Quantity]]</f>
        <v>120</v>
      </c>
    </row>
    <row r="2235" spans="1:15" x14ac:dyDescent="0.3">
      <c r="A2235" t="s">
        <v>4030</v>
      </c>
      <c r="B2235" t="s">
        <v>1835</v>
      </c>
      <c r="C2235" t="s">
        <v>855</v>
      </c>
      <c r="D2235" t="s">
        <v>1080</v>
      </c>
      <c r="E2235">
        <v>3</v>
      </c>
      <c r="F2235">
        <f>_xlfn.XLOOKUP(Table1[[#This Row],[ProductID]],Products!A:A,Products!D:D,,0)</f>
        <v>45</v>
      </c>
      <c r="I2235">
        <v>249</v>
      </c>
      <c r="J2235">
        <v>249</v>
      </c>
      <c r="K2235" t="s">
        <v>1102</v>
      </c>
      <c r="L2235">
        <v>747</v>
      </c>
      <c r="M2235" t="s">
        <v>1093</v>
      </c>
      <c r="N2235" t="s">
        <v>1099</v>
      </c>
      <c r="O2235">
        <f>Table1[[#This Row],[Unit_Price]]*Table1[[#This Row],[Quantity]]</f>
        <v>135</v>
      </c>
    </row>
    <row r="2236" spans="1:15" x14ac:dyDescent="0.3">
      <c r="A2236" t="s">
        <v>4031</v>
      </c>
      <c r="B2236" t="s">
        <v>2227</v>
      </c>
      <c r="C2236" t="s">
        <v>497</v>
      </c>
      <c r="D2236" t="s">
        <v>1066</v>
      </c>
      <c r="E2236">
        <v>1</v>
      </c>
      <c r="F2236">
        <f>_xlfn.XLOOKUP(Table1[[#This Row],[ProductID]],Products!A:A,Products!D:D,,0)</f>
        <v>140</v>
      </c>
      <c r="I2236">
        <v>499</v>
      </c>
      <c r="J2236">
        <v>399</v>
      </c>
      <c r="K2236" t="s">
        <v>1097</v>
      </c>
      <c r="L2236">
        <v>399</v>
      </c>
      <c r="M2236" t="s">
        <v>1098</v>
      </c>
      <c r="N2236" t="s">
        <v>1099</v>
      </c>
      <c r="O2236">
        <f>Table1[[#This Row],[Unit_Price]]*Table1[[#This Row],[Quantity]]</f>
        <v>140</v>
      </c>
    </row>
    <row r="2237" spans="1:15" x14ac:dyDescent="0.3">
      <c r="A2237" t="s">
        <v>4032</v>
      </c>
      <c r="B2237" t="s">
        <v>1681</v>
      </c>
      <c r="C2237" t="s">
        <v>152</v>
      </c>
      <c r="D2237" t="s">
        <v>1053</v>
      </c>
      <c r="E2237">
        <v>1</v>
      </c>
      <c r="F2237">
        <f>_xlfn.XLOOKUP(Table1[[#This Row],[ProductID]],Products!A:A,Products!D:D,,0)</f>
        <v>200</v>
      </c>
      <c r="I2237">
        <v>899</v>
      </c>
      <c r="J2237">
        <v>809</v>
      </c>
      <c r="K2237" t="s">
        <v>1107</v>
      </c>
      <c r="L2237">
        <v>809</v>
      </c>
      <c r="M2237" t="s">
        <v>1093</v>
      </c>
      <c r="N2237" t="s">
        <v>1099</v>
      </c>
      <c r="O2237">
        <f>Table1[[#This Row],[Unit_Price]]*Table1[[#This Row],[Quantity]]</f>
        <v>200</v>
      </c>
    </row>
    <row r="2238" spans="1:15" x14ac:dyDescent="0.3">
      <c r="A2238" t="s">
        <v>4033</v>
      </c>
      <c r="B2238" t="s">
        <v>2102</v>
      </c>
      <c r="C2238" t="s">
        <v>65</v>
      </c>
      <c r="D2238" t="s">
        <v>1080</v>
      </c>
      <c r="E2238">
        <v>1</v>
      </c>
      <c r="F2238">
        <f>_xlfn.XLOOKUP(Table1[[#This Row],[ProductID]],Products!A:A,Products!D:D,,0)</f>
        <v>45</v>
      </c>
      <c r="I2238">
        <v>249</v>
      </c>
      <c r="J2238">
        <v>212</v>
      </c>
      <c r="K2238" t="s">
        <v>1092</v>
      </c>
      <c r="L2238">
        <v>212</v>
      </c>
      <c r="M2238" t="s">
        <v>1093</v>
      </c>
      <c r="N2238" t="s">
        <v>1094</v>
      </c>
      <c r="O2238">
        <f>Table1[[#This Row],[Unit_Price]]*Table1[[#This Row],[Quantity]]</f>
        <v>45</v>
      </c>
    </row>
    <row r="2239" spans="1:15" x14ac:dyDescent="0.3">
      <c r="A2239" t="s">
        <v>4034</v>
      </c>
      <c r="B2239" t="s">
        <v>2757</v>
      </c>
      <c r="C2239" t="s">
        <v>703</v>
      </c>
      <c r="D2239" t="s">
        <v>1073</v>
      </c>
      <c r="E2239">
        <v>1</v>
      </c>
      <c r="F2239">
        <f>_xlfn.XLOOKUP(Table1[[#This Row],[ProductID]],Products!A:A,Products!D:D,,0)</f>
        <v>100</v>
      </c>
      <c r="I2239">
        <v>349</v>
      </c>
      <c r="J2239">
        <v>349</v>
      </c>
      <c r="K2239" t="s">
        <v>1102</v>
      </c>
      <c r="L2239">
        <v>349</v>
      </c>
      <c r="M2239" t="s">
        <v>1098</v>
      </c>
      <c r="N2239" t="s">
        <v>1099</v>
      </c>
      <c r="O2239">
        <f>Table1[[#This Row],[Unit_Price]]*Table1[[#This Row],[Quantity]]</f>
        <v>100</v>
      </c>
    </row>
    <row r="2240" spans="1:15" x14ac:dyDescent="0.3">
      <c r="A2240" t="s">
        <v>4035</v>
      </c>
      <c r="B2240" t="s">
        <v>3650</v>
      </c>
      <c r="C2240" t="s">
        <v>963</v>
      </c>
      <c r="D2240" t="s">
        <v>1064</v>
      </c>
      <c r="E2240">
        <v>1</v>
      </c>
      <c r="F2240">
        <f>_xlfn.XLOOKUP(Table1[[#This Row],[ProductID]],Products!A:A,Products!D:D,,0)</f>
        <v>160</v>
      </c>
      <c r="I2240">
        <v>699</v>
      </c>
      <c r="J2240">
        <v>699</v>
      </c>
      <c r="K2240" t="s">
        <v>1102</v>
      </c>
      <c r="L2240">
        <v>699</v>
      </c>
      <c r="M2240" t="s">
        <v>1098</v>
      </c>
      <c r="N2240" t="s">
        <v>1099</v>
      </c>
      <c r="O2240">
        <f>Table1[[#This Row],[Unit_Price]]*Table1[[#This Row],[Quantity]]</f>
        <v>160</v>
      </c>
    </row>
    <row r="2241" spans="1:15" x14ac:dyDescent="0.3">
      <c r="A2241" t="s">
        <v>4036</v>
      </c>
      <c r="B2241" t="s">
        <v>1166</v>
      </c>
      <c r="C2241" t="s">
        <v>132</v>
      </c>
      <c r="D2241" t="s">
        <v>1048</v>
      </c>
      <c r="E2241">
        <v>2</v>
      </c>
      <c r="F2241">
        <f>_xlfn.XLOOKUP(Table1[[#This Row],[ProductID]],Products!A:A,Products!D:D,,0)</f>
        <v>120</v>
      </c>
      <c r="I2241">
        <v>599</v>
      </c>
      <c r="J2241">
        <v>479</v>
      </c>
      <c r="K2241" t="s">
        <v>1097</v>
      </c>
      <c r="L2241">
        <v>958</v>
      </c>
      <c r="M2241" t="s">
        <v>1093</v>
      </c>
      <c r="N2241" t="s">
        <v>1094</v>
      </c>
      <c r="O2241">
        <f>Table1[[#This Row],[Unit_Price]]*Table1[[#This Row],[Quantity]]</f>
        <v>240</v>
      </c>
    </row>
    <row r="2242" spans="1:15" x14ac:dyDescent="0.3">
      <c r="A2242" t="s">
        <v>4037</v>
      </c>
      <c r="B2242" t="s">
        <v>2132</v>
      </c>
      <c r="C2242" t="s">
        <v>162</v>
      </c>
      <c r="D2242" t="s">
        <v>1055</v>
      </c>
      <c r="E2242">
        <v>1</v>
      </c>
      <c r="F2242">
        <f>_xlfn.XLOOKUP(Table1[[#This Row],[ProductID]],Products!A:A,Products!D:D,,0)</f>
        <v>75</v>
      </c>
      <c r="I2242">
        <v>299</v>
      </c>
      <c r="J2242">
        <v>239</v>
      </c>
      <c r="K2242" t="s">
        <v>1097</v>
      </c>
      <c r="L2242">
        <v>239</v>
      </c>
      <c r="M2242" t="s">
        <v>1098</v>
      </c>
      <c r="N2242" t="s">
        <v>1099</v>
      </c>
      <c r="O2242">
        <f>Table1[[#This Row],[Unit_Price]]*Table1[[#This Row],[Quantity]]</f>
        <v>75</v>
      </c>
    </row>
    <row r="2243" spans="1:15" x14ac:dyDescent="0.3">
      <c r="A2243" t="s">
        <v>4038</v>
      </c>
      <c r="B2243" t="s">
        <v>2001</v>
      </c>
      <c r="C2243" t="s">
        <v>671</v>
      </c>
      <c r="D2243" t="s">
        <v>1051</v>
      </c>
      <c r="E2243">
        <v>3</v>
      </c>
      <c r="F2243">
        <f>_xlfn.XLOOKUP(Table1[[#This Row],[ProductID]],Products!A:A,Products!D:D,,0)</f>
        <v>150</v>
      </c>
      <c r="I2243">
        <v>499</v>
      </c>
      <c r="J2243">
        <v>499</v>
      </c>
      <c r="K2243" t="s">
        <v>1102</v>
      </c>
      <c r="L2243">
        <v>1497</v>
      </c>
      <c r="M2243" t="s">
        <v>1093</v>
      </c>
      <c r="N2243" t="s">
        <v>1123</v>
      </c>
      <c r="O2243">
        <f>Table1[[#This Row],[Unit_Price]]*Table1[[#This Row],[Quantity]]</f>
        <v>450</v>
      </c>
    </row>
    <row r="2244" spans="1:15" x14ac:dyDescent="0.3">
      <c r="A2244" t="s">
        <v>4039</v>
      </c>
      <c r="B2244" t="s">
        <v>2178</v>
      </c>
      <c r="C2244" t="s">
        <v>87</v>
      </c>
      <c r="D2244" t="s">
        <v>1064</v>
      </c>
      <c r="E2244">
        <v>1</v>
      </c>
      <c r="F2244">
        <f>_xlfn.XLOOKUP(Table1[[#This Row],[ProductID]],Products!A:A,Products!D:D,,0)</f>
        <v>160</v>
      </c>
      <c r="I2244">
        <v>699</v>
      </c>
      <c r="J2244">
        <v>594</v>
      </c>
      <c r="K2244" t="s">
        <v>1092</v>
      </c>
      <c r="L2244">
        <v>594</v>
      </c>
      <c r="M2244" t="s">
        <v>1098</v>
      </c>
      <c r="N2244" t="s">
        <v>1099</v>
      </c>
      <c r="O2244">
        <f>Table1[[#This Row],[Unit_Price]]*Table1[[#This Row],[Quantity]]</f>
        <v>160</v>
      </c>
    </row>
    <row r="2245" spans="1:15" x14ac:dyDescent="0.3">
      <c r="A2245" t="s">
        <v>4040</v>
      </c>
      <c r="B2245" t="s">
        <v>1537</v>
      </c>
      <c r="C2245" t="s">
        <v>138</v>
      </c>
      <c r="D2245" t="s">
        <v>1051</v>
      </c>
      <c r="E2245">
        <v>1</v>
      </c>
      <c r="F2245">
        <f>_xlfn.XLOOKUP(Table1[[#This Row],[ProductID]],Products!A:A,Products!D:D,,0)</f>
        <v>150</v>
      </c>
      <c r="I2245">
        <v>499</v>
      </c>
      <c r="J2245">
        <v>449</v>
      </c>
      <c r="K2245" t="s">
        <v>1107</v>
      </c>
      <c r="L2245">
        <v>449</v>
      </c>
      <c r="M2245" t="s">
        <v>1126</v>
      </c>
      <c r="N2245" t="s">
        <v>1099</v>
      </c>
      <c r="O2245">
        <f>Table1[[#This Row],[Unit_Price]]*Table1[[#This Row],[Quantity]]</f>
        <v>150</v>
      </c>
    </row>
    <row r="2246" spans="1:15" x14ac:dyDescent="0.3">
      <c r="A2246" t="s">
        <v>4041</v>
      </c>
      <c r="B2246" t="s">
        <v>1597</v>
      </c>
      <c r="C2246" t="s">
        <v>953</v>
      </c>
      <c r="D2246" t="s">
        <v>1059</v>
      </c>
      <c r="E2246">
        <v>1</v>
      </c>
      <c r="F2246">
        <f>_xlfn.XLOOKUP(Table1[[#This Row],[ProductID]],Products!A:A,Products!D:D,,0)</f>
        <v>110</v>
      </c>
      <c r="I2246">
        <v>399</v>
      </c>
      <c r="J2246">
        <v>399</v>
      </c>
      <c r="K2246" t="s">
        <v>1102</v>
      </c>
      <c r="L2246">
        <v>399</v>
      </c>
      <c r="M2246" t="s">
        <v>1126</v>
      </c>
      <c r="N2246" t="s">
        <v>1099</v>
      </c>
      <c r="O2246">
        <f>Table1[[#This Row],[Unit_Price]]*Table1[[#This Row],[Quantity]]</f>
        <v>110</v>
      </c>
    </row>
    <row r="2247" spans="1:15" x14ac:dyDescent="0.3">
      <c r="A2247" t="s">
        <v>4042</v>
      </c>
      <c r="B2247" t="s">
        <v>3677</v>
      </c>
      <c r="C2247" t="s">
        <v>337</v>
      </c>
      <c r="D2247" t="s">
        <v>1062</v>
      </c>
      <c r="E2247">
        <v>1</v>
      </c>
      <c r="F2247">
        <f>_xlfn.XLOOKUP(Table1[[#This Row],[ProductID]],Products!A:A,Products!D:D,,0)</f>
        <v>95</v>
      </c>
      <c r="I2247">
        <v>349</v>
      </c>
      <c r="J2247">
        <v>297</v>
      </c>
      <c r="K2247" t="s">
        <v>1092</v>
      </c>
      <c r="L2247">
        <v>297</v>
      </c>
      <c r="M2247" t="s">
        <v>1126</v>
      </c>
      <c r="N2247" t="s">
        <v>1094</v>
      </c>
      <c r="O2247">
        <f>Table1[[#This Row],[Unit_Price]]*Table1[[#This Row],[Quantity]]</f>
        <v>95</v>
      </c>
    </row>
    <row r="2248" spans="1:15" x14ac:dyDescent="0.3">
      <c r="A2248" t="s">
        <v>4043</v>
      </c>
      <c r="B2248" t="s">
        <v>1254</v>
      </c>
      <c r="C2248" t="s">
        <v>507</v>
      </c>
      <c r="D2248" t="s">
        <v>1057</v>
      </c>
      <c r="E2248">
        <v>2</v>
      </c>
      <c r="F2248">
        <f>_xlfn.XLOOKUP(Table1[[#This Row],[ProductID]],Products!A:A,Products!D:D,,0)</f>
        <v>130</v>
      </c>
      <c r="I2248">
        <v>549</v>
      </c>
      <c r="J2248">
        <v>494</v>
      </c>
      <c r="K2248" t="s">
        <v>1107</v>
      </c>
      <c r="L2248">
        <v>988</v>
      </c>
      <c r="M2248" t="s">
        <v>1093</v>
      </c>
      <c r="N2248" t="s">
        <v>1099</v>
      </c>
      <c r="O2248">
        <f>Table1[[#This Row],[Unit_Price]]*Table1[[#This Row],[Quantity]]</f>
        <v>260</v>
      </c>
    </row>
    <row r="2249" spans="1:15" x14ac:dyDescent="0.3">
      <c r="A2249" t="s">
        <v>4044</v>
      </c>
      <c r="B2249" t="s">
        <v>3228</v>
      </c>
      <c r="C2249" t="s">
        <v>653</v>
      </c>
      <c r="D2249" t="s">
        <v>1080</v>
      </c>
      <c r="E2249">
        <v>2</v>
      </c>
      <c r="F2249">
        <f>_xlfn.XLOOKUP(Table1[[#This Row],[ProductID]],Products!A:A,Products!D:D,,0)</f>
        <v>45</v>
      </c>
      <c r="I2249">
        <v>249</v>
      </c>
      <c r="J2249">
        <v>249</v>
      </c>
      <c r="K2249" t="s">
        <v>1102</v>
      </c>
      <c r="L2249">
        <v>498</v>
      </c>
      <c r="M2249" t="s">
        <v>1118</v>
      </c>
      <c r="N2249" t="s">
        <v>1099</v>
      </c>
      <c r="O2249">
        <f>Table1[[#This Row],[Unit_Price]]*Table1[[#This Row],[Quantity]]</f>
        <v>90</v>
      </c>
    </row>
    <row r="2250" spans="1:15" x14ac:dyDescent="0.3">
      <c r="A2250" t="s">
        <v>4045</v>
      </c>
      <c r="B2250" t="s">
        <v>2095</v>
      </c>
      <c r="C2250" t="s">
        <v>911</v>
      </c>
      <c r="D2250" t="s">
        <v>1080</v>
      </c>
      <c r="E2250">
        <v>1</v>
      </c>
      <c r="F2250">
        <f>_xlfn.XLOOKUP(Table1[[#This Row],[ProductID]],Products!A:A,Products!D:D,,0)</f>
        <v>45</v>
      </c>
      <c r="I2250">
        <v>249</v>
      </c>
      <c r="J2250">
        <v>224</v>
      </c>
      <c r="K2250" t="s">
        <v>1107</v>
      </c>
      <c r="L2250">
        <v>224</v>
      </c>
      <c r="M2250" t="s">
        <v>1098</v>
      </c>
      <c r="N2250" t="s">
        <v>1099</v>
      </c>
      <c r="O2250">
        <f>Table1[[#This Row],[Unit_Price]]*Table1[[#This Row],[Quantity]]</f>
        <v>45</v>
      </c>
    </row>
    <row r="2251" spans="1:15" x14ac:dyDescent="0.3">
      <c r="A2251" t="s">
        <v>4046</v>
      </c>
      <c r="B2251" t="s">
        <v>2617</v>
      </c>
      <c r="C2251" t="s">
        <v>1015</v>
      </c>
      <c r="D2251" t="s">
        <v>1078</v>
      </c>
      <c r="E2251">
        <v>1</v>
      </c>
      <c r="F2251">
        <f>_xlfn.XLOOKUP(Table1[[#This Row],[ProductID]],Products!A:A,Products!D:D,,0)</f>
        <v>80</v>
      </c>
      <c r="I2251">
        <v>499</v>
      </c>
      <c r="J2251">
        <v>399</v>
      </c>
      <c r="K2251" t="s">
        <v>1097</v>
      </c>
      <c r="L2251">
        <v>399</v>
      </c>
      <c r="M2251" t="s">
        <v>1093</v>
      </c>
      <c r="N2251" t="s">
        <v>1099</v>
      </c>
      <c r="O2251">
        <f>Table1[[#This Row],[Unit_Price]]*Table1[[#This Row],[Quantity]]</f>
        <v>80</v>
      </c>
    </row>
    <row r="2252" spans="1:15" x14ac:dyDescent="0.3">
      <c r="A2252" t="s">
        <v>4047</v>
      </c>
      <c r="B2252" t="s">
        <v>2514</v>
      </c>
      <c r="C2252" t="s">
        <v>335</v>
      </c>
      <c r="D2252" t="s">
        <v>1080</v>
      </c>
      <c r="E2252">
        <v>1</v>
      </c>
      <c r="F2252">
        <f>_xlfn.XLOOKUP(Table1[[#This Row],[ProductID]],Products!A:A,Products!D:D,,0)</f>
        <v>45</v>
      </c>
      <c r="I2252">
        <v>249</v>
      </c>
      <c r="J2252">
        <v>212</v>
      </c>
      <c r="K2252" t="s">
        <v>1092</v>
      </c>
      <c r="L2252">
        <v>212</v>
      </c>
      <c r="M2252" t="s">
        <v>1126</v>
      </c>
      <c r="N2252" t="s">
        <v>1099</v>
      </c>
      <c r="O2252">
        <f>Table1[[#This Row],[Unit_Price]]*Table1[[#This Row],[Quantity]]</f>
        <v>45</v>
      </c>
    </row>
    <row r="2253" spans="1:15" x14ac:dyDescent="0.3">
      <c r="A2253" t="s">
        <v>4048</v>
      </c>
      <c r="B2253" t="s">
        <v>3742</v>
      </c>
      <c r="C2253" t="s">
        <v>633</v>
      </c>
      <c r="D2253" t="s">
        <v>1075</v>
      </c>
      <c r="E2253">
        <v>1</v>
      </c>
      <c r="F2253">
        <f>_xlfn.XLOOKUP(Table1[[#This Row],[ProductID]],Products!A:A,Products!D:D,,0)</f>
        <v>80</v>
      </c>
      <c r="I2253">
        <v>499</v>
      </c>
      <c r="J2253">
        <v>424</v>
      </c>
      <c r="K2253" t="s">
        <v>1092</v>
      </c>
      <c r="L2253">
        <v>424</v>
      </c>
      <c r="M2253" t="s">
        <v>1098</v>
      </c>
      <c r="N2253" t="s">
        <v>1099</v>
      </c>
      <c r="O2253">
        <f>Table1[[#This Row],[Unit_Price]]*Table1[[#This Row],[Quantity]]</f>
        <v>80</v>
      </c>
    </row>
    <row r="2254" spans="1:15" x14ac:dyDescent="0.3">
      <c r="A2254" t="s">
        <v>4049</v>
      </c>
      <c r="B2254" t="s">
        <v>1780</v>
      </c>
      <c r="C2254" t="s">
        <v>707</v>
      </c>
      <c r="D2254" t="s">
        <v>1078</v>
      </c>
      <c r="E2254">
        <v>1</v>
      </c>
      <c r="F2254">
        <f>_xlfn.XLOOKUP(Table1[[#This Row],[ProductID]],Products!A:A,Products!D:D,,0)</f>
        <v>80</v>
      </c>
      <c r="I2254">
        <v>499</v>
      </c>
      <c r="J2254">
        <v>499</v>
      </c>
      <c r="K2254" t="s">
        <v>1102</v>
      </c>
      <c r="L2254">
        <v>499</v>
      </c>
      <c r="M2254" t="s">
        <v>1093</v>
      </c>
      <c r="N2254" t="s">
        <v>1123</v>
      </c>
      <c r="O2254">
        <f>Table1[[#This Row],[Unit_Price]]*Table1[[#This Row],[Quantity]]</f>
        <v>80</v>
      </c>
    </row>
    <row r="2255" spans="1:15" x14ac:dyDescent="0.3">
      <c r="A2255" t="s">
        <v>4050</v>
      </c>
      <c r="B2255" t="s">
        <v>1880</v>
      </c>
      <c r="C2255" t="s">
        <v>162</v>
      </c>
      <c r="D2255" t="s">
        <v>1048</v>
      </c>
      <c r="E2255">
        <v>2</v>
      </c>
      <c r="F2255">
        <f>_xlfn.XLOOKUP(Table1[[#This Row],[ProductID]],Products!A:A,Products!D:D,,0)</f>
        <v>120</v>
      </c>
      <c r="I2255">
        <v>599</v>
      </c>
      <c r="J2255">
        <v>479</v>
      </c>
      <c r="K2255" t="s">
        <v>1097</v>
      </c>
      <c r="L2255">
        <v>958</v>
      </c>
      <c r="M2255" t="s">
        <v>1098</v>
      </c>
      <c r="N2255" t="s">
        <v>1099</v>
      </c>
      <c r="O2255">
        <f>Table1[[#This Row],[Unit_Price]]*Table1[[#This Row],[Quantity]]</f>
        <v>240</v>
      </c>
    </row>
    <row r="2256" spans="1:15" x14ac:dyDescent="0.3">
      <c r="A2256" t="s">
        <v>4051</v>
      </c>
      <c r="B2256" t="s">
        <v>1445</v>
      </c>
      <c r="C2256" t="s">
        <v>1019</v>
      </c>
      <c r="D2256" t="s">
        <v>1057</v>
      </c>
      <c r="E2256">
        <v>1</v>
      </c>
      <c r="F2256">
        <f>_xlfn.XLOOKUP(Table1[[#This Row],[ProductID]],Products!A:A,Products!D:D,,0)</f>
        <v>130</v>
      </c>
      <c r="I2256">
        <v>549</v>
      </c>
      <c r="J2256">
        <v>549</v>
      </c>
      <c r="K2256" t="s">
        <v>1102</v>
      </c>
      <c r="L2256">
        <v>549</v>
      </c>
      <c r="M2256" t="s">
        <v>1093</v>
      </c>
      <c r="N2256" t="s">
        <v>1099</v>
      </c>
      <c r="O2256">
        <f>Table1[[#This Row],[Unit_Price]]*Table1[[#This Row],[Quantity]]</f>
        <v>130</v>
      </c>
    </row>
    <row r="2257" spans="1:15" x14ac:dyDescent="0.3">
      <c r="A2257" t="s">
        <v>4052</v>
      </c>
      <c r="B2257" t="s">
        <v>3589</v>
      </c>
      <c r="C2257" t="s">
        <v>162</v>
      </c>
      <c r="D2257" t="s">
        <v>1057</v>
      </c>
      <c r="E2257">
        <v>1</v>
      </c>
      <c r="F2257">
        <f>_xlfn.XLOOKUP(Table1[[#This Row],[ProductID]],Products!A:A,Products!D:D,,0)</f>
        <v>130</v>
      </c>
      <c r="I2257">
        <v>549</v>
      </c>
      <c r="J2257">
        <v>549</v>
      </c>
      <c r="K2257" t="s">
        <v>1102</v>
      </c>
      <c r="L2257">
        <v>549</v>
      </c>
      <c r="M2257" t="s">
        <v>1126</v>
      </c>
      <c r="N2257" t="s">
        <v>1099</v>
      </c>
      <c r="O2257">
        <f>Table1[[#This Row],[Unit_Price]]*Table1[[#This Row],[Quantity]]</f>
        <v>130</v>
      </c>
    </row>
    <row r="2258" spans="1:15" x14ac:dyDescent="0.3">
      <c r="A2258" t="s">
        <v>4053</v>
      </c>
      <c r="B2258" t="s">
        <v>1696</v>
      </c>
      <c r="C2258" t="s">
        <v>513</v>
      </c>
      <c r="D2258" t="s">
        <v>1066</v>
      </c>
      <c r="E2258">
        <v>4</v>
      </c>
      <c r="F2258">
        <f>_xlfn.XLOOKUP(Table1[[#This Row],[ProductID]],Products!A:A,Products!D:D,,0)</f>
        <v>140</v>
      </c>
      <c r="I2258">
        <v>499</v>
      </c>
      <c r="J2258">
        <v>399</v>
      </c>
      <c r="K2258" t="s">
        <v>1097</v>
      </c>
      <c r="L2258">
        <v>1596</v>
      </c>
      <c r="M2258" t="s">
        <v>1093</v>
      </c>
      <c r="N2258" t="s">
        <v>1099</v>
      </c>
      <c r="O2258">
        <f>Table1[[#This Row],[Unit_Price]]*Table1[[#This Row],[Quantity]]</f>
        <v>560</v>
      </c>
    </row>
    <row r="2259" spans="1:15" x14ac:dyDescent="0.3">
      <c r="A2259" t="s">
        <v>4054</v>
      </c>
      <c r="B2259" t="s">
        <v>3263</v>
      </c>
      <c r="C2259" t="s">
        <v>203</v>
      </c>
      <c r="D2259" t="s">
        <v>1059</v>
      </c>
      <c r="E2259">
        <v>2</v>
      </c>
      <c r="F2259">
        <f>_xlfn.XLOOKUP(Table1[[#This Row],[ProductID]],Products!A:A,Products!D:D,,0)</f>
        <v>110</v>
      </c>
      <c r="I2259">
        <v>399</v>
      </c>
      <c r="J2259">
        <v>399</v>
      </c>
      <c r="K2259" t="s">
        <v>1102</v>
      </c>
      <c r="L2259">
        <v>798</v>
      </c>
      <c r="M2259" t="s">
        <v>1093</v>
      </c>
      <c r="N2259" t="s">
        <v>1099</v>
      </c>
      <c r="O2259">
        <f>Table1[[#This Row],[Unit_Price]]*Table1[[#This Row],[Quantity]]</f>
        <v>220</v>
      </c>
    </row>
    <row r="2260" spans="1:15" x14ac:dyDescent="0.3">
      <c r="A2260" t="s">
        <v>4055</v>
      </c>
      <c r="B2260" t="s">
        <v>3677</v>
      </c>
      <c r="C2260" t="s">
        <v>763</v>
      </c>
      <c r="D2260" t="s">
        <v>1051</v>
      </c>
      <c r="E2260">
        <v>2</v>
      </c>
      <c r="F2260">
        <f>_xlfn.XLOOKUP(Table1[[#This Row],[ProductID]],Products!A:A,Products!D:D,,0)</f>
        <v>150</v>
      </c>
      <c r="I2260">
        <v>499</v>
      </c>
      <c r="J2260">
        <v>499</v>
      </c>
      <c r="K2260" t="s">
        <v>1102</v>
      </c>
      <c r="L2260">
        <v>998</v>
      </c>
      <c r="M2260" t="s">
        <v>1098</v>
      </c>
      <c r="N2260" t="s">
        <v>1099</v>
      </c>
      <c r="O2260">
        <f>Table1[[#This Row],[Unit_Price]]*Table1[[#This Row],[Quantity]]</f>
        <v>300</v>
      </c>
    </row>
    <row r="2261" spans="1:15" x14ac:dyDescent="0.3">
      <c r="A2261" t="s">
        <v>4056</v>
      </c>
      <c r="B2261" t="s">
        <v>1591</v>
      </c>
      <c r="C2261" t="s">
        <v>755</v>
      </c>
      <c r="D2261" t="s">
        <v>1080</v>
      </c>
      <c r="E2261">
        <v>1</v>
      </c>
      <c r="F2261">
        <f>_xlfn.XLOOKUP(Table1[[#This Row],[ProductID]],Products!A:A,Products!D:D,,0)</f>
        <v>45</v>
      </c>
      <c r="I2261">
        <v>249</v>
      </c>
      <c r="J2261">
        <v>249</v>
      </c>
      <c r="K2261" t="s">
        <v>1102</v>
      </c>
      <c r="L2261">
        <v>249</v>
      </c>
      <c r="M2261" t="s">
        <v>1098</v>
      </c>
      <c r="N2261" t="s">
        <v>1099</v>
      </c>
      <c r="O2261">
        <f>Table1[[#This Row],[Unit_Price]]*Table1[[#This Row],[Quantity]]</f>
        <v>45</v>
      </c>
    </row>
    <row r="2262" spans="1:15" x14ac:dyDescent="0.3">
      <c r="A2262" t="s">
        <v>4057</v>
      </c>
      <c r="B2262" t="s">
        <v>1398</v>
      </c>
      <c r="C2262" t="s">
        <v>935</v>
      </c>
      <c r="D2262" t="s">
        <v>1068</v>
      </c>
      <c r="E2262">
        <v>2</v>
      </c>
      <c r="F2262">
        <f>_xlfn.XLOOKUP(Table1[[#This Row],[ProductID]],Products!A:A,Products!D:D,,0)</f>
        <v>180</v>
      </c>
      <c r="I2262">
        <v>449</v>
      </c>
      <c r="J2262">
        <v>404</v>
      </c>
      <c r="K2262" t="s">
        <v>1107</v>
      </c>
      <c r="L2262">
        <v>808</v>
      </c>
      <c r="M2262" t="s">
        <v>1093</v>
      </c>
      <c r="N2262" t="s">
        <v>1094</v>
      </c>
      <c r="O2262">
        <f>Table1[[#This Row],[Unit_Price]]*Table1[[#This Row],[Quantity]]</f>
        <v>360</v>
      </c>
    </row>
    <row r="2263" spans="1:15" x14ac:dyDescent="0.3">
      <c r="A2263" t="s">
        <v>4058</v>
      </c>
      <c r="B2263" t="s">
        <v>2407</v>
      </c>
      <c r="C2263" t="s">
        <v>569</v>
      </c>
      <c r="D2263" t="s">
        <v>1064</v>
      </c>
      <c r="E2263">
        <v>2</v>
      </c>
      <c r="F2263">
        <f>_xlfn.XLOOKUP(Table1[[#This Row],[ProductID]],Products!A:A,Products!D:D,,0)</f>
        <v>160</v>
      </c>
      <c r="I2263">
        <v>699</v>
      </c>
      <c r="J2263">
        <v>559</v>
      </c>
      <c r="K2263" t="s">
        <v>1097</v>
      </c>
      <c r="L2263">
        <v>1118</v>
      </c>
      <c r="M2263" t="s">
        <v>1098</v>
      </c>
      <c r="N2263" t="s">
        <v>1099</v>
      </c>
      <c r="O2263">
        <f>Table1[[#This Row],[Unit_Price]]*Table1[[#This Row],[Quantity]]</f>
        <v>320</v>
      </c>
    </row>
    <row r="2264" spans="1:15" x14ac:dyDescent="0.3">
      <c r="A2264" t="s">
        <v>4059</v>
      </c>
      <c r="B2264" t="s">
        <v>3826</v>
      </c>
      <c r="C2264" t="s">
        <v>365</v>
      </c>
      <c r="D2264" t="s">
        <v>1064</v>
      </c>
      <c r="E2264">
        <v>4</v>
      </c>
      <c r="F2264">
        <f>_xlfn.XLOOKUP(Table1[[#This Row],[ProductID]],Products!A:A,Products!D:D,,0)</f>
        <v>160</v>
      </c>
      <c r="I2264">
        <v>699</v>
      </c>
      <c r="J2264">
        <v>594</v>
      </c>
      <c r="K2264" t="s">
        <v>1092</v>
      </c>
      <c r="L2264">
        <v>2376</v>
      </c>
      <c r="M2264" t="s">
        <v>1098</v>
      </c>
      <c r="N2264" t="s">
        <v>1099</v>
      </c>
      <c r="O2264">
        <f>Table1[[#This Row],[Unit_Price]]*Table1[[#This Row],[Quantity]]</f>
        <v>640</v>
      </c>
    </row>
    <row r="2265" spans="1:15" x14ac:dyDescent="0.3">
      <c r="A2265" t="s">
        <v>4060</v>
      </c>
      <c r="B2265" t="s">
        <v>1132</v>
      </c>
      <c r="C2265" t="s">
        <v>493</v>
      </c>
      <c r="D2265" t="s">
        <v>1066</v>
      </c>
      <c r="E2265">
        <v>1</v>
      </c>
      <c r="F2265">
        <f>_xlfn.XLOOKUP(Table1[[#This Row],[ProductID]],Products!A:A,Products!D:D,,0)</f>
        <v>140</v>
      </c>
      <c r="I2265">
        <v>499</v>
      </c>
      <c r="J2265">
        <v>424</v>
      </c>
      <c r="K2265" t="s">
        <v>1092</v>
      </c>
      <c r="L2265">
        <v>424</v>
      </c>
      <c r="M2265" t="s">
        <v>1093</v>
      </c>
      <c r="N2265" t="s">
        <v>1099</v>
      </c>
      <c r="O2265">
        <f>Table1[[#This Row],[Unit_Price]]*Table1[[#This Row],[Quantity]]</f>
        <v>140</v>
      </c>
    </row>
    <row r="2266" spans="1:15" x14ac:dyDescent="0.3">
      <c r="A2266" t="s">
        <v>4061</v>
      </c>
      <c r="B2266" t="s">
        <v>3179</v>
      </c>
      <c r="C2266" t="s">
        <v>311</v>
      </c>
      <c r="D2266" t="s">
        <v>1073</v>
      </c>
      <c r="E2266">
        <v>2</v>
      </c>
      <c r="F2266">
        <f>_xlfn.XLOOKUP(Table1[[#This Row],[ProductID]],Products!A:A,Products!D:D,,0)</f>
        <v>100</v>
      </c>
      <c r="I2266">
        <v>349</v>
      </c>
      <c r="J2266">
        <v>297</v>
      </c>
      <c r="K2266" t="s">
        <v>1092</v>
      </c>
      <c r="L2266">
        <v>594</v>
      </c>
      <c r="M2266" t="s">
        <v>1093</v>
      </c>
      <c r="N2266" t="s">
        <v>1099</v>
      </c>
      <c r="O2266">
        <f>Table1[[#This Row],[Unit_Price]]*Table1[[#This Row],[Quantity]]</f>
        <v>200</v>
      </c>
    </row>
    <row r="2267" spans="1:15" x14ac:dyDescent="0.3">
      <c r="A2267" t="s">
        <v>4062</v>
      </c>
      <c r="B2267" t="s">
        <v>1774</v>
      </c>
      <c r="C2267" t="s">
        <v>901</v>
      </c>
      <c r="D2267" t="s">
        <v>1053</v>
      </c>
      <c r="E2267">
        <v>2</v>
      </c>
      <c r="F2267">
        <f>_xlfn.XLOOKUP(Table1[[#This Row],[ProductID]],Products!A:A,Products!D:D,,0)</f>
        <v>200</v>
      </c>
      <c r="I2267">
        <v>899</v>
      </c>
      <c r="J2267">
        <v>809</v>
      </c>
      <c r="K2267" t="s">
        <v>1107</v>
      </c>
      <c r="L2267">
        <v>1618</v>
      </c>
      <c r="M2267" t="s">
        <v>1093</v>
      </c>
      <c r="N2267" t="s">
        <v>1099</v>
      </c>
      <c r="O2267">
        <f>Table1[[#This Row],[Unit_Price]]*Table1[[#This Row],[Quantity]]</f>
        <v>400</v>
      </c>
    </row>
    <row r="2268" spans="1:15" x14ac:dyDescent="0.3">
      <c r="A2268" t="s">
        <v>4063</v>
      </c>
      <c r="B2268" t="s">
        <v>1549</v>
      </c>
      <c r="C2268" t="s">
        <v>106</v>
      </c>
      <c r="D2268" t="s">
        <v>1048</v>
      </c>
      <c r="E2268">
        <v>2</v>
      </c>
      <c r="F2268">
        <f>_xlfn.XLOOKUP(Table1[[#This Row],[ProductID]],Products!A:A,Products!D:D,,0)</f>
        <v>120</v>
      </c>
      <c r="I2268">
        <v>599</v>
      </c>
      <c r="J2268">
        <v>539</v>
      </c>
      <c r="K2268" t="s">
        <v>1107</v>
      </c>
      <c r="L2268">
        <v>1078</v>
      </c>
      <c r="M2268" t="s">
        <v>1098</v>
      </c>
      <c r="N2268" t="s">
        <v>1099</v>
      </c>
      <c r="O2268">
        <f>Table1[[#This Row],[Unit_Price]]*Table1[[#This Row],[Quantity]]</f>
        <v>240</v>
      </c>
    </row>
    <row r="2269" spans="1:15" x14ac:dyDescent="0.3">
      <c r="A2269" t="s">
        <v>4064</v>
      </c>
      <c r="B2269" t="s">
        <v>2016</v>
      </c>
      <c r="C2269" t="s">
        <v>615</v>
      </c>
      <c r="D2269" t="s">
        <v>1064</v>
      </c>
      <c r="E2269">
        <v>1</v>
      </c>
      <c r="F2269">
        <f>_xlfn.XLOOKUP(Table1[[#This Row],[ProductID]],Products!A:A,Products!D:D,,0)</f>
        <v>160</v>
      </c>
      <c r="I2269">
        <v>699</v>
      </c>
      <c r="J2269">
        <v>629</v>
      </c>
      <c r="K2269" t="s">
        <v>1107</v>
      </c>
      <c r="L2269">
        <v>629</v>
      </c>
      <c r="M2269" t="s">
        <v>1093</v>
      </c>
      <c r="N2269" t="s">
        <v>1094</v>
      </c>
      <c r="O2269">
        <f>Table1[[#This Row],[Unit_Price]]*Table1[[#This Row],[Quantity]]</f>
        <v>160</v>
      </c>
    </row>
    <row r="2270" spans="1:15" x14ac:dyDescent="0.3">
      <c r="A2270" t="s">
        <v>4065</v>
      </c>
      <c r="B2270" t="s">
        <v>1582</v>
      </c>
      <c r="C2270" t="s">
        <v>613</v>
      </c>
      <c r="D2270" t="s">
        <v>1057</v>
      </c>
      <c r="E2270">
        <v>4</v>
      </c>
      <c r="F2270">
        <f>_xlfn.XLOOKUP(Table1[[#This Row],[ProductID]],Products!A:A,Products!D:D,,0)</f>
        <v>130</v>
      </c>
      <c r="I2270">
        <v>549</v>
      </c>
      <c r="J2270">
        <v>467</v>
      </c>
      <c r="K2270" t="s">
        <v>1092</v>
      </c>
      <c r="L2270">
        <v>1868</v>
      </c>
      <c r="M2270" t="s">
        <v>1118</v>
      </c>
      <c r="N2270" t="s">
        <v>1099</v>
      </c>
      <c r="O2270">
        <f>Table1[[#This Row],[Unit_Price]]*Table1[[#This Row],[Quantity]]</f>
        <v>520</v>
      </c>
    </row>
    <row r="2271" spans="1:15" x14ac:dyDescent="0.3">
      <c r="A2271" t="s">
        <v>4066</v>
      </c>
      <c r="B2271" t="s">
        <v>2257</v>
      </c>
      <c r="C2271" t="s">
        <v>463</v>
      </c>
      <c r="D2271" t="s">
        <v>1062</v>
      </c>
      <c r="E2271">
        <v>1</v>
      </c>
      <c r="F2271">
        <f>_xlfn.XLOOKUP(Table1[[#This Row],[ProductID]],Products!A:A,Products!D:D,,0)</f>
        <v>95</v>
      </c>
      <c r="I2271">
        <v>349</v>
      </c>
      <c r="J2271">
        <v>349</v>
      </c>
      <c r="K2271" t="s">
        <v>1102</v>
      </c>
      <c r="L2271">
        <v>349</v>
      </c>
      <c r="M2271" t="s">
        <v>1126</v>
      </c>
      <c r="N2271" t="s">
        <v>1099</v>
      </c>
      <c r="O2271">
        <f>Table1[[#This Row],[Unit_Price]]*Table1[[#This Row],[Quantity]]</f>
        <v>95</v>
      </c>
    </row>
    <row r="2272" spans="1:15" x14ac:dyDescent="0.3">
      <c r="A2272" t="s">
        <v>4067</v>
      </c>
      <c r="B2272" t="s">
        <v>1190</v>
      </c>
      <c r="C2272" t="s">
        <v>651</v>
      </c>
      <c r="D2272" t="s">
        <v>1057</v>
      </c>
      <c r="E2272">
        <v>1</v>
      </c>
      <c r="F2272">
        <f>_xlfn.XLOOKUP(Table1[[#This Row],[ProductID]],Products!A:A,Products!D:D,,0)</f>
        <v>130</v>
      </c>
      <c r="I2272">
        <v>549</v>
      </c>
      <c r="J2272">
        <v>549</v>
      </c>
      <c r="K2272" t="s">
        <v>1102</v>
      </c>
      <c r="L2272">
        <v>549</v>
      </c>
      <c r="M2272" t="s">
        <v>1093</v>
      </c>
      <c r="N2272" t="s">
        <v>1123</v>
      </c>
      <c r="O2272">
        <f>Table1[[#This Row],[Unit_Price]]*Table1[[#This Row],[Quantity]]</f>
        <v>130</v>
      </c>
    </row>
    <row r="2273" spans="1:15" x14ac:dyDescent="0.3">
      <c r="A2273" t="s">
        <v>4068</v>
      </c>
      <c r="B2273" t="s">
        <v>2751</v>
      </c>
      <c r="C2273" t="s">
        <v>739</v>
      </c>
      <c r="D2273" t="s">
        <v>1051</v>
      </c>
      <c r="E2273">
        <v>3</v>
      </c>
      <c r="F2273">
        <f>_xlfn.XLOOKUP(Table1[[#This Row],[ProductID]],Products!A:A,Products!D:D,,0)</f>
        <v>150</v>
      </c>
      <c r="I2273">
        <v>499</v>
      </c>
      <c r="J2273">
        <v>449</v>
      </c>
      <c r="K2273" t="s">
        <v>1107</v>
      </c>
      <c r="L2273">
        <v>1347</v>
      </c>
      <c r="M2273" t="s">
        <v>1093</v>
      </c>
      <c r="N2273" t="s">
        <v>1099</v>
      </c>
      <c r="O2273">
        <f>Table1[[#This Row],[Unit_Price]]*Table1[[#This Row],[Quantity]]</f>
        <v>450</v>
      </c>
    </row>
    <row r="2274" spans="1:15" x14ac:dyDescent="0.3">
      <c r="A2274" t="s">
        <v>4069</v>
      </c>
      <c r="B2274" t="s">
        <v>2243</v>
      </c>
      <c r="C2274" t="s">
        <v>525</v>
      </c>
      <c r="D2274" t="s">
        <v>1062</v>
      </c>
      <c r="E2274">
        <v>1</v>
      </c>
      <c r="F2274">
        <f>_xlfn.XLOOKUP(Table1[[#This Row],[ProductID]],Products!A:A,Products!D:D,,0)</f>
        <v>95</v>
      </c>
      <c r="I2274">
        <v>349</v>
      </c>
      <c r="J2274">
        <v>314</v>
      </c>
      <c r="K2274" t="s">
        <v>1107</v>
      </c>
      <c r="L2274">
        <v>314</v>
      </c>
      <c r="M2274" t="s">
        <v>1098</v>
      </c>
      <c r="N2274" t="s">
        <v>1099</v>
      </c>
      <c r="O2274">
        <f>Table1[[#This Row],[Unit_Price]]*Table1[[#This Row],[Quantity]]</f>
        <v>95</v>
      </c>
    </row>
    <row r="2275" spans="1:15" x14ac:dyDescent="0.3">
      <c r="A2275" t="s">
        <v>4070</v>
      </c>
      <c r="B2275" t="s">
        <v>1250</v>
      </c>
      <c r="C2275" t="s">
        <v>867</v>
      </c>
      <c r="D2275" t="s">
        <v>1055</v>
      </c>
      <c r="E2275">
        <v>1</v>
      </c>
      <c r="F2275">
        <f>_xlfn.XLOOKUP(Table1[[#This Row],[ProductID]],Products!A:A,Products!D:D,,0)</f>
        <v>75</v>
      </c>
      <c r="I2275">
        <v>299</v>
      </c>
      <c r="J2275">
        <v>239</v>
      </c>
      <c r="K2275" t="s">
        <v>1097</v>
      </c>
      <c r="L2275">
        <v>239</v>
      </c>
      <c r="M2275" t="s">
        <v>1098</v>
      </c>
      <c r="N2275" t="s">
        <v>1099</v>
      </c>
      <c r="O2275">
        <f>Table1[[#This Row],[Unit_Price]]*Table1[[#This Row],[Quantity]]</f>
        <v>75</v>
      </c>
    </row>
    <row r="2276" spans="1:15" x14ac:dyDescent="0.3">
      <c r="A2276" t="s">
        <v>4071</v>
      </c>
      <c r="B2276" t="s">
        <v>3989</v>
      </c>
      <c r="C2276" t="s">
        <v>49</v>
      </c>
      <c r="D2276" t="s">
        <v>1053</v>
      </c>
      <c r="E2276">
        <v>2</v>
      </c>
      <c r="F2276">
        <f>_xlfn.XLOOKUP(Table1[[#This Row],[ProductID]],Products!A:A,Products!D:D,,0)</f>
        <v>200</v>
      </c>
      <c r="I2276">
        <v>899</v>
      </c>
      <c r="J2276">
        <v>899</v>
      </c>
      <c r="K2276" t="s">
        <v>1102</v>
      </c>
      <c r="L2276">
        <v>1798</v>
      </c>
      <c r="M2276" t="s">
        <v>1098</v>
      </c>
      <c r="N2276" t="s">
        <v>1099</v>
      </c>
      <c r="O2276">
        <f>Table1[[#This Row],[Unit_Price]]*Table1[[#This Row],[Quantity]]</f>
        <v>400</v>
      </c>
    </row>
    <row r="2277" spans="1:15" x14ac:dyDescent="0.3">
      <c r="A2277" t="s">
        <v>4072</v>
      </c>
      <c r="B2277" t="s">
        <v>1507</v>
      </c>
      <c r="C2277" t="s">
        <v>315</v>
      </c>
      <c r="D2277" t="s">
        <v>1071</v>
      </c>
      <c r="E2277">
        <v>2</v>
      </c>
      <c r="F2277">
        <f>_xlfn.XLOOKUP(Table1[[#This Row],[ProductID]],Products!A:A,Products!D:D,,0)</f>
        <v>125</v>
      </c>
      <c r="I2277">
        <v>399</v>
      </c>
      <c r="J2277">
        <v>339</v>
      </c>
      <c r="K2277" t="s">
        <v>1092</v>
      </c>
      <c r="L2277">
        <v>678</v>
      </c>
      <c r="M2277" t="s">
        <v>1098</v>
      </c>
      <c r="N2277" t="s">
        <v>1099</v>
      </c>
      <c r="O2277">
        <f>Table1[[#This Row],[Unit_Price]]*Table1[[#This Row],[Quantity]]</f>
        <v>250</v>
      </c>
    </row>
    <row r="2278" spans="1:15" x14ac:dyDescent="0.3">
      <c r="A2278" t="s">
        <v>4073</v>
      </c>
      <c r="B2278" t="s">
        <v>4074</v>
      </c>
      <c r="C2278" t="s">
        <v>285</v>
      </c>
      <c r="D2278" t="s">
        <v>1075</v>
      </c>
      <c r="E2278">
        <v>1</v>
      </c>
      <c r="F2278">
        <f>_xlfn.XLOOKUP(Table1[[#This Row],[ProductID]],Products!A:A,Products!D:D,,0)</f>
        <v>80</v>
      </c>
      <c r="I2278">
        <v>499</v>
      </c>
      <c r="J2278">
        <v>424</v>
      </c>
      <c r="K2278" t="s">
        <v>1092</v>
      </c>
      <c r="L2278">
        <v>424</v>
      </c>
      <c r="M2278" t="s">
        <v>1093</v>
      </c>
      <c r="N2278" t="s">
        <v>1099</v>
      </c>
      <c r="O2278">
        <f>Table1[[#This Row],[Unit_Price]]*Table1[[#This Row],[Quantity]]</f>
        <v>80</v>
      </c>
    </row>
    <row r="2279" spans="1:15" x14ac:dyDescent="0.3">
      <c r="A2279" t="s">
        <v>4075</v>
      </c>
      <c r="B2279" t="s">
        <v>1136</v>
      </c>
      <c r="C2279" t="s">
        <v>20</v>
      </c>
      <c r="D2279" t="s">
        <v>1064</v>
      </c>
      <c r="E2279">
        <v>1</v>
      </c>
      <c r="F2279">
        <f>_xlfn.XLOOKUP(Table1[[#This Row],[ProductID]],Products!A:A,Products!D:D,,0)</f>
        <v>160</v>
      </c>
      <c r="I2279">
        <v>699</v>
      </c>
      <c r="J2279">
        <v>629</v>
      </c>
      <c r="K2279" t="s">
        <v>1107</v>
      </c>
      <c r="L2279">
        <v>629</v>
      </c>
      <c r="M2279" t="s">
        <v>1093</v>
      </c>
      <c r="N2279" t="s">
        <v>1099</v>
      </c>
      <c r="O2279">
        <f>Table1[[#This Row],[Unit_Price]]*Table1[[#This Row],[Quantity]]</f>
        <v>160</v>
      </c>
    </row>
    <row r="2280" spans="1:15" x14ac:dyDescent="0.3">
      <c r="A2280" t="s">
        <v>4076</v>
      </c>
      <c r="B2280" t="s">
        <v>1445</v>
      </c>
      <c r="C2280" t="s">
        <v>551</v>
      </c>
      <c r="D2280" t="s">
        <v>1080</v>
      </c>
      <c r="E2280">
        <v>1</v>
      </c>
      <c r="F2280">
        <f>_xlfn.XLOOKUP(Table1[[#This Row],[ProductID]],Products!A:A,Products!D:D,,0)</f>
        <v>45</v>
      </c>
      <c r="I2280">
        <v>249</v>
      </c>
      <c r="J2280">
        <v>224</v>
      </c>
      <c r="K2280" t="s">
        <v>1107</v>
      </c>
      <c r="L2280">
        <v>224</v>
      </c>
      <c r="M2280" t="s">
        <v>1098</v>
      </c>
      <c r="N2280" t="s">
        <v>1099</v>
      </c>
      <c r="O2280">
        <f>Table1[[#This Row],[Unit_Price]]*Table1[[#This Row],[Quantity]]</f>
        <v>45</v>
      </c>
    </row>
    <row r="2281" spans="1:15" x14ac:dyDescent="0.3">
      <c r="A2281" t="s">
        <v>4077</v>
      </c>
      <c r="B2281" t="s">
        <v>4078</v>
      </c>
      <c r="C2281" t="s">
        <v>335</v>
      </c>
      <c r="D2281" t="s">
        <v>1051</v>
      </c>
      <c r="E2281">
        <v>2</v>
      </c>
      <c r="F2281">
        <f>_xlfn.XLOOKUP(Table1[[#This Row],[ProductID]],Products!A:A,Products!D:D,,0)</f>
        <v>150</v>
      </c>
      <c r="I2281">
        <v>499</v>
      </c>
      <c r="J2281">
        <v>499</v>
      </c>
      <c r="K2281" t="s">
        <v>1102</v>
      </c>
      <c r="L2281">
        <v>998</v>
      </c>
      <c r="M2281" t="s">
        <v>1098</v>
      </c>
      <c r="N2281" t="s">
        <v>1099</v>
      </c>
      <c r="O2281">
        <f>Table1[[#This Row],[Unit_Price]]*Table1[[#This Row],[Quantity]]</f>
        <v>300</v>
      </c>
    </row>
    <row r="2282" spans="1:15" x14ac:dyDescent="0.3">
      <c r="A2282" t="s">
        <v>4079</v>
      </c>
      <c r="B2282" t="s">
        <v>2158</v>
      </c>
      <c r="C2282" t="s">
        <v>849</v>
      </c>
      <c r="D2282" t="s">
        <v>1062</v>
      </c>
      <c r="E2282">
        <v>2</v>
      </c>
      <c r="F2282">
        <f>_xlfn.XLOOKUP(Table1[[#This Row],[ProductID]],Products!A:A,Products!D:D,,0)</f>
        <v>95</v>
      </c>
      <c r="I2282">
        <v>349</v>
      </c>
      <c r="J2282">
        <v>349</v>
      </c>
      <c r="K2282" t="s">
        <v>1102</v>
      </c>
      <c r="L2282">
        <v>698</v>
      </c>
      <c r="M2282" t="s">
        <v>1098</v>
      </c>
      <c r="N2282" t="s">
        <v>1099</v>
      </c>
      <c r="O2282">
        <f>Table1[[#This Row],[Unit_Price]]*Table1[[#This Row],[Quantity]]</f>
        <v>190</v>
      </c>
    </row>
    <row r="2283" spans="1:15" x14ac:dyDescent="0.3">
      <c r="A2283" t="s">
        <v>4080</v>
      </c>
      <c r="B2283" t="s">
        <v>1410</v>
      </c>
      <c r="C2283" t="s">
        <v>1029</v>
      </c>
      <c r="D2283" t="s">
        <v>1048</v>
      </c>
      <c r="E2283">
        <v>2</v>
      </c>
      <c r="F2283">
        <f>_xlfn.XLOOKUP(Table1[[#This Row],[ProductID]],Products!A:A,Products!D:D,,0)</f>
        <v>120</v>
      </c>
      <c r="I2283">
        <v>599</v>
      </c>
      <c r="J2283">
        <v>539</v>
      </c>
      <c r="K2283" t="s">
        <v>1107</v>
      </c>
      <c r="L2283">
        <v>1078</v>
      </c>
      <c r="M2283" t="s">
        <v>1093</v>
      </c>
      <c r="N2283" t="s">
        <v>1099</v>
      </c>
      <c r="O2283">
        <f>Table1[[#This Row],[Unit_Price]]*Table1[[#This Row],[Quantity]]</f>
        <v>240</v>
      </c>
    </row>
    <row r="2284" spans="1:15" x14ac:dyDescent="0.3">
      <c r="A2284" t="s">
        <v>4081</v>
      </c>
      <c r="B2284" t="s">
        <v>1304</v>
      </c>
      <c r="C2284" t="s">
        <v>593</v>
      </c>
      <c r="D2284" t="s">
        <v>1053</v>
      </c>
      <c r="E2284">
        <v>1</v>
      </c>
      <c r="F2284">
        <f>_xlfn.XLOOKUP(Table1[[#This Row],[ProductID]],Products!A:A,Products!D:D,,0)</f>
        <v>200</v>
      </c>
      <c r="I2284">
        <v>899</v>
      </c>
      <c r="J2284">
        <v>764</v>
      </c>
      <c r="K2284" t="s">
        <v>1092</v>
      </c>
      <c r="L2284">
        <v>764</v>
      </c>
      <c r="M2284" t="s">
        <v>1093</v>
      </c>
      <c r="N2284" t="s">
        <v>1099</v>
      </c>
      <c r="O2284">
        <f>Table1[[#This Row],[Unit_Price]]*Table1[[#This Row],[Quantity]]</f>
        <v>200</v>
      </c>
    </row>
    <row r="2285" spans="1:15" x14ac:dyDescent="0.3">
      <c r="A2285" t="s">
        <v>4082</v>
      </c>
      <c r="B2285" t="s">
        <v>1774</v>
      </c>
      <c r="C2285" t="s">
        <v>245</v>
      </c>
      <c r="D2285" t="s">
        <v>1073</v>
      </c>
      <c r="E2285">
        <v>2</v>
      </c>
      <c r="F2285">
        <f>_xlfn.XLOOKUP(Table1[[#This Row],[ProductID]],Products!A:A,Products!D:D,,0)</f>
        <v>100</v>
      </c>
      <c r="I2285">
        <v>349</v>
      </c>
      <c r="J2285">
        <v>349</v>
      </c>
      <c r="K2285" t="s">
        <v>1102</v>
      </c>
      <c r="L2285">
        <v>698</v>
      </c>
      <c r="M2285" t="s">
        <v>1093</v>
      </c>
      <c r="N2285" t="s">
        <v>1094</v>
      </c>
      <c r="O2285">
        <f>Table1[[#This Row],[Unit_Price]]*Table1[[#This Row],[Quantity]]</f>
        <v>200</v>
      </c>
    </row>
    <row r="2286" spans="1:15" x14ac:dyDescent="0.3">
      <c r="A2286" t="s">
        <v>4083</v>
      </c>
      <c r="B2286" t="s">
        <v>1449</v>
      </c>
      <c r="C2286" t="s">
        <v>154</v>
      </c>
      <c r="D2286" t="s">
        <v>1066</v>
      </c>
      <c r="E2286">
        <v>2</v>
      </c>
      <c r="F2286">
        <f>_xlfn.XLOOKUP(Table1[[#This Row],[ProductID]],Products!A:A,Products!D:D,,0)</f>
        <v>140</v>
      </c>
      <c r="I2286">
        <v>499</v>
      </c>
      <c r="J2286">
        <v>449</v>
      </c>
      <c r="K2286" t="s">
        <v>1107</v>
      </c>
      <c r="L2286">
        <v>898</v>
      </c>
      <c r="M2286" t="s">
        <v>1118</v>
      </c>
      <c r="N2286" t="s">
        <v>1099</v>
      </c>
      <c r="O2286">
        <f>Table1[[#This Row],[Unit_Price]]*Table1[[#This Row],[Quantity]]</f>
        <v>280</v>
      </c>
    </row>
    <row r="2287" spans="1:15" x14ac:dyDescent="0.3">
      <c r="A2287" t="s">
        <v>4084</v>
      </c>
      <c r="B2287" t="s">
        <v>1333</v>
      </c>
      <c r="C2287" t="s">
        <v>1029</v>
      </c>
      <c r="D2287" t="s">
        <v>1062</v>
      </c>
      <c r="E2287">
        <v>4</v>
      </c>
      <c r="F2287">
        <f>_xlfn.XLOOKUP(Table1[[#This Row],[ProductID]],Products!A:A,Products!D:D,,0)</f>
        <v>95</v>
      </c>
      <c r="I2287">
        <v>349</v>
      </c>
      <c r="J2287">
        <v>279</v>
      </c>
      <c r="K2287" t="s">
        <v>1097</v>
      </c>
      <c r="L2287">
        <v>1116</v>
      </c>
      <c r="M2287" t="s">
        <v>1093</v>
      </c>
      <c r="N2287" t="s">
        <v>1099</v>
      </c>
      <c r="O2287">
        <f>Table1[[#This Row],[Unit_Price]]*Table1[[#This Row],[Quantity]]</f>
        <v>380</v>
      </c>
    </row>
    <row r="2288" spans="1:15" x14ac:dyDescent="0.3">
      <c r="A2288" t="s">
        <v>4085</v>
      </c>
      <c r="B2288" t="s">
        <v>2508</v>
      </c>
      <c r="C2288" t="s">
        <v>25</v>
      </c>
      <c r="D2288" t="s">
        <v>1066</v>
      </c>
      <c r="E2288">
        <v>1</v>
      </c>
      <c r="F2288">
        <f>_xlfn.XLOOKUP(Table1[[#This Row],[ProductID]],Products!A:A,Products!D:D,,0)</f>
        <v>140</v>
      </c>
      <c r="I2288">
        <v>499</v>
      </c>
      <c r="J2288">
        <v>499</v>
      </c>
      <c r="K2288" t="s">
        <v>1102</v>
      </c>
      <c r="L2288">
        <v>499</v>
      </c>
      <c r="M2288" t="s">
        <v>1093</v>
      </c>
      <c r="N2288" t="s">
        <v>1099</v>
      </c>
      <c r="O2288">
        <f>Table1[[#This Row],[Unit_Price]]*Table1[[#This Row],[Quantity]]</f>
        <v>140</v>
      </c>
    </row>
    <row r="2289" spans="1:15" x14ac:dyDescent="0.3">
      <c r="A2289" t="s">
        <v>4086</v>
      </c>
      <c r="B2289" t="s">
        <v>3032</v>
      </c>
      <c r="C2289" t="s">
        <v>649</v>
      </c>
      <c r="D2289" t="s">
        <v>1075</v>
      </c>
      <c r="E2289">
        <v>1</v>
      </c>
      <c r="F2289">
        <f>_xlfn.XLOOKUP(Table1[[#This Row],[ProductID]],Products!A:A,Products!D:D,,0)</f>
        <v>80</v>
      </c>
      <c r="I2289">
        <v>499</v>
      </c>
      <c r="J2289">
        <v>499</v>
      </c>
      <c r="K2289" t="s">
        <v>1102</v>
      </c>
      <c r="L2289">
        <v>499</v>
      </c>
      <c r="M2289" t="s">
        <v>1098</v>
      </c>
      <c r="N2289" t="s">
        <v>1099</v>
      </c>
      <c r="O2289">
        <f>Table1[[#This Row],[Unit_Price]]*Table1[[#This Row],[Quantity]]</f>
        <v>80</v>
      </c>
    </row>
    <row r="2290" spans="1:15" x14ac:dyDescent="0.3">
      <c r="A2290" t="s">
        <v>4087</v>
      </c>
      <c r="B2290" t="s">
        <v>1455</v>
      </c>
      <c r="C2290" t="s">
        <v>479</v>
      </c>
      <c r="D2290" t="s">
        <v>1068</v>
      </c>
      <c r="E2290">
        <v>1</v>
      </c>
      <c r="F2290">
        <f>_xlfn.XLOOKUP(Table1[[#This Row],[ProductID]],Products!A:A,Products!D:D,,0)</f>
        <v>180</v>
      </c>
      <c r="I2290">
        <v>449</v>
      </c>
      <c r="J2290">
        <v>359</v>
      </c>
      <c r="K2290" t="s">
        <v>1097</v>
      </c>
      <c r="L2290">
        <v>359</v>
      </c>
      <c r="M2290" t="s">
        <v>1098</v>
      </c>
      <c r="N2290" t="s">
        <v>1099</v>
      </c>
      <c r="O2290">
        <f>Table1[[#This Row],[Unit_Price]]*Table1[[#This Row],[Quantity]]</f>
        <v>180</v>
      </c>
    </row>
    <row r="2291" spans="1:15" x14ac:dyDescent="0.3">
      <c r="A2291" t="s">
        <v>4088</v>
      </c>
      <c r="B2291" t="s">
        <v>1797</v>
      </c>
      <c r="C2291" t="s">
        <v>741</v>
      </c>
      <c r="D2291" t="s">
        <v>1071</v>
      </c>
      <c r="E2291">
        <v>1</v>
      </c>
      <c r="F2291">
        <f>_xlfn.XLOOKUP(Table1[[#This Row],[ProductID]],Products!A:A,Products!D:D,,0)</f>
        <v>125</v>
      </c>
      <c r="I2291">
        <v>399</v>
      </c>
      <c r="J2291">
        <v>359</v>
      </c>
      <c r="K2291" t="s">
        <v>1107</v>
      </c>
      <c r="L2291">
        <v>359</v>
      </c>
      <c r="M2291" t="s">
        <v>1126</v>
      </c>
      <c r="N2291" t="s">
        <v>1099</v>
      </c>
      <c r="O2291">
        <f>Table1[[#This Row],[Unit_Price]]*Table1[[#This Row],[Quantity]]</f>
        <v>125</v>
      </c>
    </row>
    <row r="2292" spans="1:15" x14ac:dyDescent="0.3">
      <c r="A2292" t="s">
        <v>4089</v>
      </c>
      <c r="B2292" t="s">
        <v>4090</v>
      </c>
      <c r="C2292" t="s">
        <v>120</v>
      </c>
      <c r="D2292" t="s">
        <v>1068</v>
      </c>
      <c r="E2292">
        <v>2</v>
      </c>
      <c r="F2292">
        <f>_xlfn.XLOOKUP(Table1[[#This Row],[ProductID]],Products!A:A,Products!D:D,,0)</f>
        <v>180</v>
      </c>
      <c r="I2292">
        <v>449</v>
      </c>
      <c r="J2292">
        <v>404</v>
      </c>
      <c r="K2292" t="s">
        <v>1107</v>
      </c>
      <c r="L2292">
        <v>808</v>
      </c>
      <c r="M2292" t="s">
        <v>1098</v>
      </c>
      <c r="N2292" t="s">
        <v>1099</v>
      </c>
      <c r="O2292">
        <f>Table1[[#This Row],[Unit_Price]]*Table1[[#This Row],[Quantity]]</f>
        <v>360</v>
      </c>
    </row>
    <row r="2293" spans="1:15" x14ac:dyDescent="0.3">
      <c r="A2293" t="s">
        <v>4091</v>
      </c>
      <c r="B2293" t="s">
        <v>2512</v>
      </c>
      <c r="C2293" t="s">
        <v>629</v>
      </c>
      <c r="D2293" t="s">
        <v>1048</v>
      </c>
      <c r="E2293">
        <v>1</v>
      </c>
      <c r="F2293">
        <f>_xlfn.XLOOKUP(Table1[[#This Row],[ProductID]],Products!A:A,Products!D:D,,0)</f>
        <v>120</v>
      </c>
      <c r="I2293">
        <v>599</v>
      </c>
      <c r="J2293">
        <v>479</v>
      </c>
      <c r="K2293" t="s">
        <v>1097</v>
      </c>
      <c r="L2293">
        <v>479</v>
      </c>
      <c r="M2293" t="s">
        <v>1098</v>
      </c>
      <c r="N2293" t="s">
        <v>1099</v>
      </c>
      <c r="O2293">
        <f>Table1[[#This Row],[Unit_Price]]*Table1[[#This Row],[Quantity]]</f>
        <v>120</v>
      </c>
    </row>
    <row r="2294" spans="1:15" x14ac:dyDescent="0.3">
      <c r="A2294" t="s">
        <v>4092</v>
      </c>
      <c r="B2294" t="s">
        <v>2862</v>
      </c>
      <c r="C2294" t="s">
        <v>315</v>
      </c>
      <c r="D2294" t="s">
        <v>1055</v>
      </c>
      <c r="E2294">
        <v>1</v>
      </c>
      <c r="F2294">
        <f>_xlfn.XLOOKUP(Table1[[#This Row],[ProductID]],Products!A:A,Products!D:D,,0)</f>
        <v>75</v>
      </c>
      <c r="I2294">
        <v>299</v>
      </c>
      <c r="J2294">
        <v>239</v>
      </c>
      <c r="K2294" t="s">
        <v>1097</v>
      </c>
      <c r="L2294">
        <v>239</v>
      </c>
      <c r="M2294" t="s">
        <v>1126</v>
      </c>
      <c r="N2294" t="s">
        <v>1123</v>
      </c>
      <c r="O2294">
        <f>Table1[[#This Row],[Unit_Price]]*Table1[[#This Row],[Quantity]]</f>
        <v>75</v>
      </c>
    </row>
    <row r="2295" spans="1:15" x14ac:dyDescent="0.3">
      <c r="A2295" t="s">
        <v>4093</v>
      </c>
      <c r="B2295" t="s">
        <v>3272</v>
      </c>
      <c r="C2295" t="s">
        <v>953</v>
      </c>
      <c r="D2295" t="s">
        <v>1068</v>
      </c>
      <c r="E2295">
        <v>1</v>
      </c>
      <c r="F2295">
        <f>_xlfn.XLOOKUP(Table1[[#This Row],[ProductID]],Products!A:A,Products!D:D,,0)</f>
        <v>180</v>
      </c>
      <c r="I2295">
        <v>449</v>
      </c>
      <c r="J2295">
        <v>359</v>
      </c>
      <c r="K2295" t="s">
        <v>1097</v>
      </c>
      <c r="L2295">
        <v>359</v>
      </c>
      <c r="M2295" t="s">
        <v>1093</v>
      </c>
      <c r="N2295" t="s">
        <v>1099</v>
      </c>
      <c r="O2295">
        <f>Table1[[#This Row],[Unit_Price]]*Table1[[#This Row],[Quantity]]</f>
        <v>180</v>
      </c>
    </row>
    <row r="2296" spans="1:15" x14ac:dyDescent="0.3">
      <c r="A2296" t="s">
        <v>4094</v>
      </c>
      <c r="B2296" t="s">
        <v>1246</v>
      </c>
      <c r="C2296" t="s">
        <v>631</v>
      </c>
      <c r="D2296" t="s">
        <v>1071</v>
      </c>
      <c r="E2296">
        <v>1</v>
      </c>
      <c r="F2296">
        <f>_xlfn.XLOOKUP(Table1[[#This Row],[ProductID]],Products!A:A,Products!D:D,,0)</f>
        <v>125</v>
      </c>
      <c r="I2296">
        <v>399</v>
      </c>
      <c r="J2296">
        <v>399</v>
      </c>
      <c r="K2296" t="s">
        <v>1102</v>
      </c>
      <c r="L2296">
        <v>399</v>
      </c>
      <c r="M2296" t="s">
        <v>1098</v>
      </c>
      <c r="N2296" t="s">
        <v>1099</v>
      </c>
      <c r="O2296">
        <f>Table1[[#This Row],[Unit_Price]]*Table1[[#This Row],[Quantity]]</f>
        <v>125</v>
      </c>
    </row>
    <row r="2297" spans="1:15" x14ac:dyDescent="0.3">
      <c r="A2297" t="s">
        <v>4095</v>
      </c>
      <c r="B2297" t="s">
        <v>4096</v>
      </c>
      <c r="C2297" t="s">
        <v>451</v>
      </c>
      <c r="D2297" t="s">
        <v>1055</v>
      </c>
      <c r="E2297">
        <v>1</v>
      </c>
      <c r="F2297">
        <f>_xlfn.XLOOKUP(Table1[[#This Row],[ProductID]],Products!A:A,Products!D:D,,0)</f>
        <v>75</v>
      </c>
      <c r="I2297">
        <v>299</v>
      </c>
      <c r="J2297">
        <v>254</v>
      </c>
      <c r="K2297" t="s">
        <v>1092</v>
      </c>
      <c r="L2297">
        <v>254</v>
      </c>
      <c r="M2297" t="s">
        <v>1093</v>
      </c>
      <c r="N2297" t="s">
        <v>1094</v>
      </c>
      <c r="O2297">
        <f>Table1[[#This Row],[Unit_Price]]*Table1[[#This Row],[Quantity]]</f>
        <v>75</v>
      </c>
    </row>
    <row r="2298" spans="1:15" x14ac:dyDescent="0.3">
      <c r="A2298" t="s">
        <v>4097</v>
      </c>
      <c r="B2298" t="s">
        <v>2454</v>
      </c>
      <c r="C2298" t="s">
        <v>407</v>
      </c>
      <c r="D2298" t="s">
        <v>1059</v>
      </c>
      <c r="E2298">
        <v>1</v>
      </c>
      <c r="F2298">
        <f>_xlfn.XLOOKUP(Table1[[#This Row],[ProductID]],Products!A:A,Products!D:D,,0)</f>
        <v>110</v>
      </c>
      <c r="I2298">
        <v>399</v>
      </c>
      <c r="J2298">
        <v>359</v>
      </c>
      <c r="K2298" t="s">
        <v>1107</v>
      </c>
      <c r="L2298">
        <v>359</v>
      </c>
      <c r="M2298" t="s">
        <v>1098</v>
      </c>
      <c r="N2298" t="s">
        <v>1099</v>
      </c>
      <c r="O2298">
        <f>Table1[[#This Row],[Unit_Price]]*Table1[[#This Row],[Quantity]]</f>
        <v>110</v>
      </c>
    </row>
    <row r="2299" spans="1:15" x14ac:dyDescent="0.3">
      <c r="A2299" t="s">
        <v>4098</v>
      </c>
      <c r="B2299" t="s">
        <v>3135</v>
      </c>
      <c r="C2299" t="s">
        <v>83</v>
      </c>
      <c r="D2299" t="s">
        <v>1055</v>
      </c>
      <c r="E2299">
        <v>1</v>
      </c>
      <c r="F2299">
        <f>_xlfn.XLOOKUP(Table1[[#This Row],[ProductID]],Products!A:A,Products!D:D,,0)</f>
        <v>75</v>
      </c>
      <c r="I2299">
        <v>299</v>
      </c>
      <c r="J2299">
        <v>254</v>
      </c>
      <c r="K2299" t="s">
        <v>1092</v>
      </c>
      <c r="L2299">
        <v>254</v>
      </c>
      <c r="M2299" t="s">
        <v>1093</v>
      </c>
      <c r="N2299" t="s">
        <v>1094</v>
      </c>
      <c r="O2299">
        <f>Table1[[#This Row],[Unit_Price]]*Table1[[#This Row],[Quantity]]</f>
        <v>75</v>
      </c>
    </row>
    <row r="2300" spans="1:15" x14ac:dyDescent="0.3">
      <c r="A2300" t="s">
        <v>4099</v>
      </c>
      <c r="B2300" t="s">
        <v>1168</v>
      </c>
      <c r="C2300" t="s">
        <v>759</v>
      </c>
      <c r="D2300" t="s">
        <v>1048</v>
      </c>
      <c r="E2300">
        <v>1</v>
      </c>
      <c r="F2300">
        <f>_xlfn.XLOOKUP(Table1[[#This Row],[ProductID]],Products!A:A,Products!D:D,,0)</f>
        <v>120</v>
      </c>
      <c r="I2300">
        <v>599</v>
      </c>
      <c r="J2300">
        <v>539</v>
      </c>
      <c r="K2300" t="s">
        <v>1107</v>
      </c>
      <c r="L2300">
        <v>539</v>
      </c>
      <c r="M2300" t="s">
        <v>1098</v>
      </c>
      <c r="N2300" t="s">
        <v>1099</v>
      </c>
      <c r="O2300">
        <f>Table1[[#This Row],[Unit_Price]]*Table1[[#This Row],[Quantity]]</f>
        <v>120</v>
      </c>
    </row>
    <row r="2301" spans="1:15" x14ac:dyDescent="0.3">
      <c r="A2301" t="s">
        <v>4100</v>
      </c>
      <c r="B2301" t="s">
        <v>2865</v>
      </c>
      <c r="C2301" t="s">
        <v>313</v>
      </c>
      <c r="D2301" t="s">
        <v>1068</v>
      </c>
      <c r="E2301">
        <v>4</v>
      </c>
      <c r="F2301">
        <f>_xlfn.XLOOKUP(Table1[[#This Row],[ProductID]],Products!A:A,Products!D:D,,0)</f>
        <v>180</v>
      </c>
      <c r="I2301">
        <v>449</v>
      </c>
      <c r="J2301">
        <v>449</v>
      </c>
      <c r="K2301" t="s">
        <v>1102</v>
      </c>
      <c r="L2301">
        <v>1796</v>
      </c>
      <c r="M2301" t="s">
        <v>1126</v>
      </c>
      <c r="N2301" t="s">
        <v>1099</v>
      </c>
      <c r="O2301">
        <f>Table1[[#This Row],[Unit_Price]]*Table1[[#This Row],[Quantity]]</f>
        <v>720</v>
      </c>
    </row>
    <row r="2302" spans="1:15" x14ac:dyDescent="0.3">
      <c r="A2302" t="s">
        <v>4101</v>
      </c>
      <c r="B2302" t="s">
        <v>3077</v>
      </c>
      <c r="C2302" t="s">
        <v>597</v>
      </c>
      <c r="D2302" t="s">
        <v>1080</v>
      </c>
      <c r="E2302">
        <v>1</v>
      </c>
      <c r="F2302">
        <f>_xlfn.XLOOKUP(Table1[[#This Row],[ProductID]],Products!A:A,Products!D:D,,0)</f>
        <v>45</v>
      </c>
      <c r="I2302">
        <v>249</v>
      </c>
      <c r="J2302">
        <v>199</v>
      </c>
      <c r="K2302" t="s">
        <v>1097</v>
      </c>
      <c r="L2302">
        <v>199</v>
      </c>
      <c r="M2302" t="s">
        <v>1126</v>
      </c>
      <c r="N2302" t="s">
        <v>1099</v>
      </c>
      <c r="O2302">
        <f>Table1[[#This Row],[Unit_Price]]*Table1[[#This Row],[Quantity]]</f>
        <v>45</v>
      </c>
    </row>
    <row r="2303" spans="1:15" x14ac:dyDescent="0.3">
      <c r="A2303" t="s">
        <v>4102</v>
      </c>
      <c r="B2303" t="s">
        <v>1736</v>
      </c>
      <c r="C2303" t="s">
        <v>267</v>
      </c>
      <c r="D2303" t="s">
        <v>1064</v>
      </c>
      <c r="E2303">
        <v>1</v>
      </c>
      <c r="F2303">
        <f>_xlfn.XLOOKUP(Table1[[#This Row],[ProductID]],Products!A:A,Products!D:D,,0)</f>
        <v>160</v>
      </c>
      <c r="I2303">
        <v>699</v>
      </c>
      <c r="J2303">
        <v>629</v>
      </c>
      <c r="K2303" t="s">
        <v>1107</v>
      </c>
      <c r="L2303">
        <v>629</v>
      </c>
      <c r="M2303" t="s">
        <v>1098</v>
      </c>
      <c r="N2303" t="s">
        <v>1099</v>
      </c>
      <c r="O2303">
        <f>Table1[[#This Row],[Unit_Price]]*Table1[[#This Row],[Quantity]]</f>
        <v>160</v>
      </c>
    </row>
    <row r="2304" spans="1:15" x14ac:dyDescent="0.3">
      <c r="A2304" t="s">
        <v>4103</v>
      </c>
      <c r="B2304" t="s">
        <v>2055</v>
      </c>
      <c r="C2304" t="s">
        <v>255</v>
      </c>
      <c r="D2304" t="s">
        <v>1059</v>
      </c>
      <c r="E2304">
        <v>1</v>
      </c>
      <c r="F2304">
        <f>_xlfn.XLOOKUP(Table1[[#This Row],[ProductID]],Products!A:A,Products!D:D,,0)</f>
        <v>110</v>
      </c>
      <c r="I2304">
        <v>399</v>
      </c>
      <c r="J2304">
        <v>319</v>
      </c>
      <c r="K2304" t="s">
        <v>1097</v>
      </c>
      <c r="L2304">
        <v>319</v>
      </c>
      <c r="M2304" t="s">
        <v>1098</v>
      </c>
      <c r="N2304" t="s">
        <v>1099</v>
      </c>
      <c r="O2304">
        <f>Table1[[#This Row],[Unit_Price]]*Table1[[#This Row],[Quantity]]</f>
        <v>110</v>
      </c>
    </row>
    <row r="2305" spans="1:15" x14ac:dyDescent="0.3">
      <c r="A2305" t="s">
        <v>4104</v>
      </c>
      <c r="B2305" t="s">
        <v>2160</v>
      </c>
      <c r="C2305" t="s">
        <v>349</v>
      </c>
      <c r="D2305" t="s">
        <v>1073</v>
      </c>
      <c r="E2305">
        <v>3</v>
      </c>
      <c r="F2305">
        <f>_xlfn.XLOOKUP(Table1[[#This Row],[ProductID]],Products!A:A,Products!D:D,,0)</f>
        <v>100</v>
      </c>
      <c r="I2305">
        <v>349</v>
      </c>
      <c r="J2305">
        <v>279</v>
      </c>
      <c r="K2305" t="s">
        <v>1097</v>
      </c>
      <c r="L2305">
        <v>837</v>
      </c>
      <c r="M2305" t="s">
        <v>1098</v>
      </c>
      <c r="N2305" t="s">
        <v>1123</v>
      </c>
      <c r="O2305">
        <f>Table1[[#This Row],[Unit_Price]]*Table1[[#This Row],[Quantity]]</f>
        <v>300</v>
      </c>
    </row>
    <row r="2306" spans="1:15" x14ac:dyDescent="0.3">
      <c r="A2306" t="s">
        <v>4105</v>
      </c>
      <c r="B2306" t="s">
        <v>1657</v>
      </c>
      <c r="C2306" t="s">
        <v>475</v>
      </c>
      <c r="D2306" t="s">
        <v>1071</v>
      </c>
      <c r="E2306">
        <v>1</v>
      </c>
      <c r="F2306">
        <f>_xlfn.XLOOKUP(Table1[[#This Row],[ProductID]],Products!A:A,Products!D:D,,0)</f>
        <v>125</v>
      </c>
      <c r="I2306">
        <v>399</v>
      </c>
      <c r="J2306">
        <v>399</v>
      </c>
      <c r="K2306" t="s">
        <v>1102</v>
      </c>
      <c r="L2306">
        <v>399</v>
      </c>
      <c r="M2306" t="s">
        <v>1093</v>
      </c>
      <c r="N2306" t="s">
        <v>1099</v>
      </c>
      <c r="O2306">
        <f>Table1[[#This Row],[Unit_Price]]*Table1[[#This Row],[Quantity]]</f>
        <v>125</v>
      </c>
    </row>
    <row r="2307" spans="1:15" x14ac:dyDescent="0.3">
      <c r="A2307" t="s">
        <v>4106</v>
      </c>
      <c r="B2307" t="s">
        <v>1600</v>
      </c>
      <c r="C2307" t="s">
        <v>689</v>
      </c>
      <c r="D2307" t="s">
        <v>1048</v>
      </c>
      <c r="E2307">
        <v>1</v>
      </c>
      <c r="F2307">
        <f>_xlfn.XLOOKUP(Table1[[#This Row],[ProductID]],Products!A:A,Products!D:D,,0)</f>
        <v>120</v>
      </c>
      <c r="I2307">
        <v>599</v>
      </c>
      <c r="J2307">
        <v>479</v>
      </c>
      <c r="K2307" t="s">
        <v>1097</v>
      </c>
      <c r="L2307">
        <v>479</v>
      </c>
      <c r="M2307" t="s">
        <v>1098</v>
      </c>
      <c r="N2307" t="s">
        <v>1099</v>
      </c>
      <c r="O2307">
        <f>Table1[[#This Row],[Unit_Price]]*Table1[[#This Row],[Quantity]]</f>
        <v>120</v>
      </c>
    </row>
    <row r="2308" spans="1:15" x14ac:dyDescent="0.3">
      <c r="A2308" t="s">
        <v>4107</v>
      </c>
      <c r="B2308" t="s">
        <v>1565</v>
      </c>
      <c r="C2308" t="s">
        <v>122</v>
      </c>
      <c r="D2308" t="s">
        <v>1055</v>
      </c>
      <c r="E2308">
        <v>1</v>
      </c>
      <c r="F2308">
        <f>_xlfn.XLOOKUP(Table1[[#This Row],[ProductID]],Products!A:A,Products!D:D,,0)</f>
        <v>75</v>
      </c>
      <c r="I2308">
        <v>299</v>
      </c>
      <c r="J2308">
        <v>269</v>
      </c>
      <c r="K2308" t="s">
        <v>1107</v>
      </c>
      <c r="L2308">
        <v>269</v>
      </c>
      <c r="M2308" t="s">
        <v>1098</v>
      </c>
      <c r="N2308" t="s">
        <v>1099</v>
      </c>
      <c r="O2308">
        <f>Table1[[#This Row],[Unit_Price]]*Table1[[#This Row],[Quantity]]</f>
        <v>75</v>
      </c>
    </row>
    <row r="2309" spans="1:15" x14ac:dyDescent="0.3">
      <c r="A2309" t="s">
        <v>4108</v>
      </c>
      <c r="B2309" t="s">
        <v>3191</v>
      </c>
      <c r="C2309" t="s">
        <v>899</v>
      </c>
      <c r="D2309" t="s">
        <v>1080</v>
      </c>
      <c r="E2309">
        <v>1</v>
      </c>
      <c r="F2309">
        <f>_xlfn.XLOOKUP(Table1[[#This Row],[ProductID]],Products!A:A,Products!D:D,,0)</f>
        <v>45</v>
      </c>
      <c r="I2309">
        <v>249</v>
      </c>
      <c r="J2309">
        <v>249</v>
      </c>
      <c r="K2309" t="s">
        <v>1102</v>
      </c>
      <c r="L2309">
        <v>249</v>
      </c>
      <c r="M2309" t="s">
        <v>1098</v>
      </c>
      <c r="N2309" t="s">
        <v>1099</v>
      </c>
      <c r="O2309">
        <f>Table1[[#This Row],[Unit_Price]]*Table1[[#This Row],[Quantity]]</f>
        <v>45</v>
      </c>
    </row>
    <row r="2310" spans="1:15" x14ac:dyDescent="0.3">
      <c r="A2310" t="s">
        <v>4109</v>
      </c>
      <c r="B2310" t="s">
        <v>4110</v>
      </c>
      <c r="C2310" t="s">
        <v>1007</v>
      </c>
      <c r="D2310" t="s">
        <v>1078</v>
      </c>
      <c r="E2310">
        <v>1</v>
      </c>
      <c r="F2310">
        <f>_xlfn.XLOOKUP(Table1[[#This Row],[ProductID]],Products!A:A,Products!D:D,,0)</f>
        <v>80</v>
      </c>
      <c r="I2310">
        <v>499</v>
      </c>
      <c r="J2310">
        <v>449</v>
      </c>
      <c r="K2310" t="s">
        <v>1107</v>
      </c>
      <c r="L2310">
        <v>449</v>
      </c>
      <c r="M2310" t="s">
        <v>1098</v>
      </c>
      <c r="N2310" t="s">
        <v>1099</v>
      </c>
      <c r="O2310">
        <f>Table1[[#This Row],[Unit_Price]]*Table1[[#This Row],[Quantity]]</f>
        <v>80</v>
      </c>
    </row>
    <row r="2311" spans="1:15" x14ac:dyDescent="0.3">
      <c r="A2311" t="s">
        <v>4111</v>
      </c>
      <c r="B2311" t="s">
        <v>3358</v>
      </c>
      <c r="C2311" t="s">
        <v>403</v>
      </c>
      <c r="D2311" t="s">
        <v>1075</v>
      </c>
      <c r="E2311">
        <v>1</v>
      </c>
      <c r="F2311">
        <f>_xlfn.XLOOKUP(Table1[[#This Row],[ProductID]],Products!A:A,Products!D:D,,0)</f>
        <v>80</v>
      </c>
      <c r="I2311">
        <v>499</v>
      </c>
      <c r="J2311">
        <v>449</v>
      </c>
      <c r="K2311" t="s">
        <v>1107</v>
      </c>
      <c r="L2311">
        <v>449</v>
      </c>
      <c r="M2311" t="s">
        <v>1093</v>
      </c>
      <c r="N2311" t="s">
        <v>1099</v>
      </c>
      <c r="O2311">
        <f>Table1[[#This Row],[Unit_Price]]*Table1[[#This Row],[Quantity]]</f>
        <v>80</v>
      </c>
    </row>
    <row r="2312" spans="1:15" x14ac:dyDescent="0.3">
      <c r="A2312" t="s">
        <v>4112</v>
      </c>
      <c r="B2312" t="s">
        <v>1144</v>
      </c>
      <c r="C2312" t="s">
        <v>124</v>
      </c>
      <c r="D2312" t="s">
        <v>1068</v>
      </c>
      <c r="E2312">
        <v>1</v>
      </c>
      <c r="F2312">
        <f>_xlfn.XLOOKUP(Table1[[#This Row],[ProductID]],Products!A:A,Products!D:D,,0)</f>
        <v>180</v>
      </c>
      <c r="I2312">
        <v>449</v>
      </c>
      <c r="J2312">
        <v>404</v>
      </c>
      <c r="K2312" t="s">
        <v>1107</v>
      </c>
      <c r="L2312">
        <v>404</v>
      </c>
      <c r="M2312" t="s">
        <v>1093</v>
      </c>
      <c r="N2312" t="s">
        <v>1099</v>
      </c>
      <c r="O2312">
        <f>Table1[[#This Row],[Unit_Price]]*Table1[[#This Row],[Quantity]]</f>
        <v>180</v>
      </c>
    </row>
    <row r="2313" spans="1:15" x14ac:dyDescent="0.3">
      <c r="A2313" t="s">
        <v>4113</v>
      </c>
      <c r="B2313" t="s">
        <v>1357</v>
      </c>
      <c r="C2313" t="s">
        <v>589</v>
      </c>
      <c r="D2313" t="s">
        <v>1071</v>
      </c>
      <c r="E2313">
        <v>1</v>
      </c>
      <c r="F2313">
        <f>_xlfn.XLOOKUP(Table1[[#This Row],[ProductID]],Products!A:A,Products!D:D,,0)</f>
        <v>125</v>
      </c>
      <c r="I2313">
        <v>399</v>
      </c>
      <c r="J2313">
        <v>319</v>
      </c>
      <c r="K2313" t="s">
        <v>1097</v>
      </c>
      <c r="L2313">
        <v>319</v>
      </c>
      <c r="M2313" t="s">
        <v>1093</v>
      </c>
      <c r="N2313" t="s">
        <v>1099</v>
      </c>
      <c r="O2313">
        <f>Table1[[#This Row],[Unit_Price]]*Table1[[#This Row],[Quantity]]</f>
        <v>125</v>
      </c>
    </row>
    <row r="2314" spans="1:15" x14ac:dyDescent="0.3">
      <c r="A2314" t="s">
        <v>4114</v>
      </c>
      <c r="B2314" t="s">
        <v>1406</v>
      </c>
      <c r="C2314" t="s">
        <v>849</v>
      </c>
      <c r="D2314" t="s">
        <v>1066</v>
      </c>
      <c r="E2314">
        <v>1</v>
      </c>
      <c r="F2314">
        <f>_xlfn.XLOOKUP(Table1[[#This Row],[ProductID]],Products!A:A,Products!D:D,,0)</f>
        <v>140</v>
      </c>
      <c r="I2314">
        <v>499</v>
      </c>
      <c r="J2314">
        <v>399</v>
      </c>
      <c r="K2314" t="s">
        <v>1097</v>
      </c>
      <c r="L2314">
        <v>399</v>
      </c>
      <c r="M2314" t="s">
        <v>1098</v>
      </c>
      <c r="N2314" t="s">
        <v>1099</v>
      </c>
      <c r="O2314">
        <f>Table1[[#This Row],[Unit_Price]]*Table1[[#This Row],[Quantity]]</f>
        <v>140</v>
      </c>
    </row>
    <row r="2315" spans="1:15" x14ac:dyDescent="0.3">
      <c r="A2315" t="s">
        <v>4115</v>
      </c>
      <c r="B2315" t="s">
        <v>2690</v>
      </c>
      <c r="C2315" t="s">
        <v>447</v>
      </c>
      <c r="D2315" t="s">
        <v>1068</v>
      </c>
      <c r="E2315">
        <v>1</v>
      </c>
      <c r="F2315">
        <f>_xlfn.XLOOKUP(Table1[[#This Row],[ProductID]],Products!A:A,Products!D:D,,0)</f>
        <v>180</v>
      </c>
      <c r="I2315">
        <v>449</v>
      </c>
      <c r="J2315">
        <v>359</v>
      </c>
      <c r="K2315" t="s">
        <v>1097</v>
      </c>
      <c r="L2315">
        <v>359</v>
      </c>
      <c r="M2315" t="s">
        <v>1098</v>
      </c>
      <c r="N2315" t="s">
        <v>1099</v>
      </c>
      <c r="O2315">
        <f>Table1[[#This Row],[Unit_Price]]*Table1[[#This Row],[Quantity]]</f>
        <v>180</v>
      </c>
    </row>
    <row r="2316" spans="1:15" x14ac:dyDescent="0.3">
      <c r="A2316" t="s">
        <v>4116</v>
      </c>
      <c r="B2316" t="s">
        <v>3549</v>
      </c>
      <c r="C2316" t="s">
        <v>339</v>
      </c>
      <c r="D2316" t="s">
        <v>1066</v>
      </c>
      <c r="E2316">
        <v>3</v>
      </c>
      <c r="F2316">
        <f>_xlfn.XLOOKUP(Table1[[#This Row],[ProductID]],Products!A:A,Products!D:D,,0)</f>
        <v>140</v>
      </c>
      <c r="I2316">
        <v>499</v>
      </c>
      <c r="J2316">
        <v>499</v>
      </c>
      <c r="K2316" t="s">
        <v>1102</v>
      </c>
      <c r="L2316">
        <v>1497</v>
      </c>
      <c r="M2316" t="s">
        <v>1098</v>
      </c>
      <c r="N2316" t="s">
        <v>1099</v>
      </c>
      <c r="O2316">
        <f>Table1[[#This Row],[Unit_Price]]*Table1[[#This Row],[Quantity]]</f>
        <v>420</v>
      </c>
    </row>
    <row r="2317" spans="1:15" x14ac:dyDescent="0.3">
      <c r="A2317" t="s">
        <v>4117</v>
      </c>
      <c r="B2317" t="s">
        <v>4118</v>
      </c>
      <c r="C2317" t="s">
        <v>309</v>
      </c>
      <c r="D2317" t="s">
        <v>1057</v>
      </c>
      <c r="E2317">
        <v>2</v>
      </c>
      <c r="F2317">
        <f>_xlfn.XLOOKUP(Table1[[#This Row],[ProductID]],Products!A:A,Products!D:D,,0)</f>
        <v>130</v>
      </c>
      <c r="I2317">
        <v>549</v>
      </c>
      <c r="J2317">
        <v>549</v>
      </c>
      <c r="K2317" t="s">
        <v>1102</v>
      </c>
      <c r="L2317">
        <v>1098</v>
      </c>
      <c r="M2317" t="s">
        <v>1093</v>
      </c>
      <c r="N2317" t="s">
        <v>1099</v>
      </c>
      <c r="O2317">
        <f>Table1[[#This Row],[Unit_Price]]*Table1[[#This Row],[Quantity]]</f>
        <v>260</v>
      </c>
    </row>
    <row r="2318" spans="1:15" x14ac:dyDescent="0.3">
      <c r="A2318" t="s">
        <v>4119</v>
      </c>
      <c r="B2318" t="s">
        <v>1636</v>
      </c>
      <c r="C2318" t="s">
        <v>659</v>
      </c>
      <c r="D2318" t="s">
        <v>1080</v>
      </c>
      <c r="E2318">
        <v>2</v>
      </c>
      <c r="F2318">
        <f>_xlfn.XLOOKUP(Table1[[#This Row],[ProductID]],Products!A:A,Products!D:D,,0)</f>
        <v>45</v>
      </c>
      <c r="I2318">
        <v>249</v>
      </c>
      <c r="J2318">
        <v>199</v>
      </c>
      <c r="K2318" t="s">
        <v>1097</v>
      </c>
      <c r="L2318">
        <v>398</v>
      </c>
      <c r="M2318" t="s">
        <v>1098</v>
      </c>
      <c r="N2318" t="s">
        <v>1099</v>
      </c>
      <c r="O2318">
        <f>Table1[[#This Row],[Unit_Price]]*Table1[[#This Row],[Quantity]]</f>
        <v>90</v>
      </c>
    </row>
    <row r="2319" spans="1:15" x14ac:dyDescent="0.3">
      <c r="A2319" t="s">
        <v>4120</v>
      </c>
      <c r="B2319" t="s">
        <v>2518</v>
      </c>
      <c r="C2319" t="s">
        <v>965</v>
      </c>
      <c r="D2319" t="s">
        <v>1051</v>
      </c>
      <c r="E2319">
        <v>1</v>
      </c>
      <c r="F2319">
        <f>_xlfn.XLOOKUP(Table1[[#This Row],[ProductID]],Products!A:A,Products!D:D,,0)</f>
        <v>150</v>
      </c>
      <c r="I2319">
        <v>499</v>
      </c>
      <c r="J2319">
        <v>424</v>
      </c>
      <c r="K2319" t="s">
        <v>1092</v>
      </c>
      <c r="L2319">
        <v>424</v>
      </c>
      <c r="M2319" t="s">
        <v>1093</v>
      </c>
      <c r="N2319" t="s">
        <v>1123</v>
      </c>
      <c r="O2319">
        <f>Table1[[#This Row],[Unit_Price]]*Table1[[#This Row],[Quantity]]</f>
        <v>150</v>
      </c>
    </row>
    <row r="2320" spans="1:15" x14ac:dyDescent="0.3">
      <c r="A2320" t="s">
        <v>4121</v>
      </c>
      <c r="B2320" t="s">
        <v>2237</v>
      </c>
      <c r="C2320" t="s">
        <v>807</v>
      </c>
      <c r="D2320" t="s">
        <v>1066</v>
      </c>
      <c r="E2320">
        <v>2</v>
      </c>
      <c r="F2320">
        <f>_xlfn.XLOOKUP(Table1[[#This Row],[ProductID]],Products!A:A,Products!D:D,,0)</f>
        <v>140</v>
      </c>
      <c r="I2320">
        <v>499</v>
      </c>
      <c r="J2320">
        <v>499</v>
      </c>
      <c r="K2320" t="s">
        <v>1102</v>
      </c>
      <c r="L2320">
        <v>998</v>
      </c>
      <c r="M2320" t="s">
        <v>1093</v>
      </c>
      <c r="N2320" t="s">
        <v>1094</v>
      </c>
      <c r="O2320">
        <f>Table1[[#This Row],[Unit_Price]]*Table1[[#This Row],[Quantity]]</f>
        <v>280</v>
      </c>
    </row>
    <row r="2321" spans="1:15" x14ac:dyDescent="0.3">
      <c r="A2321" t="s">
        <v>4122</v>
      </c>
      <c r="B2321" t="s">
        <v>1985</v>
      </c>
      <c r="C2321" t="s">
        <v>373</v>
      </c>
      <c r="D2321" t="s">
        <v>1059</v>
      </c>
      <c r="E2321">
        <v>1</v>
      </c>
      <c r="F2321">
        <f>_xlfn.XLOOKUP(Table1[[#This Row],[ProductID]],Products!A:A,Products!D:D,,0)</f>
        <v>110</v>
      </c>
      <c r="I2321">
        <v>399</v>
      </c>
      <c r="J2321">
        <v>399</v>
      </c>
      <c r="K2321" t="s">
        <v>1102</v>
      </c>
      <c r="L2321">
        <v>399</v>
      </c>
      <c r="M2321" t="s">
        <v>1098</v>
      </c>
      <c r="N2321" t="s">
        <v>1099</v>
      </c>
      <c r="O2321">
        <f>Table1[[#This Row],[Unit_Price]]*Table1[[#This Row],[Quantity]]</f>
        <v>110</v>
      </c>
    </row>
    <row r="2322" spans="1:15" x14ac:dyDescent="0.3">
      <c r="A2322" t="s">
        <v>4123</v>
      </c>
      <c r="B2322" t="s">
        <v>1589</v>
      </c>
      <c r="C2322" t="s">
        <v>709</v>
      </c>
      <c r="D2322" t="s">
        <v>1071</v>
      </c>
      <c r="E2322">
        <v>1</v>
      </c>
      <c r="F2322">
        <f>_xlfn.XLOOKUP(Table1[[#This Row],[ProductID]],Products!A:A,Products!D:D,,0)</f>
        <v>125</v>
      </c>
      <c r="I2322">
        <v>399</v>
      </c>
      <c r="J2322">
        <v>399</v>
      </c>
      <c r="K2322" t="s">
        <v>1102</v>
      </c>
      <c r="L2322">
        <v>399</v>
      </c>
      <c r="M2322" t="s">
        <v>1098</v>
      </c>
      <c r="N2322" t="s">
        <v>1099</v>
      </c>
      <c r="O2322">
        <f>Table1[[#This Row],[Unit_Price]]*Table1[[#This Row],[Quantity]]</f>
        <v>125</v>
      </c>
    </row>
    <row r="2323" spans="1:15" x14ac:dyDescent="0.3">
      <c r="A2323" t="s">
        <v>4124</v>
      </c>
      <c r="B2323" t="s">
        <v>1290</v>
      </c>
      <c r="C2323" t="s">
        <v>463</v>
      </c>
      <c r="D2323" t="s">
        <v>1071</v>
      </c>
      <c r="E2323">
        <v>1</v>
      </c>
      <c r="F2323">
        <f>_xlfn.XLOOKUP(Table1[[#This Row],[ProductID]],Products!A:A,Products!D:D,,0)</f>
        <v>125</v>
      </c>
      <c r="I2323">
        <v>399</v>
      </c>
      <c r="J2323">
        <v>319</v>
      </c>
      <c r="K2323" t="s">
        <v>1097</v>
      </c>
      <c r="L2323">
        <v>319</v>
      </c>
      <c r="M2323" t="s">
        <v>1093</v>
      </c>
      <c r="N2323" t="s">
        <v>1094</v>
      </c>
      <c r="O2323">
        <f>Table1[[#This Row],[Unit_Price]]*Table1[[#This Row],[Quantity]]</f>
        <v>125</v>
      </c>
    </row>
    <row r="2324" spans="1:15" x14ac:dyDescent="0.3">
      <c r="A2324" t="s">
        <v>4125</v>
      </c>
      <c r="B2324" t="s">
        <v>1402</v>
      </c>
      <c r="C2324" t="s">
        <v>541</v>
      </c>
      <c r="D2324" t="s">
        <v>1062</v>
      </c>
      <c r="E2324">
        <v>2</v>
      </c>
      <c r="F2324">
        <f>_xlfn.XLOOKUP(Table1[[#This Row],[ProductID]],Products!A:A,Products!D:D,,0)</f>
        <v>95</v>
      </c>
      <c r="I2324">
        <v>349</v>
      </c>
      <c r="J2324">
        <v>314</v>
      </c>
      <c r="K2324" t="s">
        <v>1107</v>
      </c>
      <c r="L2324">
        <v>628</v>
      </c>
      <c r="M2324" t="s">
        <v>1093</v>
      </c>
      <c r="N2324" t="s">
        <v>1094</v>
      </c>
      <c r="O2324">
        <f>Table1[[#This Row],[Unit_Price]]*Table1[[#This Row],[Quantity]]</f>
        <v>190</v>
      </c>
    </row>
    <row r="2325" spans="1:15" x14ac:dyDescent="0.3">
      <c r="A2325" t="s">
        <v>4126</v>
      </c>
      <c r="B2325" t="s">
        <v>1186</v>
      </c>
      <c r="C2325" t="s">
        <v>911</v>
      </c>
      <c r="D2325" t="s">
        <v>1073</v>
      </c>
      <c r="E2325">
        <v>1</v>
      </c>
      <c r="F2325">
        <f>_xlfn.XLOOKUP(Table1[[#This Row],[ProductID]],Products!A:A,Products!D:D,,0)</f>
        <v>100</v>
      </c>
      <c r="I2325">
        <v>349</v>
      </c>
      <c r="J2325">
        <v>279</v>
      </c>
      <c r="K2325" t="s">
        <v>1097</v>
      </c>
      <c r="L2325">
        <v>279</v>
      </c>
      <c r="M2325" t="s">
        <v>1098</v>
      </c>
      <c r="N2325" t="s">
        <v>1099</v>
      </c>
      <c r="O2325">
        <f>Table1[[#This Row],[Unit_Price]]*Table1[[#This Row],[Quantity]]</f>
        <v>100</v>
      </c>
    </row>
    <row r="2326" spans="1:15" x14ac:dyDescent="0.3">
      <c r="A2326" t="s">
        <v>4127</v>
      </c>
      <c r="B2326" t="s">
        <v>2146</v>
      </c>
      <c r="C2326" t="s">
        <v>417</v>
      </c>
      <c r="D2326" t="s">
        <v>1075</v>
      </c>
      <c r="E2326">
        <v>1</v>
      </c>
      <c r="F2326">
        <f>_xlfn.XLOOKUP(Table1[[#This Row],[ProductID]],Products!A:A,Products!D:D,,0)</f>
        <v>80</v>
      </c>
      <c r="I2326">
        <v>499</v>
      </c>
      <c r="J2326">
        <v>499</v>
      </c>
      <c r="K2326" t="s">
        <v>1102</v>
      </c>
      <c r="L2326">
        <v>499</v>
      </c>
      <c r="M2326" t="s">
        <v>1093</v>
      </c>
      <c r="N2326" t="s">
        <v>1099</v>
      </c>
      <c r="O2326">
        <f>Table1[[#This Row],[Unit_Price]]*Table1[[#This Row],[Quantity]]</f>
        <v>80</v>
      </c>
    </row>
    <row r="2327" spans="1:15" x14ac:dyDescent="0.3">
      <c r="A2327" t="s">
        <v>4128</v>
      </c>
      <c r="B2327" t="s">
        <v>3549</v>
      </c>
      <c r="C2327" t="s">
        <v>343</v>
      </c>
      <c r="D2327" t="s">
        <v>1075</v>
      </c>
      <c r="E2327">
        <v>1</v>
      </c>
      <c r="F2327">
        <f>_xlfn.XLOOKUP(Table1[[#This Row],[ProductID]],Products!A:A,Products!D:D,,0)</f>
        <v>80</v>
      </c>
      <c r="I2327">
        <v>499</v>
      </c>
      <c r="J2327">
        <v>424</v>
      </c>
      <c r="K2327" t="s">
        <v>1092</v>
      </c>
      <c r="L2327">
        <v>424</v>
      </c>
      <c r="M2327" t="s">
        <v>1098</v>
      </c>
      <c r="N2327" t="s">
        <v>1099</v>
      </c>
      <c r="O2327">
        <f>Table1[[#This Row],[Unit_Price]]*Table1[[#This Row],[Quantity]]</f>
        <v>80</v>
      </c>
    </row>
    <row r="2328" spans="1:15" x14ac:dyDescent="0.3">
      <c r="A2328" t="s">
        <v>4129</v>
      </c>
      <c r="B2328" t="s">
        <v>2347</v>
      </c>
      <c r="C2328" t="s">
        <v>122</v>
      </c>
      <c r="D2328" t="s">
        <v>1059</v>
      </c>
      <c r="E2328">
        <v>3</v>
      </c>
      <c r="F2328">
        <f>_xlfn.XLOOKUP(Table1[[#This Row],[ProductID]],Products!A:A,Products!D:D,,0)</f>
        <v>110</v>
      </c>
      <c r="I2328">
        <v>399</v>
      </c>
      <c r="J2328">
        <v>319</v>
      </c>
      <c r="K2328" t="s">
        <v>1097</v>
      </c>
      <c r="L2328">
        <v>957</v>
      </c>
      <c r="M2328" t="s">
        <v>1098</v>
      </c>
      <c r="N2328" t="s">
        <v>1099</v>
      </c>
      <c r="O2328">
        <f>Table1[[#This Row],[Unit_Price]]*Table1[[#This Row],[Quantity]]</f>
        <v>330</v>
      </c>
    </row>
    <row r="2329" spans="1:15" x14ac:dyDescent="0.3">
      <c r="A2329" t="s">
        <v>4130</v>
      </c>
      <c r="B2329" t="s">
        <v>3320</v>
      </c>
      <c r="C2329" t="s">
        <v>1021</v>
      </c>
      <c r="D2329" t="s">
        <v>1051</v>
      </c>
      <c r="E2329">
        <v>1</v>
      </c>
      <c r="F2329">
        <f>_xlfn.XLOOKUP(Table1[[#This Row],[ProductID]],Products!A:A,Products!D:D,,0)</f>
        <v>150</v>
      </c>
      <c r="I2329">
        <v>499</v>
      </c>
      <c r="J2329">
        <v>424</v>
      </c>
      <c r="K2329" t="s">
        <v>1092</v>
      </c>
      <c r="L2329">
        <v>424</v>
      </c>
      <c r="M2329" t="s">
        <v>1098</v>
      </c>
      <c r="N2329" t="s">
        <v>1099</v>
      </c>
      <c r="O2329">
        <f>Table1[[#This Row],[Unit_Price]]*Table1[[#This Row],[Quantity]]</f>
        <v>150</v>
      </c>
    </row>
    <row r="2330" spans="1:15" x14ac:dyDescent="0.3">
      <c r="A2330" t="s">
        <v>4131</v>
      </c>
      <c r="B2330" t="s">
        <v>2686</v>
      </c>
      <c r="C2330" t="s">
        <v>485</v>
      </c>
      <c r="D2330" t="s">
        <v>1078</v>
      </c>
      <c r="E2330">
        <v>1</v>
      </c>
      <c r="F2330">
        <f>_xlfn.XLOOKUP(Table1[[#This Row],[ProductID]],Products!A:A,Products!D:D,,0)</f>
        <v>80</v>
      </c>
      <c r="I2330">
        <v>499</v>
      </c>
      <c r="J2330">
        <v>449</v>
      </c>
      <c r="K2330" t="s">
        <v>1107</v>
      </c>
      <c r="L2330">
        <v>449</v>
      </c>
      <c r="M2330" t="s">
        <v>1093</v>
      </c>
      <c r="N2330" t="s">
        <v>1099</v>
      </c>
      <c r="O2330">
        <f>Table1[[#This Row],[Unit_Price]]*Table1[[#This Row],[Quantity]]</f>
        <v>80</v>
      </c>
    </row>
    <row r="2331" spans="1:15" x14ac:dyDescent="0.3">
      <c r="A2331" t="s">
        <v>4132</v>
      </c>
      <c r="B2331" t="s">
        <v>2586</v>
      </c>
      <c r="C2331" t="s">
        <v>1041</v>
      </c>
      <c r="D2331" t="s">
        <v>1071</v>
      </c>
      <c r="E2331">
        <v>2</v>
      </c>
      <c r="F2331">
        <f>_xlfn.XLOOKUP(Table1[[#This Row],[ProductID]],Products!A:A,Products!D:D,,0)</f>
        <v>125</v>
      </c>
      <c r="I2331">
        <v>399</v>
      </c>
      <c r="J2331">
        <v>399</v>
      </c>
      <c r="K2331" t="s">
        <v>1102</v>
      </c>
      <c r="L2331">
        <v>798</v>
      </c>
      <c r="M2331" t="s">
        <v>1093</v>
      </c>
      <c r="N2331" t="s">
        <v>1099</v>
      </c>
      <c r="O2331">
        <f>Table1[[#This Row],[Unit_Price]]*Table1[[#This Row],[Quantity]]</f>
        <v>250</v>
      </c>
    </row>
    <row r="2332" spans="1:15" x14ac:dyDescent="0.3">
      <c r="A2332" t="s">
        <v>4133</v>
      </c>
      <c r="B2332" t="s">
        <v>1422</v>
      </c>
      <c r="C2332" t="s">
        <v>1023</v>
      </c>
      <c r="D2332" t="s">
        <v>1066</v>
      </c>
      <c r="E2332">
        <v>1</v>
      </c>
      <c r="F2332">
        <f>_xlfn.XLOOKUP(Table1[[#This Row],[ProductID]],Products!A:A,Products!D:D,,0)</f>
        <v>140</v>
      </c>
      <c r="I2332">
        <v>499</v>
      </c>
      <c r="J2332">
        <v>449</v>
      </c>
      <c r="K2332" t="s">
        <v>1107</v>
      </c>
      <c r="L2332">
        <v>449</v>
      </c>
      <c r="M2332" t="s">
        <v>1093</v>
      </c>
      <c r="N2332" t="s">
        <v>1099</v>
      </c>
      <c r="O2332">
        <f>Table1[[#This Row],[Unit_Price]]*Table1[[#This Row],[Quantity]]</f>
        <v>140</v>
      </c>
    </row>
    <row r="2333" spans="1:15" x14ac:dyDescent="0.3">
      <c r="A2333" t="s">
        <v>4134</v>
      </c>
      <c r="B2333" t="s">
        <v>1302</v>
      </c>
      <c r="C2333" t="s">
        <v>160</v>
      </c>
      <c r="D2333" t="s">
        <v>1064</v>
      </c>
      <c r="E2333">
        <v>2</v>
      </c>
      <c r="F2333">
        <f>_xlfn.XLOOKUP(Table1[[#This Row],[ProductID]],Products!A:A,Products!D:D,,0)</f>
        <v>160</v>
      </c>
      <c r="I2333">
        <v>699</v>
      </c>
      <c r="J2333">
        <v>594</v>
      </c>
      <c r="K2333" t="s">
        <v>1092</v>
      </c>
      <c r="L2333">
        <v>1188</v>
      </c>
      <c r="M2333" t="s">
        <v>1093</v>
      </c>
      <c r="N2333" t="s">
        <v>1099</v>
      </c>
      <c r="O2333">
        <f>Table1[[#This Row],[Unit_Price]]*Table1[[#This Row],[Quantity]]</f>
        <v>320</v>
      </c>
    </row>
    <row r="2334" spans="1:15" x14ac:dyDescent="0.3">
      <c r="A2334" t="s">
        <v>4135</v>
      </c>
      <c r="B2334" t="s">
        <v>2413</v>
      </c>
      <c r="C2334" t="s">
        <v>154</v>
      </c>
      <c r="D2334" t="s">
        <v>1071</v>
      </c>
      <c r="E2334">
        <v>2</v>
      </c>
      <c r="F2334">
        <f>_xlfn.XLOOKUP(Table1[[#This Row],[ProductID]],Products!A:A,Products!D:D,,0)</f>
        <v>125</v>
      </c>
      <c r="I2334">
        <v>399</v>
      </c>
      <c r="J2334">
        <v>399</v>
      </c>
      <c r="K2334" t="s">
        <v>1102</v>
      </c>
      <c r="L2334">
        <v>798</v>
      </c>
      <c r="M2334" t="s">
        <v>1126</v>
      </c>
      <c r="N2334" t="s">
        <v>1099</v>
      </c>
      <c r="O2334">
        <f>Table1[[#This Row],[Unit_Price]]*Table1[[#This Row],[Quantity]]</f>
        <v>250</v>
      </c>
    </row>
    <row r="2335" spans="1:15" x14ac:dyDescent="0.3">
      <c r="A2335" t="s">
        <v>4136</v>
      </c>
      <c r="B2335" t="s">
        <v>1870</v>
      </c>
      <c r="C2335" t="s">
        <v>1003</v>
      </c>
      <c r="D2335" t="s">
        <v>1066</v>
      </c>
      <c r="E2335">
        <v>1</v>
      </c>
      <c r="F2335">
        <f>_xlfn.XLOOKUP(Table1[[#This Row],[ProductID]],Products!A:A,Products!D:D,,0)</f>
        <v>140</v>
      </c>
      <c r="I2335">
        <v>499</v>
      </c>
      <c r="J2335">
        <v>449</v>
      </c>
      <c r="K2335" t="s">
        <v>1107</v>
      </c>
      <c r="L2335">
        <v>449</v>
      </c>
      <c r="M2335" t="s">
        <v>1098</v>
      </c>
      <c r="N2335" t="s">
        <v>1099</v>
      </c>
      <c r="O2335">
        <f>Table1[[#This Row],[Unit_Price]]*Table1[[#This Row],[Quantity]]</f>
        <v>140</v>
      </c>
    </row>
    <row r="2336" spans="1:15" x14ac:dyDescent="0.3">
      <c r="A2336" t="s">
        <v>4137</v>
      </c>
      <c r="B2336" t="s">
        <v>2778</v>
      </c>
      <c r="C2336" t="s">
        <v>1021</v>
      </c>
      <c r="D2336" t="s">
        <v>1080</v>
      </c>
      <c r="E2336">
        <v>2</v>
      </c>
      <c r="F2336">
        <f>_xlfn.XLOOKUP(Table1[[#This Row],[ProductID]],Products!A:A,Products!D:D,,0)</f>
        <v>45</v>
      </c>
      <c r="I2336">
        <v>249</v>
      </c>
      <c r="J2336">
        <v>212</v>
      </c>
      <c r="K2336" t="s">
        <v>1092</v>
      </c>
      <c r="L2336">
        <v>424</v>
      </c>
      <c r="M2336" t="s">
        <v>1098</v>
      </c>
      <c r="N2336" t="s">
        <v>1099</v>
      </c>
      <c r="O2336">
        <f>Table1[[#This Row],[Unit_Price]]*Table1[[#This Row],[Quantity]]</f>
        <v>90</v>
      </c>
    </row>
    <row r="2337" spans="1:15" x14ac:dyDescent="0.3">
      <c r="A2337" t="s">
        <v>4138</v>
      </c>
      <c r="B2337" t="s">
        <v>1430</v>
      </c>
      <c r="C2337" t="s">
        <v>47</v>
      </c>
      <c r="D2337" t="s">
        <v>1051</v>
      </c>
      <c r="E2337">
        <v>1</v>
      </c>
      <c r="F2337">
        <f>_xlfn.XLOOKUP(Table1[[#This Row],[ProductID]],Products!A:A,Products!D:D,,0)</f>
        <v>150</v>
      </c>
      <c r="I2337">
        <v>499</v>
      </c>
      <c r="J2337">
        <v>424</v>
      </c>
      <c r="K2337" t="s">
        <v>1092</v>
      </c>
      <c r="L2337">
        <v>424</v>
      </c>
      <c r="M2337" t="s">
        <v>1098</v>
      </c>
      <c r="N2337" t="s">
        <v>1099</v>
      </c>
      <c r="O2337">
        <f>Table1[[#This Row],[Unit_Price]]*Table1[[#This Row],[Quantity]]</f>
        <v>150</v>
      </c>
    </row>
    <row r="2338" spans="1:15" x14ac:dyDescent="0.3">
      <c r="A2338" t="s">
        <v>4139</v>
      </c>
      <c r="B2338" t="s">
        <v>1194</v>
      </c>
      <c r="C2338" t="s">
        <v>271</v>
      </c>
      <c r="D2338" t="s">
        <v>1078</v>
      </c>
      <c r="E2338">
        <v>2</v>
      </c>
      <c r="F2338">
        <f>_xlfn.XLOOKUP(Table1[[#This Row],[ProductID]],Products!A:A,Products!D:D,,0)</f>
        <v>80</v>
      </c>
      <c r="I2338">
        <v>499</v>
      </c>
      <c r="J2338">
        <v>424</v>
      </c>
      <c r="K2338" t="s">
        <v>1092</v>
      </c>
      <c r="L2338">
        <v>848</v>
      </c>
      <c r="M2338" t="s">
        <v>1093</v>
      </c>
      <c r="N2338" t="s">
        <v>1099</v>
      </c>
      <c r="O2338">
        <f>Table1[[#This Row],[Unit_Price]]*Table1[[#This Row],[Quantity]]</f>
        <v>160</v>
      </c>
    </row>
    <row r="2339" spans="1:15" x14ac:dyDescent="0.3">
      <c r="A2339" t="s">
        <v>4140</v>
      </c>
      <c r="B2339" t="s">
        <v>2251</v>
      </c>
      <c r="C2339" t="s">
        <v>491</v>
      </c>
      <c r="D2339" t="s">
        <v>1080</v>
      </c>
      <c r="E2339">
        <v>1</v>
      </c>
      <c r="F2339">
        <f>_xlfn.XLOOKUP(Table1[[#This Row],[ProductID]],Products!A:A,Products!D:D,,0)</f>
        <v>45</v>
      </c>
      <c r="I2339">
        <v>249</v>
      </c>
      <c r="J2339">
        <v>249</v>
      </c>
      <c r="K2339" t="s">
        <v>1102</v>
      </c>
      <c r="L2339">
        <v>249</v>
      </c>
      <c r="M2339" t="s">
        <v>1118</v>
      </c>
      <c r="N2339" t="s">
        <v>1099</v>
      </c>
      <c r="O2339">
        <f>Table1[[#This Row],[Unit_Price]]*Table1[[#This Row],[Quantity]]</f>
        <v>45</v>
      </c>
    </row>
    <row r="2340" spans="1:15" x14ac:dyDescent="0.3">
      <c r="A2340" t="s">
        <v>4141</v>
      </c>
      <c r="B2340" t="s">
        <v>3591</v>
      </c>
      <c r="C2340" t="s">
        <v>859</v>
      </c>
      <c r="D2340" t="s">
        <v>1048</v>
      </c>
      <c r="E2340">
        <v>1</v>
      </c>
      <c r="F2340">
        <f>_xlfn.XLOOKUP(Table1[[#This Row],[ProductID]],Products!A:A,Products!D:D,,0)</f>
        <v>120</v>
      </c>
      <c r="I2340">
        <v>599</v>
      </c>
      <c r="J2340">
        <v>599</v>
      </c>
      <c r="K2340" t="s">
        <v>1102</v>
      </c>
      <c r="L2340">
        <v>599</v>
      </c>
      <c r="M2340" t="s">
        <v>1098</v>
      </c>
      <c r="N2340" t="s">
        <v>1099</v>
      </c>
      <c r="O2340">
        <f>Table1[[#This Row],[Unit_Price]]*Table1[[#This Row],[Quantity]]</f>
        <v>120</v>
      </c>
    </row>
    <row r="2341" spans="1:15" x14ac:dyDescent="0.3">
      <c r="A2341" t="s">
        <v>4142</v>
      </c>
      <c r="B2341" t="s">
        <v>3265</v>
      </c>
      <c r="C2341" t="s">
        <v>961</v>
      </c>
      <c r="D2341" t="s">
        <v>1057</v>
      </c>
      <c r="E2341">
        <v>1</v>
      </c>
      <c r="F2341">
        <f>_xlfn.XLOOKUP(Table1[[#This Row],[ProductID]],Products!A:A,Products!D:D,,0)</f>
        <v>130</v>
      </c>
      <c r="I2341">
        <v>549</v>
      </c>
      <c r="J2341">
        <v>494</v>
      </c>
      <c r="K2341" t="s">
        <v>1107</v>
      </c>
      <c r="L2341">
        <v>494</v>
      </c>
      <c r="M2341" t="s">
        <v>1098</v>
      </c>
      <c r="N2341" t="s">
        <v>1099</v>
      </c>
      <c r="O2341">
        <f>Table1[[#This Row],[Unit_Price]]*Table1[[#This Row],[Quantity]]</f>
        <v>130</v>
      </c>
    </row>
    <row r="2342" spans="1:15" x14ac:dyDescent="0.3">
      <c r="A2342" t="s">
        <v>4143</v>
      </c>
      <c r="B2342" t="s">
        <v>3881</v>
      </c>
      <c r="C2342" t="s">
        <v>689</v>
      </c>
      <c r="D2342" t="s">
        <v>1051</v>
      </c>
      <c r="E2342">
        <v>4</v>
      </c>
      <c r="F2342">
        <f>_xlfn.XLOOKUP(Table1[[#This Row],[ProductID]],Products!A:A,Products!D:D,,0)</f>
        <v>150</v>
      </c>
      <c r="I2342">
        <v>499</v>
      </c>
      <c r="J2342">
        <v>399</v>
      </c>
      <c r="K2342" t="s">
        <v>1097</v>
      </c>
      <c r="L2342">
        <v>1596</v>
      </c>
      <c r="M2342" t="s">
        <v>1098</v>
      </c>
      <c r="N2342" t="s">
        <v>1099</v>
      </c>
      <c r="O2342">
        <f>Table1[[#This Row],[Unit_Price]]*Table1[[#This Row],[Quantity]]</f>
        <v>600</v>
      </c>
    </row>
    <row r="2343" spans="1:15" x14ac:dyDescent="0.3">
      <c r="A2343" t="s">
        <v>4144</v>
      </c>
      <c r="B2343" t="s">
        <v>1692</v>
      </c>
      <c r="C2343" t="s">
        <v>65</v>
      </c>
      <c r="D2343" t="s">
        <v>1055</v>
      </c>
      <c r="E2343">
        <v>2</v>
      </c>
      <c r="F2343">
        <f>_xlfn.XLOOKUP(Table1[[#This Row],[ProductID]],Products!A:A,Products!D:D,,0)</f>
        <v>75</v>
      </c>
      <c r="I2343">
        <v>299</v>
      </c>
      <c r="J2343">
        <v>254</v>
      </c>
      <c r="K2343" t="s">
        <v>1092</v>
      </c>
      <c r="L2343">
        <v>508</v>
      </c>
      <c r="M2343" t="s">
        <v>1093</v>
      </c>
      <c r="N2343" t="s">
        <v>1094</v>
      </c>
      <c r="O2343">
        <f>Table1[[#This Row],[Unit_Price]]*Table1[[#This Row],[Quantity]]</f>
        <v>150</v>
      </c>
    </row>
    <row r="2344" spans="1:15" x14ac:dyDescent="0.3">
      <c r="A2344" t="s">
        <v>4145</v>
      </c>
      <c r="B2344" t="s">
        <v>1636</v>
      </c>
      <c r="C2344" t="s">
        <v>935</v>
      </c>
      <c r="D2344" t="s">
        <v>1080</v>
      </c>
      <c r="E2344">
        <v>1</v>
      </c>
      <c r="F2344">
        <f>_xlfn.XLOOKUP(Table1[[#This Row],[ProductID]],Products!A:A,Products!D:D,,0)</f>
        <v>45</v>
      </c>
      <c r="I2344">
        <v>249</v>
      </c>
      <c r="J2344">
        <v>199</v>
      </c>
      <c r="K2344" t="s">
        <v>1097</v>
      </c>
      <c r="L2344">
        <v>199</v>
      </c>
      <c r="M2344" t="s">
        <v>1093</v>
      </c>
      <c r="N2344" t="s">
        <v>1094</v>
      </c>
      <c r="O2344">
        <f>Table1[[#This Row],[Unit_Price]]*Table1[[#This Row],[Quantity]]</f>
        <v>45</v>
      </c>
    </row>
    <row r="2345" spans="1:15" x14ac:dyDescent="0.3">
      <c r="A2345" t="s">
        <v>4146</v>
      </c>
      <c r="B2345" t="s">
        <v>2178</v>
      </c>
      <c r="C2345" t="s">
        <v>947</v>
      </c>
      <c r="D2345" t="s">
        <v>1064</v>
      </c>
      <c r="E2345">
        <v>2</v>
      </c>
      <c r="F2345">
        <f>_xlfn.XLOOKUP(Table1[[#This Row],[ProductID]],Products!A:A,Products!D:D,,0)</f>
        <v>160</v>
      </c>
      <c r="I2345">
        <v>699</v>
      </c>
      <c r="J2345">
        <v>559</v>
      </c>
      <c r="K2345" t="s">
        <v>1097</v>
      </c>
      <c r="L2345">
        <v>1118</v>
      </c>
      <c r="M2345" t="s">
        <v>1098</v>
      </c>
      <c r="N2345" t="s">
        <v>1099</v>
      </c>
      <c r="O2345">
        <f>Table1[[#This Row],[Unit_Price]]*Table1[[#This Row],[Quantity]]</f>
        <v>320</v>
      </c>
    </row>
    <row r="2346" spans="1:15" x14ac:dyDescent="0.3">
      <c r="A2346" t="s">
        <v>4147</v>
      </c>
      <c r="B2346" t="s">
        <v>1266</v>
      </c>
      <c r="C2346" t="s">
        <v>259</v>
      </c>
      <c r="D2346" t="s">
        <v>1057</v>
      </c>
      <c r="E2346">
        <v>1</v>
      </c>
      <c r="F2346">
        <f>_xlfn.XLOOKUP(Table1[[#This Row],[ProductID]],Products!A:A,Products!D:D,,0)</f>
        <v>130</v>
      </c>
      <c r="I2346">
        <v>549</v>
      </c>
      <c r="J2346">
        <v>494</v>
      </c>
      <c r="K2346" t="s">
        <v>1107</v>
      </c>
      <c r="L2346">
        <v>494</v>
      </c>
      <c r="M2346" t="s">
        <v>1093</v>
      </c>
      <c r="N2346" t="s">
        <v>1099</v>
      </c>
      <c r="O2346">
        <f>Table1[[#This Row],[Unit_Price]]*Table1[[#This Row],[Quantity]]</f>
        <v>130</v>
      </c>
    </row>
    <row r="2347" spans="1:15" x14ac:dyDescent="0.3">
      <c r="A2347" t="s">
        <v>4148</v>
      </c>
      <c r="B2347" t="s">
        <v>2749</v>
      </c>
      <c r="C2347" t="s">
        <v>783</v>
      </c>
      <c r="D2347" t="s">
        <v>1071</v>
      </c>
      <c r="E2347">
        <v>2</v>
      </c>
      <c r="F2347">
        <f>_xlfn.XLOOKUP(Table1[[#This Row],[ProductID]],Products!A:A,Products!D:D,,0)</f>
        <v>125</v>
      </c>
      <c r="I2347">
        <v>399</v>
      </c>
      <c r="J2347">
        <v>319</v>
      </c>
      <c r="K2347" t="s">
        <v>1097</v>
      </c>
      <c r="L2347">
        <v>638</v>
      </c>
      <c r="M2347" t="s">
        <v>1093</v>
      </c>
      <c r="N2347" t="s">
        <v>1099</v>
      </c>
      <c r="O2347">
        <f>Table1[[#This Row],[Unit_Price]]*Table1[[#This Row],[Quantity]]</f>
        <v>250</v>
      </c>
    </row>
    <row r="2348" spans="1:15" x14ac:dyDescent="0.3">
      <c r="A2348" t="s">
        <v>4149</v>
      </c>
      <c r="B2348" t="s">
        <v>2949</v>
      </c>
      <c r="C2348" t="s">
        <v>807</v>
      </c>
      <c r="D2348" t="s">
        <v>1080</v>
      </c>
      <c r="E2348">
        <v>1</v>
      </c>
      <c r="F2348">
        <f>_xlfn.XLOOKUP(Table1[[#This Row],[ProductID]],Products!A:A,Products!D:D,,0)</f>
        <v>45</v>
      </c>
      <c r="I2348">
        <v>249</v>
      </c>
      <c r="J2348">
        <v>224</v>
      </c>
      <c r="K2348" t="s">
        <v>1107</v>
      </c>
      <c r="L2348">
        <v>224</v>
      </c>
      <c r="M2348" t="s">
        <v>1126</v>
      </c>
      <c r="N2348" t="s">
        <v>1099</v>
      </c>
      <c r="O2348">
        <f>Table1[[#This Row],[Unit_Price]]*Table1[[#This Row],[Quantity]]</f>
        <v>45</v>
      </c>
    </row>
    <row r="2349" spans="1:15" x14ac:dyDescent="0.3">
      <c r="A2349" t="s">
        <v>4150</v>
      </c>
      <c r="B2349" t="s">
        <v>2050</v>
      </c>
      <c r="C2349" t="s">
        <v>311</v>
      </c>
      <c r="D2349" t="s">
        <v>1078</v>
      </c>
      <c r="E2349">
        <v>1</v>
      </c>
      <c r="F2349">
        <f>_xlfn.XLOOKUP(Table1[[#This Row],[ProductID]],Products!A:A,Products!D:D,,0)</f>
        <v>80</v>
      </c>
      <c r="I2349">
        <v>499</v>
      </c>
      <c r="J2349">
        <v>449</v>
      </c>
      <c r="K2349" t="s">
        <v>1107</v>
      </c>
      <c r="L2349">
        <v>449</v>
      </c>
      <c r="M2349" t="s">
        <v>1098</v>
      </c>
      <c r="N2349" t="s">
        <v>1099</v>
      </c>
      <c r="O2349">
        <f>Table1[[#This Row],[Unit_Price]]*Table1[[#This Row],[Quantity]]</f>
        <v>80</v>
      </c>
    </row>
    <row r="2350" spans="1:15" x14ac:dyDescent="0.3">
      <c r="A2350" t="s">
        <v>4151</v>
      </c>
      <c r="B2350" t="s">
        <v>1207</v>
      </c>
      <c r="C2350" t="s">
        <v>641</v>
      </c>
      <c r="D2350" t="s">
        <v>1073</v>
      </c>
      <c r="E2350">
        <v>1</v>
      </c>
      <c r="F2350">
        <f>_xlfn.XLOOKUP(Table1[[#This Row],[ProductID]],Products!A:A,Products!D:D,,0)</f>
        <v>100</v>
      </c>
      <c r="I2350">
        <v>349</v>
      </c>
      <c r="J2350">
        <v>314</v>
      </c>
      <c r="K2350" t="s">
        <v>1107</v>
      </c>
      <c r="L2350">
        <v>314</v>
      </c>
      <c r="M2350" t="s">
        <v>1126</v>
      </c>
      <c r="N2350" t="s">
        <v>1099</v>
      </c>
      <c r="O2350">
        <f>Table1[[#This Row],[Unit_Price]]*Table1[[#This Row],[Quantity]]</f>
        <v>100</v>
      </c>
    </row>
    <row r="2351" spans="1:15" x14ac:dyDescent="0.3">
      <c r="A2351" t="s">
        <v>4152</v>
      </c>
      <c r="B2351" t="s">
        <v>2418</v>
      </c>
      <c r="C2351" t="s">
        <v>917</v>
      </c>
      <c r="D2351" t="s">
        <v>1053</v>
      </c>
      <c r="E2351">
        <v>2</v>
      </c>
      <c r="F2351">
        <f>_xlfn.XLOOKUP(Table1[[#This Row],[ProductID]],Products!A:A,Products!D:D,,0)</f>
        <v>200</v>
      </c>
      <c r="I2351">
        <v>899</v>
      </c>
      <c r="J2351">
        <v>764</v>
      </c>
      <c r="K2351" t="s">
        <v>1092</v>
      </c>
      <c r="L2351">
        <v>1528</v>
      </c>
      <c r="M2351" t="s">
        <v>1098</v>
      </c>
      <c r="N2351" t="s">
        <v>1099</v>
      </c>
      <c r="O2351">
        <f>Table1[[#This Row],[Unit_Price]]*Table1[[#This Row],[Quantity]]</f>
        <v>400</v>
      </c>
    </row>
    <row r="2352" spans="1:15" x14ac:dyDescent="0.3">
      <c r="A2352" t="s">
        <v>4153</v>
      </c>
      <c r="B2352" t="s">
        <v>1312</v>
      </c>
      <c r="C2352" t="s">
        <v>1033</v>
      </c>
      <c r="D2352" t="s">
        <v>1055</v>
      </c>
      <c r="E2352">
        <v>1</v>
      </c>
      <c r="F2352">
        <f>_xlfn.XLOOKUP(Table1[[#This Row],[ProductID]],Products!A:A,Products!D:D,,0)</f>
        <v>75</v>
      </c>
      <c r="I2352">
        <v>299</v>
      </c>
      <c r="J2352">
        <v>269</v>
      </c>
      <c r="K2352" t="s">
        <v>1107</v>
      </c>
      <c r="L2352">
        <v>269</v>
      </c>
      <c r="M2352" t="s">
        <v>1098</v>
      </c>
      <c r="N2352" t="s">
        <v>1099</v>
      </c>
      <c r="O2352">
        <f>Table1[[#This Row],[Unit_Price]]*Table1[[#This Row],[Quantity]]</f>
        <v>75</v>
      </c>
    </row>
    <row r="2353" spans="1:15" x14ac:dyDescent="0.3">
      <c r="A2353" t="s">
        <v>4154</v>
      </c>
      <c r="B2353" t="s">
        <v>1180</v>
      </c>
      <c r="C2353" t="s">
        <v>511</v>
      </c>
      <c r="D2353" t="s">
        <v>1055</v>
      </c>
      <c r="E2353">
        <v>1</v>
      </c>
      <c r="F2353">
        <f>_xlfn.XLOOKUP(Table1[[#This Row],[ProductID]],Products!A:A,Products!D:D,,0)</f>
        <v>75</v>
      </c>
      <c r="I2353">
        <v>299</v>
      </c>
      <c r="J2353">
        <v>299</v>
      </c>
      <c r="K2353" t="s">
        <v>1102</v>
      </c>
      <c r="L2353">
        <v>299</v>
      </c>
      <c r="M2353" t="s">
        <v>1098</v>
      </c>
      <c r="N2353" t="s">
        <v>1099</v>
      </c>
      <c r="O2353">
        <f>Table1[[#This Row],[Unit_Price]]*Table1[[#This Row],[Quantity]]</f>
        <v>75</v>
      </c>
    </row>
    <row r="2354" spans="1:15" x14ac:dyDescent="0.3">
      <c r="A2354" t="s">
        <v>4155</v>
      </c>
      <c r="B2354" t="s">
        <v>2080</v>
      </c>
      <c r="C2354" t="s">
        <v>849</v>
      </c>
      <c r="D2354" t="s">
        <v>1071</v>
      </c>
      <c r="E2354">
        <v>2</v>
      </c>
      <c r="F2354">
        <f>_xlfn.XLOOKUP(Table1[[#This Row],[ProductID]],Products!A:A,Products!D:D,,0)</f>
        <v>125</v>
      </c>
      <c r="I2354">
        <v>399</v>
      </c>
      <c r="J2354">
        <v>319</v>
      </c>
      <c r="K2354" t="s">
        <v>1097</v>
      </c>
      <c r="L2354">
        <v>638</v>
      </c>
      <c r="M2354" t="s">
        <v>1093</v>
      </c>
      <c r="N2354" t="s">
        <v>1123</v>
      </c>
      <c r="O2354">
        <f>Table1[[#This Row],[Unit_Price]]*Table1[[#This Row],[Quantity]]</f>
        <v>250</v>
      </c>
    </row>
    <row r="2355" spans="1:15" x14ac:dyDescent="0.3">
      <c r="A2355" t="s">
        <v>4156</v>
      </c>
      <c r="B2355" t="s">
        <v>2261</v>
      </c>
      <c r="C2355" t="s">
        <v>85</v>
      </c>
      <c r="D2355" t="s">
        <v>1051</v>
      </c>
      <c r="E2355">
        <v>2</v>
      </c>
      <c r="F2355">
        <f>_xlfn.XLOOKUP(Table1[[#This Row],[ProductID]],Products!A:A,Products!D:D,,0)</f>
        <v>150</v>
      </c>
      <c r="I2355">
        <v>499</v>
      </c>
      <c r="J2355">
        <v>449</v>
      </c>
      <c r="K2355" t="s">
        <v>1107</v>
      </c>
      <c r="L2355">
        <v>898</v>
      </c>
      <c r="M2355" t="s">
        <v>1093</v>
      </c>
      <c r="N2355" t="s">
        <v>1099</v>
      </c>
      <c r="O2355">
        <f>Table1[[#This Row],[Unit_Price]]*Table1[[#This Row],[Quantity]]</f>
        <v>300</v>
      </c>
    </row>
    <row r="2356" spans="1:15" x14ac:dyDescent="0.3">
      <c r="A2356" t="s">
        <v>4157</v>
      </c>
      <c r="B2356" t="s">
        <v>1602</v>
      </c>
      <c r="C2356" t="s">
        <v>99</v>
      </c>
      <c r="D2356" t="s">
        <v>1066</v>
      </c>
      <c r="E2356">
        <v>2</v>
      </c>
      <c r="F2356">
        <f>_xlfn.XLOOKUP(Table1[[#This Row],[ProductID]],Products!A:A,Products!D:D,,0)</f>
        <v>140</v>
      </c>
      <c r="I2356">
        <v>499</v>
      </c>
      <c r="J2356">
        <v>424</v>
      </c>
      <c r="K2356" t="s">
        <v>1092</v>
      </c>
      <c r="L2356">
        <v>848</v>
      </c>
      <c r="M2356" t="s">
        <v>1093</v>
      </c>
      <c r="N2356" t="s">
        <v>1094</v>
      </c>
      <c r="O2356">
        <f>Table1[[#This Row],[Unit_Price]]*Table1[[#This Row],[Quantity]]</f>
        <v>280</v>
      </c>
    </row>
    <row r="2357" spans="1:15" x14ac:dyDescent="0.3">
      <c r="A2357" t="s">
        <v>4158</v>
      </c>
      <c r="B2357" t="s">
        <v>1703</v>
      </c>
      <c r="C2357" t="s">
        <v>583</v>
      </c>
      <c r="D2357" t="s">
        <v>1078</v>
      </c>
      <c r="E2357">
        <v>2</v>
      </c>
      <c r="F2357">
        <f>_xlfn.XLOOKUP(Table1[[#This Row],[ProductID]],Products!A:A,Products!D:D,,0)</f>
        <v>80</v>
      </c>
      <c r="I2357">
        <v>499</v>
      </c>
      <c r="J2357">
        <v>399</v>
      </c>
      <c r="K2357" t="s">
        <v>1097</v>
      </c>
      <c r="L2357">
        <v>798</v>
      </c>
      <c r="M2357" t="s">
        <v>1093</v>
      </c>
      <c r="N2357" t="s">
        <v>1099</v>
      </c>
      <c r="O2357">
        <f>Table1[[#This Row],[Unit_Price]]*Table1[[#This Row],[Quantity]]</f>
        <v>160</v>
      </c>
    </row>
    <row r="2358" spans="1:15" x14ac:dyDescent="0.3">
      <c r="A2358" t="s">
        <v>4159</v>
      </c>
      <c r="B2358" t="s">
        <v>1125</v>
      </c>
      <c r="C2358" t="s">
        <v>489</v>
      </c>
      <c r="D2358" t="s">
        <v>1066</v>
      </c>
      <c r="E2358">
        <v>1</v>
      </c>
      <c r="F2358">
        <f>_xlfn.XLOOKUP(Table1[[#This Row],[ProductID]],Products!A:A,Products!D:D,,0)</f>
        <v>140</v>
      </c>
      <c r="I2358">
        <v>499</v>
      </c>
      <c r="J2358">
        <v>399</v>
      </c>
      <c r="K2358" t="s">
        <v>1097</v>
      </c>
      <c r="L2358">
        <v>399</v>
      </c>
      <c r="M2358" t="s">
        <v>1093</v>
      </c>
      <c r="N2358" t="s">
        <v>1094</v>
      </c>
      <c r="O2358">
        <f>Table1[[#This Row],[Unit_Price]]*Table1[[#This Row],[Quantity]]</f>
        <v>140</v>
      </c>
    </row>
    <row r="2359" spans="1:15" x14ac:dyDescent="0.3">
      <c r="A2359" t="s">
        <v>4160</v>
      </c>
      <c r="B2359" t="s">
        <v>1642</v>
      </c>
      <c r="C2359" t="s">
        <v>57</v>
      </c>
      <c r="D2359" t="s">
        <v>1075</v>
      </c>
      <c r="E2359">
        <v>1</v>
      </c>
      <c r="F2359">
        <f>_xlfn.XLOOKUP(Table1[[#This Row],[ProductID]],Products!A:A,Products!D:D,,0)</f>
        <v>80</v>
      </c>
      <c r="I2359">
        <v>499</v>
      </c>
      <c r="J2359">
        <v>424</v>
      </c>
      <c r="K2359" t="s">
        <v>1092</v>
      </c>
      <c r="L2359">
        <v>424</v>
      </c>
      <c r="M2359" t="s">
        <v>1093</v>
      </c>
      <c r="N2359" t="s">
        <v>1094</v>
      </c>
      <c r="O2359">
        <f>Table1[[#This Row],[Unit_Price]]*Table1[[#This Row],[Quantity]]</f>
        <v>80</v>
      </c>
    </row>
    <row r="2360" spans="1:15" x14ac:dyDescent="0.3">
      <c r="A2360" t="s">
        <v>4161</v>
      </c>
      <c r="B2360" t="s">
        <v>1248</v>
      </c>
      <c r="C2360" t="s">
        <v>731</v>
      </c>
      <c r="D2360" t="s">
        <v>1057</v>
      </c>
      <c r="E2360">
        <v>1</v>
      </c>
      <c r="F2360">
        <f>_xlfn.XLOOKUP(Table1[[#This Row],[ProductID]],Products!A:A,Products!D:D,,0)</f>
        <v>130</v>
      </c>
      <c r="I2360">
        <v>549</v>
      </c>
      <c r="J2360">
        <v>549</v>
      </c>
      <c r="K2360" t="s">
        <v>1102</v>
      </c>
      <c r="L2360">
        <v>549</v>
      </c>
      <c r="M2360" t="s">
        <v>1098</v>
      </c>
      <c r="N2360" t="s">
        <v>1099</v>
      </c>
      <c r="O2360">
        <f>Table1[[#This Row],[Unit_Price]]*Table1[[#This Row],[Quantity]]</f>
        <v>130</v>
      </c>
    </row>
    <row r="2361" spans="1:15" x14ac:dyDescent="0.3">
      <c r="A2361" t="s">
        <v>4162</v>
      </c>
      <c r="B2361" t="s">
        <v>2586</v>
      </c>
      <c r="C2361" t="s">
        <v>869</v>
      </c>
      <c r="D2361" t="s">
        <v>1066</v>
      </c>
      <c r="E2361">
        <v>1</v>
      </c>
      <c r="F2361">
        <f>_xlfn.XLOOKUP(Table1[[#This Row],[ProductID]],Products!A:A,Products!D:D,,0)</f>
        <v>140</v>
      </c>
      <c r="I2361">
        <v>499</v>
      </c>
      <c r="J2361">
        <v>449</v>
      </c>
      <c r="K2361" t="s">
        <v>1107</v>
      </c>
      <c r="L2361">
        <v>449</v>
      </c>
      <c r="M2361" t="s">
        <v>1093</v>
      </c>
      <c r="N2361" t="s">
        <v>1123</v>
      </c>
      <c r="O2361">
        <f>Table1[[#This Row],[Unit_Price]]*Table1[[#This Row],[Quantity]]</f>
        <v>140</v>
      </c>
    </row>
    <row r="2362" spans="1:15" x14ac:dyDescent="0.3">
      <c r="A2362" t="s">
        <v>4163</v>
      </c>
      <c r="B2362" t="s">
        <v>1692</v>
      </c>
      <c r="C2362" t="s">
        <v>859</v>
      </c>
      <c r="D2362" t="s">
        <v>1075</v>
      </c>
      <c r="E2362">
        <v>2</v>
      </c>
      <c r="F2362">
        <f>_xlfn.XLOOKUP(Table1[[#This Row],[ProductID]],Products!A:A,Products!D:D,,0)</f>
        <v>80</v>
      </c>
      <c r="I2362">
        <v>499</v>
      </c>
      <c r="J2362">
        <v>424</v>
      </c>
      <c r="K2362" t="s">
        <v>1092</v>
      </c>
      <c r="L2362">
        <v>848</v>
      </c>
      <c r="M2362" t="s">
        <v>1098</v>
      </c>
      <c r="N2362" t="s">
        <v>1099</v>
      </c>
      <c r="O2362">
        <f>Table1[[#This Row],[Unit_Price]]*Table1[[#This Row],[Quantity]]</f>
        <v>160</v>
      </c>
    </row>
    <row r="2363" spans="1:15" x14ac:dyDescent="0.3">
      <c r="A2363" t="s">
        <v>4164</v>
      </c>
      <c r="B2363" t="s">
        <v>2324</v>
      </c>
      <c r="C2363" t="s">
        <v>313</v>
      </c>
      <c r="D2363" t="s">
        <v>1051</v>
      </c>
      <c r="E2363">
        <v>2</v>
      </c>
      <c r="F2363">
        <f>_xlfn.XLOOKUP(Table1[[#This Row],[ProductID]],Products!A:A,Products!D:D,,0)</f>
        <v>150</v>
      </c>
      <c r="I2363">
        <v>499</v>
      </c>
      <c r="J2363">
        <v>399</v>
      </c>
      <c r="K2363" t="s">
        <v>1097</v>
      </c>
      <c r="L2363">
        <v>798</v>
      </c>
      <c r="M2363" t="s">
        <v>1093</v>
      </c>
      <c r="N2363" t="s">
        <v>1123</v>
      </c>
      <c r="O2363">
        <f>Table1[[#This Row],[Unit_Price]]*Table1[[#This Row],[Quantity]]</f>
        <v>300</v>
      </c>
    </row>
    <row r="2364" spans="1:15" x14ac:dyDescent="0.3">
      <c r="A2364" t="s">
        <v>4165</v>
      </c>
      <c r="B2364" t="s">
        <v>1772</v>
      </c>
      <c r="C2364" t="s">
        <v>315</v>
      </c>
      <c r="D2364" t="s">
        <v>1066</v>
      </c>
      <c r="E2364">
        <v>2</v>
      </c>
      <c r="F2364">
        <f>_xlfn.XLOOKUP(Table1[[#This Row],[ProductID]],Products!A:A,Products!D:D,,0)</f>
        <v>140</v>
      </c>
      <c r="I2364">
        <v>499</v>
      </c>
      <c r="J2364">
        <v>449</v>
      </c>
      <c r="K2364" t="s">
        <v>1107</v>
      </c>
      <c r="L2364">
        <v>898</v>
      </c>
      <c r="M2364" t="s">
        <v>1093</v>
      </c>
      <c r="N2364" t="s">
        <v>1099</v>
      </c>
      <c r="O2364">
        <f>Table1[[#This Row],[Unit_Price]]*Table1[[#This Row],[Quantity]]</f>
        <v>280</v>
      </c>
    </row>
    <row r="2365" spans="1:15" x14ac:dyDescent="0.3">
      <c r="A2365" t="s">
        <v>4166</v>
      </c>
      <c r="B2365" t="s">
        <v>1467</v>
      </c>
      <c r="C2365" t="s">
        <v>547</v>
      </c>
      <c r="D2365" t="s">
        <v>1078</v>
      </c>
      <c r="E2365">
        <v>1</v>
      </c>
      <c r="F2365">
        <f>_xlfn.XLOOKUP(Table1[[#This Row],[ProductID]],Products!A:A,Products!D:D,,0)</f>
        <v>80</v>
      </c>
      <c r="I2365">
        <v>499</v>
      </c>
      <c r="J2365">
        <v>499</v>
      </c>
      <c r="K2365" t="s">
        <v>1102</v>
      </c>
      <c r="L2365">
        <v>499</v>
      </c>
      <c r="M2365" t="s">
        <v>1093</v>
      </c>
      <c r="N2365" t="s">
        <v>1099</v>
      </c>
      <c r="O2365">
        <f>Table1[[#This Row],[Unit_Price]]*Table1[[#This Row],[Quantity]]</f>
        <v>80</v>
      </c>
    </row>
    <row r="2366" spans="1:15" x14ac:dyDescent="0.3">
      <c r="A2366" t="s">
        <v>4167</v>
      </c>
      <c r="B2366" t="s">
        <v>3610</v>
      </c>
      <c r="C2366" t="s">
        <v>703</v>
      </c>
      <c r="D2366" t="s">
        <v>1068</v>
      </c>
      <c r="E2366">
        <v>2</v>
      </c>
      <c r="F2366">
        <f>_xlfn.XLOOKUP(Table1[[#This Row],[ProductID]],Products!A:A,Products!D:D,,0)</f>
        <v>180</v>
      </c>
      <c r="I2366">
        <v>449</v>
      </c>
      <c r="J2366">
        <v>404</v>
      </c>
      <c r="K2366" t="s">
        <v>1107</v>
      </c>
      <c r="L2366">
        <v>808</v>
      </c>
      <c r="M2366" t="s">
        <v>1098</v>
      </c>
      <c r="N2366" t="s">
        <v>1099</v>
      </c>
      <c r="O2366">
        <f>Table1[[#This Row],[Unit_Price]]*Table1[[#This Row],[Quantity]]</f>
        <v>360</v>
      </c>
    </row>
    <row r="2367" spans="1:15" x14ac:dyDescent="0.3">
      <c r="A2367" t="s">
        <v>4168</v>
      </c>
      <c r="B2367" t="s">
        <v>1174</v>
      </c>
      <c r="C2367" t="s">
        <v>59</v>
      </c>
      <c r="D2367" t="s">
        <v>1073</v>
      </c>
      <c r="E2367">
        <v>1</v>
      </c>
      <c r="F2367">
        <f>_xlfn.XLOOKUP(Table1[[#This Row],[ProductID]],Products!A:A,Products!D:D,,0)</f>
        <v>100</v>
      </c>
      <c r="I2367">
        <v>349</v>
      </c>
      <c r="J2367">
        <v>297</v>
      </c>
      <c r="K2367" t="s">
        <v>1092</v>
      </c>
      <c r="L2367">
        <v>297</v>
      </c>
      <c r="M2367" t="s">
        <v>1098</v>
      </c>
      <c r="N2367" t="s">
        <v>1099</v>
      </c>
      <c r="O2367">
        <f>Table1[[#This Row],[Unit_Price]]*Table1[[#This Row],[Quantity]]</f>
        <v>100</v>
      </c>
    </row>
    <row r="2368" spans="1:15" x14ac:dyDescent="0.3">
      <c r="A2368" t="s">
        <v>4169</v>
      </c>
      <c r="B2368" t="s">
        <v>1418</v>
      </c>
      <c r="C2368" t="s">
        <v>999</v>
      </c>
      <c r="D2368" t="s">
        <v>1080</v>
      </c>
      <c r="E2368">
        <v>1</v>
      </c>
      <c r="F2368">
        <f>_xlfn.XLOOKUP(Table1[[#This Row],[ProductID]],Products!A:A,Products!D:D,,0)</f>
        <v>45</v>
      </c>
      <c r="I2368">
        <v>249</v>
      </c>
      <c r="J2368">
        <v>199</v>
      </c>
      <c r="K2368" t="s">
        <v>1097</v>
      </c>
      <c r="L2368">
        <v>199</v>
      </c>
      <c r="M2368" t="s">
        <v>1098</v>
      </c>
      <c r="N2368" t="s">
        <v>1099</v>
      </c>
      <c r="O2368">
        <f>Table1[[#This Row],[Unit_Price]]*Table1[[#This Row],[Quantity]]</f>
        <v>45</v>
      </c>
    </row>
    <row r="2369" spans="1:15" x14ac:dyDescent="0.3">
      <c r="A2369" t="s">
        <v>4170</v>
      </c>
      <c r="B2369" t="s">
        <v>3549</v>
      </c>
      <c r="C2369" t="s">
        <v>535</v>
      </c>
      <c r="D2369" t="s">
        <v>1057</v>
      </c>
      <c r="E2369">
        <v>1</v>
      </c>
      <c r="F2369">
        <f>_xlfn.XLOOKUP(Table1[[#This Row],[ProductID]],Products!A:A,Products!D:D,,0)</f>
        <v>130</v>
      </c>
      <c r="I2369">
        <v>549</v>
      </c>
      <c r="J2369">
        <v>494</v>
      </c>
      <c r="K2369" t="s">
        <v>1107</v>
      </c>
      <c r="L2369">
        <v>494</v>
      </c>
      <c r="M2369" t="s">
        <v>1098</v>
      </c>
      <c r="N2369" t="s">
        <v>1099</v>
      </c>
      <c r="O2369">
        <f>Table1[[#This Row],[Unit_Price]]*Table1[[#This Row],[Quantity]]</f>
        <v>130</v>
      </c>
    </row>
    <row r="2370" spans="1:15" x14ac:dyDescent="0.3">
      <c r="A2370" t="s">
        <v>4171</v>
      </c>
      <c r="B2370" t="s">
        <v>3470</v>
      </c>
      <c r="C2370" t="s">
        <v>927</v>
      </c>
      <c r="D2370" t="s">
        <v>1053</v>
      </c>
      <c r="E2370">
        <v>2</v>
      </c>
      <c r="F2370">
        <f>_xlfn.XLOOKUP(Table1[[#This Row],[ProductID]],Products!A:A,Products!D:D,,0)</f>
        <v>200</v>
      </c>
      <c r="I2370">
        <v>899</v>
      </c>
      <c r="J2370">
        <v>719</v>
      </c>
      <c r="K2370" t="s">
        <v>1097</v>
      </c>
      <c r="L2370">
        <v>1438</v>
      </c>
      <c r="M2370" t="s">
        <v>1093</v>
      </c>
      <c r="N2370" t="s">
        <v>1094</v>
      </c>
      <c r="O2370">
        <f>Table1[[#This Row],[Unit_Price]]*Table1[[#This Row],[Quantity]]</f>
        <v>400</v>
      </c>
    </row>
    <row r="2371" spans="1:15" x14ac:dyDescent="0.3">
      <c r="A2371" t="s">
        <v>4172</v>
      </c>
      <c r="B2371" t="s">
        <v>2856</v>
      </c>
      <c r="C2371" t="s">
        <v>409</v>
      </c>
      <c r="D2371" t="s">
        <v>1071</v>
      </c>
      <c r="E2371">
        <v>1</v>
      </c>
      <c r="F2371">
        <f>_xlfn.XLOOKUP(Table1[[#This Row],[ProductID]],Products!A:A,Products!D:D,,0)</f>
        <v>125</v>
      </c>
      <c r="I2371">
        <v>399</v>
      </c>
      <c r="J2371">
        <v>319</v>
      </c>
      <c r="K2371" t="s">
        <v>1097</v>
      </c>
      <c r="L2371">
        <v>319</v>
      </c>
      <c r="M2371" t="s">
        <v>1093</v>
      </c>
      <c r="N2371" t="s">
        <v>1094</v>
      </c>
      <c r="O2371">
        <f>Table1[[#This Row],[Unit_Price]]*Table1[[#This Row],[Quantity]]</f>
        <v>125</v>
      </c>
    </row>
    <row r="2372" spans="1:15" x14ac:dyDescent="0.3">
      <c r="A2372" t="s">
        <v>4173</v>
      </c>
      <c r="B2372" t="s">
        <v>1091</v>
      </c>
      <c r="C2372" t="s">
        <v>1017</v>
      </c>
      <c r="D2372" t="s">
        <v>1080</v>
      </c>
      <c r="E2372">
        <v>1</v>
      </c>
      <c r="F2372">
        <f>_xlfn.XLOOKUP(Table1[[#This Row],[ProductID]],Products!A:A,Products!D:D,,0)</f>
        <v>45</v>
      </c>
      <c r="I2372">
        <v>249</v>
      </c>
      <c r="J2372">
        <v>249</v>
      </c>
      <c r="K2372" t="s">
        <v>1102</v>
      </c>
      <c r="L2372">
        <v>249</v>
      </c>
      <c r="M2372" t="s">
        <v>1098</v>
      </c>
      <c r="N2372" t="s">
        <v>1099</v>
      </c>
      <c r="O2372">
        <f>Table1[[#This Row],[Unit_Price]]*Table1[[#This Row],[Quantity]]</f>
        <v>45</v>
      </c>
    </row>
    <row r="2373" spans="1:15" x14ac:dyDescent="0.3">
      <c r="A2373" t="s">
        <v>4174</v>
      </c>
      <c r="B2373" t="s">
        <v>1200</v>
      </c>
      <c r="C2373" t="s">
        <v>122</v>
      </c>
      <c r="D2373" t="s">
        <v>1057</v>
      </c>
      <c r="E2373">
        <v>1</v>
      </c>
      <c r="F2373">
        <f>_xlfn.XLOOKUP(Table1[[#This Row],[ProductID]],Products!A:A,Products!D:D,,0)</f>
        <v>130</v>
      </c>
      <c r="I2373">
        <v>549</v>
      </c>
      <c r="J2373">
        <v>494</v>
      </c>
      <c r="K2373" t="s">
        <v>1107</v>
      </c>
      <c r="L2373">
        <v>494</v>
      </c>
      <c r="M2373" t="s">
        <v>1098</v>
      </c>
      <c r="N2373" t="s">
        <v>1099</v>
      </c>
      <c r="O2373">
        <f>Table1[[#This Row],[Unit_Price]]*Table1[[#This Row],[Quantity]]</f>
        <v>130</v>
      </c>
    </row>
    <row r="2374" spans="1:15" x14ac:dyDescent="0.3">
      <c r="A2374" t="s">
        <v>4175</v>
      </c>
      <c r="B2374" t="s">
        <v>1194</v>
      </c>
      <c r="C2374" t="s">
        <v>134</v>
      </c>
      <c r="D2374" t="s">
        <v>1071</v>
      </c>
      <c r="E2374">
        <v>3</v>
      </c>
      <c r="F2374">
        <f>_xlfn.XLOOKUP(Table1[[#This Row],[ProductID]],Products!A:A,Products!D:D,,0)</f>
        <v>125</v>
      </c>
      <c r="I2374">
        <v>399</v>
      </c>
      <c r="J2374">
        <v>399</v>
      </c>
      <c r="K2374" t="s">
        <v>1102</v>
      </c>
      <c r="L2374">
        <v>1197</v>
      </c>
      <c r="M2374" t="s">
        <v>1098</v>
      </c>
      <c r="N2374" t="s">
        <v>1099</v>
      </c>
      <c r="O2374">
        <f>Table1[[#This Row],[Unit_Price]]*Table1[[#This Row],[Quantity]]</f>
        <v>375</v>
      </c>
    </row>
    <row r="2375" spans="1:15" x14ac:dyDescent="0.3">
      <c r="A2375" t="s">
        <v>4176</v>
      </c>
      <c r="B2375" t="s">
        <v>1317</v>
      </c>
      <c r="C2375" t="s">
        <v>873</v>
      </c>
      <c r="D2375" t="s">
        <v>1073</v>
      </c>
      <c r="E2375">
        <v>1</v>
      </c>
      <c r="F2375">
        <f>_xlfn.XLOOKUP(Table1[[#This Row],[ProductID]],Products!A:A,Products!D:D,,0)</f>
        <v>100</v>
      </c>
      <c r="I2375">
        <v>349</v>
      </c>
      <c r="J2375">
        <v>297</v>
      </c>
      <c r="K2375" t="s">
        <v>1092</v>
      </c>
      <c r="L2375">
        <v>297</v>
      </c>
      <c r="M2375" t="s">
        <v>1093</v>
      </c>
      <c r="N2375" t="s">
        <v>1094</v>
      </c>
      <c r="O2375">
        <f>Table1[[#This Row],[Unit_Price]]*Table1[[#This Row],[Quantity]]</f>
        <v>100</v>
      </c>
    </row>
    <row r="2376" spans="1:15" x14ac:dyDescent="0.3">
      <c r="A2376" t="s">
        <v>4177</v>
      </c>
      <c r="B2376" t="s">
        <v>4178</v>
      </c>
      <c r="C2376" t="s">
        <v>451</v>
      </c>
      <c r="D2376" t="s">
        <v>1051</v>
      </c>
      <c r="E2376">
        <v>4</v>
      </c>
      <c r="F2376">
        <f>_xlfn.XLOOKUP(Table1[[#This Row],[ProductID]],Products!A:A,Products!D:D,,0)</f>
        <v>150</v>
      </c>
      <c r="I2376">
        <v>499</v>
      </c>
      <c r="J2376">
        <v>424</v>
      </c>
      <c r="K2376" t="s">
        <v>1092</v>
      </c>
      <c r="L2376">
        <v>1696</v>
      </c>
      <c r="M2376" t="s">
        <v>1098</v>
      </c>
      <c r="N2376" t="s">
        <v>1099</v>
      </c>
      <c r="O2376">
        <f>Table1[[#This Row],[Unit_Price]]*Table1[[#This Row],[Quantity]]</f>
        <v>600</v>
      </c>
    </row>
    <row r="2377" spans="1:15" x14ac:dyDescent="0.3">
      <c r="A2377" t="s">
        <v>4179</v>
      </c>
      <c r="B2377" t="s">
        <v>4090</v>
      </c>
      <c r="C2377" t="s">
        <v>1041</v>
      </c>
      <c r="D2377" t="s">
        <v>1053</v>
      </c>
      <c r="E2377">
        <v>1</v>
      </c>
      <c r="F2377">
        <f>_xlfn.XLOOKUP(Table1[[#This Row],[ProductID]],Products!A:A,Products!D:D,,0)</f>
        <v>200</v>
      </c>
      <c r="I2377">
        <v>899</v>
      </c>
      <c r="J2377">
        <v>809</v>
      </c>
      <c r="K2377" t="s">
        <v>1107</v>
      </c>
      <c r="L2377">
        <v>809</v>
      </c>
      <c r="M2377" t="s">
        <v>1093</v>
      </c>
      <c r="N2377" t="s">
        <v>1099</v>
      </c>
      <c r="O2377">
        <f>Table1[[#This Row],[Unit_Price]]*Table1[[#This Row],[Quantity]]</f>
        <v>200</v>
      </c>
    </row>
    <row r="2378" spans="1:15" x14ac:dyDescent="0.3">
      <c r="A2378" t="s">
        <v>4180</v>
      </c>
      <c r="B2378" t="s">
        <v>1248</v>
      </c>
      <c r="C2378" t="s">
        <v>231</v>
      </c>
      <c r="D2378" t="s">
        <v>1055</v>
      </c>
      <c r="E2378">
        <v>1</v>
      </c>
      <c r="F2378">
        <f>_xlfn.XLOOKUP(Table1[[#This Row],[ProductID]],Products!A:A,Products!D:D,,0)</f>
        <v>75</v>
      </c>
      <c r="I2378">
        <v>299</v>
      </c>
      <c r="J2378">
        <v>254</v>
      </c>
      <c r="K2378" t="s">
        <v>1092</v>
      </c>
      <c r="L2378">
        <v>254</v>
      </c>
      <c r="M2378" t="s">
        <v>1093</v>
      </c>
      <c r="N2378" t="s">
        <v>1099</v>
      </c>
      <c r="O2378">
        <f>Table1[[#This Row],[Unit_Price]]*Table1[[#This Row],[Quantity]]</f>
        <v>75</v>
      </c>
    </row>
    <row r="2379" spans="1:15" x14ac:dyDescent="0.3">
      <c r="A2379" t="s">
        <v>4181</v>
      </c>
      <c r="B2379" t="s">
        <v>1568</v>
      </c>
      <c r="C2379" t="s">
        <v>487</v>
      </c>
      <c r="D2379" t="s">
        <v>1064</v>
      </c>
      <c r="E2379">
        <v>1</v>
      </c>
      <c r="F2379">
        <f>_xlfn.XLOOKUP(Table1[[#This Row],[ProductID]],Products!A:A,Products!D:D,,0)</f>
        <v>160</v>
      </c>
      <c r="I2379">
        <v>699</v>
      </c>
      <c r="J2379">
        <v>559</v>
      </c>
      <c r="K2379" t="s">
        <v>1097</v>
      </c>
      <c r="L2379">
        <v>559</v>
      </c>
      <c r="M2379" t="s">
        <v>1098</v>
      </c>
      <c r="N2379" t="s">
        <v>1099</v>
      </c>
      <c r="O2379">
        <f>Table1[[#This Row],[Unit_Price]]*Table1[[#This Row],[Quantity]]</f>
        <v>160</v>
      </c>
    </row>
    <row r="2380" spans="1:15" x14ac:dyDescent="0.3">
      <c r="A2380" t="s">
        <v>4182</v>
      </c>
      <c r="B2380" t="s">
        <v>3404</v>
      </c>
      <c r="C2380" t="s">
        <v>503</v>
      </c>
      <c r="D2380" t="s">
        <v>1071</v>
      </c>
      <c r="E2380">
        <v>1</v>
      </c>
      <c r="F2380">
        <f>_xlfn.XLOOKUP(Table1[[#This Row],[ProductID]],Products!A:A,Products!D:D,,0)</f>
        <v>125</v>
      </c>
      <c r="I2380">
        <v>399</v>
      </c>
      <c r="J2380">
        <v>359</v>
      </c>
      <c r="K2380" t="s">
        <v>1107</v>
      </c>
      <c r="L2380">
        <v>359</v>
      </c>
      <c r="M2380" t="s">
        <v>1098</v>
      </c>
      <c r="N2380" t="s">
        <v>1099</v>
      </c>
      <c r="O2380">
        <f>Table1[[#This Row],[Unit_Price]]*Table1[[#This Row],[Quantity]]</f>
        <v>125</v>
      </c>
    </row>
    <row r="2381" spans="1:15" x14ac:dyDescent="0.3">
      <c r="A2381" t="s">
        <v>4183</v>
      </c>
      <c r="B2381" t="s">
        <v>1589</v>
      </c>
      <c r="C2381" t="s">
        <v>485</v>
      </c>
      <c r="D2381" t="s">
        <v>1073</v>
      </c>
      <c r="E2381">
        <v>1</v>
      </c>
      <c r="F2381">
        <f>_xlfn.XLOOKUP(Table1[[#This Row],[ProductID]],Products!A:A,Products!D:D,,0)</f>
        <v>100</v>
      </c>
      <c r="I2381">
        <v>349</v>
      </c>
      <c r="J2381">
        <v>349</v>
      </c>
      <c r="K2381" t="s">
        <v>1102</v>
      </c>
      <c r="L2381">
        <v>349</v>
      </c>
      <c r="M2381" t="s">
        <v>1098</v>
      </c>
      <c r="N2381" t="s">
        <v>1099</v>
      </c>
      <c r="O2381">
        <f>Table1[[#This Row],[Unit_Price]]*Table1[[#This Row],[Quantity]]</f>
        <v>100</v>
      </c>
    </row>
    <row r="2382" spans="1:15" x14ac:dyDescent="0.3">
      <c r="A2382" t="s">
        <v>4184</v>
      </c>
      <c r="B2382" t="s">
        <v>2365</v>
      </c>
      <c r="C2382" t="s">
        <v>34</v>
      </c>
      <c r="D2382" t="s">
        <v>1078</v>
      </c>
      <c r="E2382">
        <v>1</v>
      </c>
      <c r="F2382">
        <f>_xlfn.XLOOKUP(Table1[[#This Row],[ProductID]],Products!A:A,Products!D:D,,0)</f>
        <v>80</v>
      </c>
      <c r="I2382">
        <v>499</v>
      </c>
      <c r="J2382">
        <v>424</v>
      </c>
      <c r="K2382" t="s">
        <v>1092</v>
      </c>
      <c r="L2382">
        <v>424</v>
      </c>
      <c r="M2382" t="s">
        <v>1126</v>
      </c>
      <c r="N2382" t="s">
        <v>1099</v>
      </c>
      <c r="O2382">
        <f>Table1[[#This Row],[Unit_Price]]*Table1[[#This Row],[Quantity]]</f>
        <v>80</v>
      </c>
    </row>
    <row r="2383" spans="1:15" x14ac:dyDescent="0.3">
      <c r="A2383" t="s">
        <v>4185</v>
      </c>
      <c r="B2383" t="s">
        <v>2485</v>
      </c>
      <c r="C2383" t="s">
        <v>263</v>
      </c>
      <c r="D2383" t="s">
        <v>1051</v>
      </c>
      <c r="E2383">
        <v>3</v>
      </c>
      <c r="F2383">
        <f>_xlfn.XLOOKUP(Table1[[#This Row],[ProductID]],Products!A:A,Products!D:D,,0)</f>
        <v>150</v>
      </c>
      <c r="I2383">
        <v>499</v>
      </c>
      <c r="J2383">
        <v>399</v>
      </c>
      <c r="K2383" t="s">
        <v>1097</v>
      </c>
      <c r="L2383">
        <v>1197</v>
      </c>
      <c r="M2383" t="s">
        <v>1126</v>
      </c>
      <c r="N2383" t="s">
        <v>1099</v>
      </c>
      <c r="O2383">
        <f>Table1[[#This Row],[Unit_Price]]*Table1[[#This Row],[Quantity]]</f>
        <v>450</v>
      </c>
    </row>
    <row r="2384" spans="1:15" x14ac:dyDescent="0.3">
      <c r="A2384" t="s">
        <v>4186</v>
      </c>
      <c r="B2384" t="s">
        <v>1608</v>
      </c>
      <c r="C2384" t="s">
        <v>225</v>
      </c>
      <c r="D2384" t="s">
        <v>1059</v>
      </c>
      <c r="E2384">
        <v>3</v>
      </c>
      <c r="F2384">
        <f>_xlfn.XLOOKUP(Table1[[#This Row],[ProductID]],Products!A:A,Products!D:D,,0)</f>
        <v>110</v>
      </c>
      <c r="I2384">
        <v>399</v>
      </c>
      <c r="J2384">
        <v>399</v>
      </c>
      <c r="K2384" t="s">
        <v>1102</v>
      </c>
      <c r="L2384">
        <v>1197</v>
      </c>
      <c r="M2384" t="s">
        <v>1093</v>
      </c>
      <c r="N2384" t="s">
        <v>1094</v>
      </c>
      <c r="O2384">
        <f>Table1[[#This Row],[Unit_Price]]*Table1[[#This Row],[Quantity]]</f>
        <v>330</v>
      </c>
    </row>
    <row r="2385" spans="1:15" x14ac:dyDescent="0.3">
      <c r="A2385" t="s">
        <v>4187</v>
      </c>
      <c r="B2385" t="s">
        <v>1730</v>
      </c>
      <c r="C2385" t="s">
        <v>152</v>
      </c>
      <c r="D2385" t="s">
        <v>1057</v>
      </c>
      <c r="E2385">
        <v>1</v>
      </c>
      <c r="F2385">
        <f>_xlfn.XLOOKUP(Table1[[#This Row],[ProductID]],Products!A:A,Products!D:D,,0)</f>
        <v>130</v>
      </c>
      <c r="I2385">
        <v>549</v>
      </c>
      <c r="J2385">
        <v>439</v>
      </c>
      <c r="K2385" t="s">
        <v>1097</v>
      </c>
      <c r="L2385">
        <v>439</v>
      </c>
      <c r="M2385" t="s">
        <v>1093</v>
      </c>
      <c r="N2385" t="s">
        <v>1099</v>
      </c>
      <c r="O2385">
        <f>Table1[[#This Row],[Unit_Price]]*Table1[[#This Row],[Quantity]]</f>
        <v>130</v>
      </c>
    </row>
    <row r="2386" spans="1:15" x14ac:dyDescent="0.3">
      <c r="A2386" t="s">
        <v>4188</v>
      </c>
      <c r="B2386" t="s">
        <v>3930</v>
      </c>
      <c r="C2386" t="s">
        <v>1009</v>
      </c>
      <c r="D2386" t="s">
        <v>1080</v>
      </c>
      <c r="E2386">
        <v>1</v>
      </c>
      <c r="F2386">
        <f>_xlfn.XLOOKUP(Table1[[#This Row],[ProductID]],Products!A:A,Products!D:D,,0)</f>
        <v>45</v>
      </c>
      <c r="I2386">
        <v>249</v>
      </c>
      <c r="J2386">
        <v>224</v>
      </c>
      <c r="K2386" t="s">
        <v>1107</v>
      </c>
      <c r="L2386">
        <v>224</v>
      </c>
      <c r="M2386" t="s">
        <v>1098</v>
      </c>
      <c r="N2386" t="s">
        <v>1099</v>
      </c>
      <c r="O2386">
        <f>Table1[[#This Row],[Unit_Price]]*Table1[[#This Row],[Quantity]]</f>
        <v>45</v>
      </c>
    </row>
    <row r="2387" spans="1:15" x14ac:dyDescent="0.3">
      <c r="A2387" t="s">
        <v>4189</v>
      </c>
      <c r="B2387" t="s">
        <v>4190</v>
      </c>
      <c r="C2387" t="s">
        <v>171</v>
      </c>
      <c r="D2387" t="s">
        <v>1080</v>
      </c>
      <c r="E2387">
        <v>1</v>
      </c>
      <c r="F2387">
        <f>_xlfn.XLOOKUP(Table1[[#This Row],[ProductID]],Products!A:A,Products!D:D,,0)</f>
        <v>45</v>
      </c>
      <c r="I2387">
        <v>249</v>
      </c>
      <c r="J2387">
        <v>249</v>
      </c>
      <c r="K2387" t="s">
        <v>1102</v>
      </c>
      <c r="L2387">
        <v>249</v>
      </c>
      <c r="M2387" t="s">
        <v>1093</v>
      </c>
      <c r="N2387" t="s">
        <v>1094</v>
      </c>
      <c r="O2387">
        <f>Table1[[#This Row],[Unit_Price]]*Table1[[#This Row],[Quantity]]</f>
        <v>45</v>
      </c>
    </row>
    <row r="2388" spans="1:15" x14ac:dyDescent="0.3">
      <c r="A2388" t="s">
        <v>4191</v>
      </c>
      <c r="B2388" t="s">
        <v>1180</v>
      </c>
      <c r="C2388" t="s">
        <v>425</v>
      </c>
      <c r="D2388" t="s">
        <v>1059</v>
      </c>
      <c r="E2388">
        <v>3</v>
      </c>
      <c r="F2388">
        <f>_xlfn.XLOOKUP(Table1[[#This Row],[ProductID]],Products!A:A,Products!D:D,,0)</f>
        <v>110</v>
      </c>
      <c r="I2388">
        <v>399</v>
      </c>
      <c r="J2388">
        <v>359</v>
      </c>
      <c r="K2388" t="s">
        <v>1107</v>
      </c>
      <c r="L2388">
        <v>1077</v>
      </c>
      <c r="M2388" t="s">
        <v>1126</v>
      </c>
      <c r="N2388" t="s">
        <v>1099</v>
      </c>
      <c r="O2388">
        <f>Table1[[#This Row],[Unit_Price]]*Table1[[#This Row],[Quantity]]</f>
        <v>330</v>
      </c>
    </row>
    <row r="2389" spans="1:15" x14ac:dyDescent="0.3">
      <c r="A2389" t="s">
        <v>4192</v>
      </c>
      <c r="B2389" t="s">
        <v>1375</v>
      </c>
      <c r="C2389" t="s">
        <v>779</v>
      </c>
      <c r="D2389" t="s">
        <v>1059</v>
      </c>
      <c r="E2389">
        <v>3</v>
      </c>
      <c r="F2389">
        <f>_xlfn.XLOOKUP(Table1[[#This Row],[ProductID]],Products!A:A,Products!D:D,,0)</f>
        <v>110</v>
      </c>
      <c r="I2389">
        <v>399</v>
      </c>
      <c r="J2389">
        <v>399</v>
      </c>
      <c r="K2389" t="s">
        <v>1102</v>
      </c>
      <c r="L2389">
        <v>1197</v>
      </c>
      <c r="M2389" t="s">
        <v>1098</v>
      </c>
      <c r="N2389" t="s">
        <v>1099</v>
      </c>
      <c r="O2389">
        <f>Table1[[#This Row],[Unit_Price]]*Table1[[#This Row],[Quantity]]</f>
        <v>330</v>
      </c>
    </row>
    <row r="2390" spans="1:15" x14ac:dyDescent="0.3">
      <c r="A2390" t="s">
        <v>4193</v>
      </c>
      <c r="B2390" t="s">
        <v>3437</v>
      </c>
      <c r="C2390" t="s">
        <v>717</v>
      </c>
      <c r="D2390" t="s">
        <v>1075</v>
      </c>
      <c r="E2390">
        <v>1</v>
      </c>
      <c r="F2390">
        <f>_xlfn.XLOOKUP(Table1[[#This Row],[ProductID]],Products!A:A,Products!D:D,,0)</f>
        <v>80</v>
      </c>
      <c r="I2390">
        <v>499</v>
      </c>
      <c r="J2390">
        <v>399</v>
      </c>
      <c r="K2390" t="s">
        <v>1097</v>
      </c>
      <c r="L2390">
        <v>399</v>
      </c>
      <c r="M2390" t="s">
        <v>1098</v>
      </c>
      <c r="N2390" t="s">
        <v>1099</v>
      </c>
      <c r="O2390">
        <f>Table1[[#This Row],[Unit_Price]]*Table1[[#This Row],[Quantity]]</f>
        <v>80</v>
      </c>
    </row>
    <row r="2391" spans="1:15" x14ac:dyDescent="0.3">
      <c r="A2391" t="s">
        <v>4194</v>
      </c>
      <c r="B2391" t="s">
        <v>3466</v>
      </c>
      <c r="C2391" t="s">
        <v>371</v>
      </c>
      <c r="D2391" t="s">
        <v>1059</v>
      </c>
      <c r="E2391">
        <v>2</v>
      </c>
      <c r="F2391">
        <f>_xlfn.XLOOKUP(Table1[[#This Row],[ProductID]],Products!A:A,Products!D:D,,0)</f>
        <v>110</v>
      </c>
      <c r="I2391">
        <v>399</v>
      </c>
      <c r="J2391">
        <v>339</v>
      </c>
      <c r="K2391" t="s">
        <v>1092</v>
      </c>
      <c r="L2391">
        <v>678</v>
      </c>
      <c r="M2391" t="s">
        <v>1098</v>
      </c>
      <c r="N2391" t="s">
        <v>1099</v>
      </c>
      <c r="O2391">
        <f>Table1[[#This Row],[Unit_Price]]*Table1[[#This Row],[Quantity]]</f>
        <v>220</v>
      </c>
    </row>
    <row r="2392" spans="1:15" x14ac:dyDescent="0.3">
      <c r="A2392" t="s">
        <v>4195</v>
      </c>
      <c r="B2392" t="s">
        <v>1985</v>
      </c>
      <c r="C2392" t="s">
        <v>499</v>
      </c>
      <c r="D2392" t="s">
        <v>1051</v>
      </c>
      <c r="E2392">
        <v>1</v>
      </c>
      <c r="F2392">
        <f>_xlfn.XLOOKUP(Table1[[#This Row],[ProductID]],Products!A:A,Products!D:D,,0)</f>
        <v>150</v>
      </c>
      <c r="I2392">
        <v>499</v>
      </c>
      <c r="J2392">
        <v>449</v>
      </c>
      <c r="K2392" t="s">
        <v>1107</v>
      </c>
      <c r="L2392">
        <v>449</v>
      </c>
      <c r="M2392" t="s">
        <v>1098</v>
      </c>
      <c r="N2392" t="s">
        <v>1099</v>
      </c>
      <c r="O2392">
        <f>Table1[[#This Row],[Unit_Price]]*Table1[[#This Row],[Quantity]]</f>
        <v>150</v>
      </c>
    </row>
    <row r="2393" spans="1:15" x14ac:dyDescent="0.3">
      <c r="A2393" t="s">
        <v>4196</v>
      </c>
      <c r="B2393" t="s">
        <v>3723</v>
      </c>
      <c r="C2393" t="s">
        <v>421</v>
      </c>
      <c r="D2393" t="s">
        <v>1064</v>
      </c>
      <c r="E2393">
        <v>2</v>
      </c>
      <c r="F2393">
        <f>_xlfn.XLOOKUP(Table1[[#This Row],[ProductID]],Products!A:A,Products!D:D,,0)</f>
        <v>160</v>
      </c>
      <c r="I2393">
        <v>699</v>
      </c>
      <c r="J2393">
        <v>594</v>
      </c>
      <c r="K2393" t="s">
        <v>1092</v>
      </c>
      <c r="L2393">
        <v>1188</v>
      </c>
      <c r="M2393" t="s">
        <v>1098</v>
      </c>
      <c r="N2393" t="s">
        <v>1099</v>
      </c>
      <c r="O2393">
        <f>Table1[[#This Row],[Unit_Price]]*Table1[[#This Row],[Quantity]]</f>
        <v>320</v>
      </c>
    </row>
    <row r="2394" spans="1:15" x14ac:dyDescent="0.3">
      <c r="A2394" t="s">
        <v>4197</v>
      </c>
      <c r="B2394" t="s">
        <v>1375</v>
      </c>
      <c r="C2394" t="s">
        <v>817</v>
      </c>
      <c r="D2394" t="s">
        <v>1078</v>
      </c>
      <c r="E2394">
        <v>1</v>
      </c>
      <c r="F2394">
        <f>_xlfn.XLOOKUP(Table1[[#This Row],[ProductID]],Products!A:A,Products!D:D,,0)</f>
        <v>80</v>
      </c>
      <c r="I2394">
        <v>499</v>
      </c>
      <c r="J2394">
        <v>449</v>
      </c>
      <c r="K2394" t="s">
        <v>1107</v>
      </c>
      <c r="L2394">
        <v>449</v>
      </c>
      <c r="M2394" t="s">
        <v>1093</v>
      </c>
      <c r="N2394" t="s">
        <v>1099</v>
      </c>
      <c r="O2394">
        <f>Table1[[#This Row],[Unit_Price]]*Table1[[#This Row],[Quantity]]</f>
        <v>80</v>
      </c>
    </row>
    <row r="2395" spans="1:15" x14ac:dyDescent="0.3">
      <c r="A2395" t="s">
        <v>4198</v>
      </c>
      <c r="B2395" t="s">
        <v>1186</v>
      </c>
      <c r="C2395" t="s">
        <v>223</v>
      </c>
      <c r="D2395" t="s">
        <v>1062</v>
      </c>
      <c r="E2395">
        <v>1</v>
      </c>
      <c r="F2395">
        <f>_xlfn.XLOOKUP(Table1[[#This Row],[ProductID]],Products!A:A,Products!D:D,,0)</f>
        <v>95</v>
      </c>
      <c r="I2395">
        <v>349</v>
      </c>
      <c r="J2395">
        <v>314</v>
      </c>
      <c r="K2395" t="s">
        <v>1107</v>
      </c>
      <c r="L2395">
        <v>314</v>
      </c>
      <c r="M2395" t="s">
        <v>1126</v>
      </c>
      <c r="N2395" t="s">
        <v>1099</v>
      </c>
      <c r="O2395">
        <f>Table1[[#This Row],[Unit_Price]]*Table1[[#This Row],[Quantity]]</f>
        <v>95</v>
      </c>
    </row>
    <row r="2396" spans="1:15" x14ac:dyDescent="0.3">
      <c r="A2396" t="s">
        <v>4199</v>
      </c>
      <c r="B2396" t="s">
        <v>1655</v>
      </c>
      <c r="C2396" t="s">
        <v>459</v>
      </c>
      <c r="D2396" t="s">
        <v>1064</v>
      </c>
      <c r="E2396">
        <v>1</v>
      </c>
      <c r="F2396">
        <f>_xlfn.XLOOKUP(Table1[[#This Row],[ProductID]],Products!A:A,Products!D:D,,0)</f>
        <v>160</v>
      </c>
      <c r="I2396">
        <v>699</v>
      </c>
      <c r="J2396">
        <v>629</v>
      </c>
      <c r="K2396" t="s">
        <v>1107</v>
      </c>
      <c r="L2396">
        <v>629</v>
      </c>
      <c r="M2396" t="s">
        <v>1126</v>
      </c>
      <c r="N2396" t="s">
        <v>1099</v>
      </c>
      <c r="O2396">
        <f>Table1[[#This Row],[Unit_Price]]*Table1[[#This Row],[Quantity]]</f>
        <v>160</v>
      </c>
    </row>
    <row r="2397" spans="1:15" x14ac:dyDescent="0.3">
      <c r="A2397" t="s">
        <v>4200</v>
      </c>
      <c r="B2397" t="s">
        <v>1286</v>
      </c>
      <c r="C2397" t="s">
        <v>769</v>
      </c>
      <c r="D2397" t="s">
        <v>1051</v>
      </c>
      <c r="E2397">
        <v>1</v>
      </c>
      <c r="F2397">
        <f>_xlfn.XLOOKUP(Table1[[#This Row],[ProductID]],Products!A:A,Products!D:D,,0)</f>
        <v>150</v>
      </c>
      <c r="I2397">
        <v>499</v>
      </c>
      <c r="J2397">
        <v>449</v>
      </c>
      <c r="K2397" t="s">
        <v>1107</v>
      </c>
      <c r="L2397">
        <v>449</v>
      </c>
      <c r="M2397" t="s">
        <v>1093</v>
      </c>
      <c r="N2397" t="s">
        <v>1099</v>
      </c>
      <c r="O2397">
        <f>Table1[[#This Row],[Unit_Price]]*Table1[[#This Row],[Quantity]]</f>
        <v>150</v>
      </c>
    </row>
    <row r="2398" spans="1:15" x14ac:dyDescent="0.3">
      <c r="A2398" t="s">
        <v>4201</v>
      </c>
      <c r="B2398" t="s">
        <v>1772</v>
      </c>
      <c r="C2398" t="s">
        <v>625</v>
      </c>
      <c r="D2398" t="s">
        <v>1055</v>
      </c>
      <c r="E2398">
        <v>1</v>
      </c>
      <c r="F2398">
        <f>_xlfn.XLOOKUP(Table1[[#This Row],[ProductID]],Products!A:A,Products!D:D,,0)</f>
        <v>75</v>
      </c>
      <c r="I2398">
        <v>299</v>
      </c>
      <c r="J2398">
        <v>269</v>
      </c>
      <c r="K2398" t="s">
        <v>1107</v>
      </c>
      <c r="L2398">
        <v>269</v>
      </c>
      <c r="M2398" t="s">
        <v>1098</v>
      </c>
      <c r="N2398" t="s">
        <v>1099</v>
      </c>
      <c r="O2398">
        <f>Table1[[#This Row],[Unit_Price]]*Table1[[#This Row],[Quantity]]</f>
        <v>75</v>
      </c>
    </row>
    <row r="2399" spans="1:15" x14ac:dyDescent="0.3">
      <c r="A2399" t="s">
        <v>4202</v>
      </c>
      <c r="B2399" t="s">
        <v>3230</v>
      </c>
      <c r="C2399" t="s">
        <v>1025</v>
      </c>
      <c r="D2399" t="s">
        <v>1048</v>
      </c>
      <c r="E2399">
        <v>3</v>
      </c>
      <c r="F2399">
        <f>_xlfn.XLOOKUP(Table1[[#This Row],[ProductID]],Products!A:A,Products!D:D,,0)</f>
        <v>120</v>
      </c>
      <c r="I2399">
        <v>599</v>
      </c>
      <c r="J2399">
        <v>599</v>
      </c>
      <c r="K2399" t="s">
        <v>1102</v>
      </c>
      <c r="L2399">
        <v>1797</v>
      </c>
      <c r="M2399" t="s">
        <v>1098</v>
      </c>
      <c r="N2399" t="s">
        <v>1099</v>
      </c>
      <c r="O2399">
        <f>Table1[[#This Row],[Unit_Price]]*Table1[[#This Row],[Quantity]]</f>
        <v>360</v>
      </c>
    </row>
    <row r="2400" spans="1:15" x14ac:dyDescent="0.3">
      <c r="A2400" t="s">
        <v>4203</v>
      </c>
      <c r="B2400" t="s">
        <v>1805</v>
      </c>
      <c r="C2400" t="s">
        <v>975</v>
      </c>
      <c r="D2400" t="s">
        <v>1068</v>
      </c>
      <c r="E2400">
        <v>1</v>
      </c>
      <c r="F2400">
        <f>_xlfn.XLOOKUP(Table1[[#This Row],[ProductID]],Products!A:A,Products!D:D,,0)</f>
        <v>180</v>
      </c>
      <c r="I2400">
        <v>449</v>
      </c>
      <c r="J2400">
        <v>382</v>
      </c>
      <c r="K2400" t="s">
        <v>1092</v>
      </c>
      <c r="L2400">
        <v>382</v>
      </c>
      <c r="M2400" t="s">
        <v>1098</v>
      </c>
      <c r="N2400" t="s">
        <v>1099</v>
      </c>
      <c r="O2400">
        <f>Table1[[#This Row],[Unit_Price]]*Table1[[#This Row],[Quantity]]</f>
        <v>180</v>
      </c>
    </row>
    <row r="2401" spans="1:15" x14ac:dyDescent="0.3">
      <c r="A2401" t="s">
        <v>4204</v>
      </c>
      <c r="B2401" t="s">
        <v>1221</v>
      </c>
      <c r="C2401" t="s">
        <v>1017</v>
      </c>
      <c r="D2401" t="s">
        <v>1064</v>
      </c>
      <c r="E2401">
        <v>2</v>
      </c>
      <c r="F2401">
        <f>_xlfn.XLOOKUP(Table1[[#This Row],[ProductID]],Products!A:A,Products!D:D,,0)</f>
        <v>160</v>
      </c>
      <c r="I2401">
        <v>699</v>
      </c>
      <c r="J2401">
        <v>594</v>
      </c>
      <c r="K2401" t="s">
        <v>1092</v>
      </c>
      <c r="L2401">
        <v>1188</v>
      </c>
      <c r="M2401" t="s">
        <v>1093</v>
      </c>
      <c r="N2401" t="s">
        <v>1094</v>
      </c>
      <c r="O2401">
        <f>Table1[[#This Row],[Unit_Price]]*Table1[[#This Row],[Quantity]]</f>
        <v>320</v>
      </c>
    </row>
    <row r="2402" spans="1:15" x14ac:dyDescent="0.3">
      <c r="A2402" t="s">
        <v>4205</v>
      </c>
      <c r="B2402" t="s">
        <v>1933</v>
      </c>
      <c r="C2402" t="s">
        <v>683</v>
      </c>
      <c r="D2402" t="s">
        <v>1062</v>
      </c>
      <c r="E2402">
        <v>1</v>
      </c>
      <c r="F2402">
        <f>_xlfn.XLOOKUP(Table1[[#This Row],[ProductID]],Products!A:A,Products!D:D,,0)</f>
        <v>95</v>
      </c>
      <c r="I2402">
        <v>349</v>
      </c>
      <c r="J2402">
        <v>349</v>
      </c>
      <c r="K2402" t="s">
        <v>1102</v>
      </c>
      <c r="L2402">
        <v>349</v>
      </c>
      <c r="M2402" t="s">
        <v>1093</v>
      </c>
      <c r="N2402" t="s">
        <v>1094</v>
      </c>
      <c r="O2402">
        <f>Table1[[#This Row],[Unit_Price]]*Table1[[#This Row],[Quantity]]</f>
        <v>95</v>
      </c>
    </row>
    <row r="2403" spans="1:15" x14ac:dyDescent="0.3">
      <c r="A2403" t="s">
        <v>4206</v>
      </c>
      <c r="B2403" t="s">
        <v>1331</v>
      </c>
      <c r="C2403" t="s">
        <v>505</v>
      </c>
      <c r="D2403" t="s">
        <v>1062</v>
      </c>
      <c r="E2403">
        <v>1</v>
      </c>
      <c r="F2403">
        <f>_xlfn.XLOOKUP(Table1[[#This Row],[ProductID]],Products!A:A,Products!D:D,,0)</f>
        <v>95</v>
      </c>
      <c r="I2403">
        <v>349</v>
      </c>
      <c r="J2403">
        <v>349</v>
      </c>
      <c r="K2403" t="s">
        <v>1102</v>
      </c>
      <c r="L2403">
        <v>349</v>
      </c>
      <c r="M2403" t="s">
        <v>1098</v>
      </c>
      <c r="N2403" t="s">
        <v>1099</v>
      </c>
      <c r="O2403">
        <f>Table1[[#This Row],[Unit_Price]]*Table1[[#This Row],[Quantity]]</f>
        <v>95</v>
      </c>
    </row>
    <row r="2404" spans="1:15" x14ac:dyDescent="0.3">
      <c r="A2404" t="s">
        <v>4207</v>
      </c>
      <c r="B2404" t="s">
        <v>3437</v>
      </c>
      <c r="C2404" t="s">
        <v>355</v>
      </c>
      <c r="D2404" t="s">
        <v>1064</v>
      </c>
      <c r="E2404">
        <v>1</v>
      </c>
      <c r="F2404">
        <f>_xlfn.XLOOKUP(Table1[[#This Row],[ProductID]],Products!A:A,Products!D:D,,0)</f>
        <v>160</v>
      </c>
      <c r="I2404">
        <v>699</v>
      </c>
      <c r="J2404">
        <v>594</v>
      </c>
      <c r="K2404" t="s">
        <v>1092</v>
      </c>
      <c r="L2404">
        <v>594</v>
      </c>
      <c r="M2404" t="s">
        <v>1093</v>
      </c>
      <c r="N2404" t="s">
        <v>1094</v>
      </c>
      <c r="O2404">
        <f>Table1[[#This Row],[Unit_Price]]*Table1[[#This Row],[Quantity]]</f>
        <v>160</v>
      </c>
    </row>
    <row r="2405" spans="1:15" x14ac:dyDescent="0.3">
      <c r="A2405" t="s">
        <v>4208</v>
      </c>
      <c r="B2405" t="s">
        <v>2934</v>
      </c>
      <c r="C2405" t="s">
        <v>789</v>
      </c>
      <c r="D2405" t="s">
        <v>1053</v>
      </c>
      <c r="E2405">
        <v>1</v>
      </c>
      <c r="F2405">
        <f>_xlfn.XLOOKUP(Table1[[#This Row],[ProductID]],Products!A:A,Products!D:D,,0)</f>
        <v>200</v>
      </c>
      <c r="I2405">
        <v>899</v>
      </c>
      <c r="J2405">
        <v>899</v>
      </c>
      <c r="K2405" t="s">
        <v>1102</v>
      </c>
      <c r="L2405">
        <v>899</v>
      </c>
      <c r="M2405" t="s">
        <v>1098</v>
      </c>
      <c r="N2405" t="s">
        <v>1099</v>
      </c>
      <c r="O2405">
        <f>Table1[[#This Row],[Unit_Price]]*Table1[[#This Row],[Quantity]]</f>
        <v>200</v>
      </c>
    </row>
    <row r="2406" spans="1:15" x14ac:dyDescent="0.3">
      <c r="A2406" t="s">
        <v>4209</v>
      </c>
      <c r="B2406" t="s">
        <v>2549</v>
      </c>
      <c r="C2406" t="s">
        <v>997</v>
      </c>
      <c r="D2406" t="s">
        <v>1078</v>
      </c>
      <c r="E2406">
        <v>1</v>
      </c>
      <c r="F2406">
        <f>_xlfn.XLOOKUP(Table1[[#This Row],[ProductID]],Products!A:A,Products!D:D,,0)</f>
        <v>80</v>
      </c>
      <c r="I2406">
        <v>499</v>
      </c>
      <c r="J2406">
        <v>499</v>
      </c>
      <c r="K2406" t="s">
        <v>1102</v>
      </c>
      <c r="L2406">
        <v>499</v>
      </c>
      <c r="M2406" t="s">
        <v>1093</v>
      </c>
      <c r="N2406" t="s">
        <v>1099</v>
      </c>
      <c r="O2406">
        <f>Table1[[#This Row],[Unit_Price]]*Table1[[#This Row],[Quantity]]</f>
        <v>80</v>
      </c>
    </row>
    <row r="2407" spans="1:15" x14ac:dyDescent="0.3">
      <c r="A2407" t="s">
        <v>4210</v>
      </c>
      <c r="B2407" t="s">
        <v>1676</v>
      </c>
      <c r="C2407" t="s">
        <v>913</v>
      </c>
      <c r="D2407" t="s">
        <v>1078</v>
      </c>
      <c r="E2407">
        <v>3</v>
      </c>
      <c r="F2407">
        <f>_xlfn.XLOOKUP(Table1[[#This Row],[ProductID]],Products!A:A,Products!D:D,,0)</f>
        <v>80</v>
      </c>
      <c r="I2407">
        <v>499</v>
      </c>
      <c r="J2407">
        <v>449</v>
      </c>
      <c r="K2407" t="s">
        <v>1107</v>
      </c>
      <c r="L2407">
        <v>1347</v>
      </c>
      <c r="M2407" t="s">
        <v>1098</v>
      </c>
      <c r="N2407" t="s">
        <v>1099</v>
      </c>
      <c r="O2407">
        <f>Table1[[#This Row],[Unit_Price]]*Table1[[#This Row],[Quantity]]</f>
        <v>240</v>
      </c>
    </row>
    <row r="2408" spans="1:15" x14ac:dyDescent="0.3">
      <c r="A2408" t="s">
        <v>4211</v>
      </c>
      <c r="B2408" t="s">
        <v>1156</v>
      </c>
      <c r="C2408" t="s">
        <v>293</v>
      </c>
      <c r="D2408" t="s">
        <v>1053</v>
      </c>
      <c r="E2408">
        <v>1</v>
      </c>
      <c r="F2408">
        <f>_xlfn.XLOOKUP(Table1[[#This Row],[ProductID]],Products!A:A,Products!D:D,,0)</f>
        <v>200</v>
      </c>
      <c r="I2408">
        <v>899</v>
      </c>
      <c r="J2408">
        <v>809</v>
      </c>
      <c r="K2408" t="s">
        <v>1107</v>
      </c>
      <c r="L2408">
        <v>809</v>
      </c>
      <c r="M2408" t="s">
        <v>1093</v>
      </c>
      <c r="N2408" t="s">
        <v>1094</v>
      </c>
      <c r="O2408">
        <f>Table1[[#This Row],[Unit_Price]]*Table1[[#This Row],[Quantity]]</f>
        <v>200</v>
      </c>
    </row>
    <row r="2409" spans="1:15" x14ac:dyDescent="0.3">
      <c r="A2409" t="s">
        <v>4212</v>
      </c>
      <c r="B2409" t="s">
        <v>2180</v>
      </c>
      <c r="C2409" t="s">
        <v>331</v>
      </c>
      <c r="D2409" t="s">
        <v>1059</v>
      </c>
      <c r="E2409">
        <v>1</v>
      </c>
      <c r="F2409">
        <f>_xlfn.XLOOKUP(Table1[[#This Row],[ProductID]],Products!A:A,Products!D:D,,0)</f>
        <v>110</v>
      </c>
      <c r="I2409">
        <v>399</v>
      </c>
      <c r="J2409">
        <v>359</v>
      </c>
      <c r="K2409" t="s">
        <v>1107</v>
      </c>
      <c r="L2409">
        <v>359</v>
      </c>
      <c r="M2409" t="s">
        <v>1093</v>
      </c>
      <c r="N2409" t="s">
        <v>1094</v>
      </c>
      <c r="O2409">
        <f>Table1[[#This Row],[Unit_Price]]*Table1[[#This Row],[Quantity]]</f>
        <v>110</v>
      </c>
    </row>
    <row r="2410" spans="1:15" x14ac:dyDescent="0.3">
      <c r="A2410" t="s">
        <v>4213</v>
      </c>
      <c r="B2410" t="s">
        <v>1662</v>
      </c>
      <c r="C2410" t="s">
        <v>393</v>
      </c>
      <c r="D2410" t="s">
        <v>1075</v>
      </c>
      <c r="E2410">
        <v>2</v>
      </c>
      <c r="F2410">
        <f>_xlfn.XLOOKUP(Table1[[#This Row],[ProductID]],Products!A:A,Products!D:D,,0)</f>
        <v>80</v>
      </c>
      <c r="I2410">
        <v>499</v>
      </c>
      <c r="J2410">
        <v>499</v>
      </c>
      <c r="K2410" t="s">
        <v>1102</v>
      </c>
      <c r="L2410">
        <v>998</v>
      </c>
      <c r="M2410" t="s">
        <v>1093</v>
      </c>
      <c r="N2410" t="s">
        <v>1099</v>
      </c>
      <c r="O2410">
        <f>Table1[[#This Row],[Unit_Price]]*Table1[[#This Row],[Quantity]]</f>
        <v>160</v>
      </c>
    </row>
    <row r="2411" spans="1:15" x14ac:dyDescent="0.3">
      <c r="A2411" t="s">
        <v>4214</v>
      </c>
      <c r="B2411" t="s">
        <v>1300</v>
      </c>
      <c r="C2411" t="s">
        <v>549</v>
      </c>
      <c r="D2411" t="s">
        <v>1055</v>
      </c>
      <c r="E2411">
        <v>1</v>
      </c>
      <c r="F2411">
        <f>_xlfn.XLOOKUP(Table1[[#This Row],[ProductID]],Products!A:A,Products!D:D,,0)</f>
        <v>75</v>
      </c>
      <c r="I2411">
        <v>299</v>
      </c>
      <c r="J2411">
        <v>299</v>
      </c>
      <c r="K2411" t="s">
        <v>1102</v>
      </c>
      <c r="L2411">
        <v>299</v>
      </c>
      <c r="M2411" t="s">
        <v>1098</v>
      </c>
      <c r="N2411" t="s">
        <v>1099</v>
      </c>
      <c r="O2411">
        <f>Table1[[#This Row],[Unit_Price]]*Table1[[#This Row],[Quantity]]</f>
        <v>75</v>
      </c>
    </row>
    <row r="2412" spans="1:15" x14ac:dyDescent="0.3">
      <c r="A2412" t="s">
        <v>4215</v>
      </c>
      <c r="B2412" t="s">
        <v>2481</v>
      </c>
      <c r="C2412" t="s">
        <v>118</v>
      </c>
      <c r="D2412" t="s">
        <v>1078</v>
      </c>
      <c r="E2412">
        <v>1</v>
      </c>
      <c r="F2412">
        <f>_xlfn.XLOOKUP(Table1[[#This Row],[ProductID]],Products!A:A,Products!D:D,,0)</f>
        <v>80</v>
      </c>
      <c r="I2412">
        <v>499</v>
      </c>
      <c r="J2412">
        <v>449</v>
      </c>
      <c r="K2412" t="s">
        <v>1107</v>
      </c>
      <c r="L2412">
        <v>449</v>
      </c>
      <c r="M2412" t="s">
        <v>1093</v>
      </c>
      <c r="N2412" t="s">
        <v>1099</v>
      </c>
      <c r="O2412">
        <f>Table1[[#This Row],[Unit_Price]]*Table1[[#This Row],[Quantity]]</f>
        <v>80</v>
      </c>
    </row>
    <row r="2413" spans="1:15" x14ac:dyDescent="0.3">
      <c r="A2413" t="s">
        <v>4216</v>
      </c>
      <c r="B2413" t="s">
        <v>1250</v>
      </c>
      <c r="C2413" t="s">
        <v>701</v>
      </c>
      <c r="D2413" t="s">
        <v>1078</v>
      </c>
      <c r="E2413">
        <v>1</v>
      </c>
      <c r="F2413">
        <f>_xlfn.XLOOKUP(Table1[[#This Row],[ProductID]],Products!A:A,Products!D:D,,0)</f>
        <v>80</v>
      </c>
      <c r="I2413">
        <v>499</v>
      </c>
      <c r="J2413">
        <v>424</v>
      </c>
      <c r="K2413" t="s">
        <v>1092</v>
      </c>
      <c r="L2413">
        <v>424</v>
      </c>
      <c r="M2413" t="s">
        <v>1093</v>
      </c>
      <c r="N2413" t="s">
        <v>1099</v>
      </c>
      <c r="O2413">
        <f>Table1[[#This Row],[Unit_Price]]*Table1[[#This Row],[Quantity]]</f>
        <v>80</v>
      </c>
    </row>
    <row r="2414" spans="1:15" x14ac:dyDescent="0.3">
      <c r="A2414" t="s">
        <v>4217</v>
      </c>
      <c r="B2414" t="s">
        <v>2645</v>
      </c>
      <c r="C2414" t="s">
        <v>317</v>
      </c>
      <c r="D2414" t="s">
        <v>1071</v>
      </c>
      <c r="E2414">
        <v>1</v>
      </c>
      <c r="F2414">
        <f>_xlfn.XLOOKUP(Table1[[#This Row],[ProductID]],Products!A:A,Products!D:D,,0)</f>
        <v>125</v>
      </c>
      <c r="I2414">
        <v>399</v>
      </c>
      <c r="J2414">
        <v>339</v>
      </c>
      <c r="K2414" t="s">
        <v>1092</v>
      </c>
      <c r="L2414">
        <v>339</v>
      </c>
      <c r="M2414" t="s">
        <v>1093</v>
      </c>
      <c r="N2414" t="s">
        <v>1094</v>
      </c>
      <c r="O2414">
        <f>Table1[[#This Row],[Unit_Price]]*Table1[[#This Row],[Quantity]]</f>
        <v>125</v>
      </c>
    </row>
    <row r="2415" spans="1:15" x14ac:dyDescent="0.3">
      <c r="A2415" t="s">
        <v>4218</v>
      </c>
      <c r="B2415" t="s">
        <v>2413</v>
      </c>
      <c r="C2415" t="s">
        <v>132</v>
      </c>
      <c r="D2415" t="s">
        <v>1059</v>
      </c>
      <c r="E2415">
        <v>3</v>
      </c>
      <c r="F2415">
        <f>_xlfn.XLOOKUP(Table1[[#This Row],[ProductID]],Products!A:A,Products!D:D,,0)</f>
        <v>110</v>
      </c>
      <c r="I2415">
        <v>399</v>
      </c>
      <c r="J2415">
        <v>319</v>
      </c>
      <c r="K2415" t="s">
        <v>1097</v>
      </c>
      <c r="L2415">
        <v>957</v>
      </c>
      <c r="M2415" t="s">
        <v>1126</v>
      </c>
      <c r="N2415" t="s">
        <v>1099</v>
      </c>
      <c r="O2415">
        <f>Table1[[#This Row],[Unit_Price]]*Table1[[#This Row],[Quantity]]</f>
        <v>330</v>
      </c>
    </row>
    <row r="2416" spans="1:15" x14ac:dyDescent="0.3">
      <c r="A2416" t="s">
        <v>4219</v>
      </c>
      <c r="B2416" t="s">
        <v>1465</v>
      </c>
      <c r="C2416" t="s">
        <v>519</v>
      </c>
      <c r="D2416" t="s">
        <v>1066</v>
      </c>
      <c r="E2416">
        <v>2</v>
      </c>
      <c r="F2416">
        <f>_xlfn.XLOOKUP(Table1[[#This Row],[ProductID]],Products!A:A,Products!D:D,,0)</f>
        <v>140</v>
      </c>
      <c r="I2416">
        <v>499</v>
      </c>
      <c r="J2416">
        <v>424</v>
      </c>
      <c r="K2416" t="s">
        <v>1092</v>
      </c>
      <c r="L2416">
        <v>848</v>
      </c>
      <c r="M2416" t="s">
        <v>1093</v>
      </c>
      <c r="N2416" t="s">
        <v>1094</v>
      </c>
      <c r="O2416">
        <f>Table1[[#This Row],[Unit_Price]]*Table1[[#This Row],[Quantity]]</f>
        <v>280</v>
      </c>
    </row>
    <row r="2417" spans="1:15" x14ac:dyDescent="0.3">
      <c r="A2417" t="s">
        <v>4220</v>
      </c>
      <c r="B2417" t="s">
        <v>1549</v>
      </c>
      <c r="C2417" t="s">
        <v>173</v>
      </c>
      <c r="D2417" t="s">
        <v>1059</v>
      </c>
      <c r="E2417">
        <v>2</v>
      </c>
      <c r="F2417">
        <f>_xlfn.XLOOKUP(Table1[[#This Row],[ProductID]],Products!A:A,Products!D:D,,0)</f>
        <v>110</v>
      </c>
      <c r="I2417">
        <v>399</v>
      </c>
      <c r="J2417">
        <v>359</v>
      </c>
      <c r="K2417" t="s">
        <v>1107</v>
      </c>
      <c r="L2417">
        <v>718</v>
      </c>
      <c r="M2417" t="s">
        <v>1098</v>
      </c>
      <c r="N2417" t="s">
        <v>1099</v>
      </c>
      <c r="O2417">
        <f>Table1[[#This Row],[Unit_Price]]*Table1[[#This Row],[Quantity]]</f>
        <v>220</v>
      </c>
    </row>
    <row r="2418" spans="1:15" x14ac:dyDescent="0.3">
      <c r="A2418" t="s">
        <v>4221</v>
      </c>
      <c r="B2418" t="s">
        <v>4222</v>
      </c>
      <c r="C2418" t="s">
        <v>369</v>
      </c>
      <c r="D2418" t="s">
        <v>1064</v>
      </c>
      <c r="E2418">
        <v>1</v>
      </c>
      <c r="F2418">
        <f>_xlfn.XLOOKUP(Table1[[#This Row],[ProductID]],Products!A:A,Products!D:D,,0)</f>
        <v>160</v>
      </c>
      <c r="I2418">
        <v>699</v>
      </c>
      <c r="J2418">
        <v>629</v>
      </c>
      <c r="K2418" t="s">
        <v>1107</v>
      </c>
      <c r="L2418">
        <v>629</v>
      </c>
      <c r="M2418" t="s">
        <v>1098</v>
      </c>
      <c r="N2418" t="s">
        <v>1099</v>
      </c>
      <c r="O2418">
        <f>Table1[[#This Row],[Unit_Price]]*Table1[[#This Row],[Quantity]]</f>
        <v>160</v>
      </c>
    </row>
    <row r="2419" spans="1:15" x14ac:dyDescent="0.3">
      <c r="A2419" t="s">
        <v>4223</v>
      </c>
      <c r="B2419" t="s">
        <v>2847</v>
      </c>
      <c r="C2419" t="s">
        <v>167</v>
      </c>
      <c r="D2419" t="s">
        <v>1078</v>
      </c>
      <c r="E2419">
        <v>1</v>
      </c>
      <c r="F2419">
        <f>_xlfn.XLOOKUP(Table1[[#This Row],[ProductID]],Products!A:A,Products!D:D,,0)</f>
        <v>80</v>
      </c>
      <c r="I2419">
        <v>499</v>
      </c>
      <c r="J2419">
        <v>499</v>
      </c>
      <c r="K2419" t="s">
        <v>1102</v>
      </c>
      <c r="L2419">
        <v>499</v>
      </c>
      <c r="M2419" t="s">
        <v>1098</v>
      </c>
      <c r="N2419" t="s">
        <v>1099</v>
      </c>
      <c r="O2419">
        <f>Table1[[#This Row],[Unit_Price]]*Table1[[#This Row],[Quantity]]</f>
        <v>80</v>
      </c>
    </row>
    <row r="2420" spans="1:15" x14ac:dyDescent="0.3">
      <c r="A2420" t="s">
        <v>4224</v>
      </c>
      <c r="B2420" t="s">
        <v>2581</v>
      </c>
      <c r="C2420" t="s">
        <v>913</v>
      </c>
      <c r="D2420" t="s">
        <v>1048</v>
      </c>
      <c r="E2420">
        <v>1</v>
      </c>
      <c r="F2420">
        <f>_xlfn.XLOOKUP(Table1[[#This Row],[ProductID]],Products!A:A,Products!D:D,,0)</f>
        <v>120</v>
      </c>
      <c r="I2420">
        <v>599</v>
      </c>
      <c r="J2420">
        <v>479</v>
      </c>
      <c r="K2420" t="s">
        <v>1097</v>
      </c>
      <c r="L2420">
        <v>479</v>
      </c>
      <c r="M2420" t="s">
        <v>1093</v>
      </c>
      <c r="N2420" t="s">
        <v>1094</v>
      </c>
      <c r="O2420">
        <f>Table1[[#This Row],[Unit_Price]]*Table1[[#This Row],[Quantity]]</f>
        <v>120</v>
      </c>
    </row>
    <row r="2421" spans="1:15" x14ac:dyDescent="0.3">
      <c r="A2421" t="s">
        <v>4225</v>
      </c>
      <c r="B2421" t="s">
        <v>1696</v>
      </c>
      <c r="C2421" t="s">
        <v>527</v>
      </c>
      <c r="D2421" t="s">
        <v>1071</v>
      </c>
      <c r="E2421">
        <v>2</v>
      </c>
      <c r="F2421">
        <f>_xlfn.XLOOKUP(Table1[[#This Row],[ProductID]],Products!A:A,Products!D:D,,0)</f>
        <v>125</v>
      </c>
      <c r="I2421">
        <v>399</v>
      </c>
      <c r="J2421">
        <v>399</v>
      </c>
      <c r="K2421" t="s">
        <v>1102</v>
      </c>
      <c r="L2421">
        <v>798</v>
      </c>
      <c r="M2421" t="s">
        <v>1126</v>
      </c>
      <c r="N2421" t="s">
        <v>1123</v>
      </c>
      <c r="O2421">
        <f>Table1[[#This Row],[Unit_Price]]*Table1[[#This Row],[Quantity]]</f>
        <v>250</v>
      </c>
    </row>
    <row r="2422" spans="1:15" x14ac:dyDescent="0.3">
      <c r="A2422" t="s">
        <v>4226</v>
      </c>
      <c r="B2422" t="s">
        <v>1738</v>
      </c>
      <c r="C2422" t="s">
        <v>345</v>
      </c>
      <c r="D2422" t="s">
        <v>1055</v>
      </c>
      <c r="E2422">
        <v>1</v>
      </c>
      <c r="F2422">
        <f>_xlfn.XLOOKUP(Table1[[#This Row],[ProductID]],Products!A:A,Products!D:D,,0)</f>
        <v>75</v>
      </c>
      <c r="I2422">
        <v>299</v>
      </c>
      <c r="J2422">
        <v>269</v>
      </c>
      <c r="K2422" t="s">
        <v>1107</v>
      </c>
      <c r="L2422">
        <v>269</v>
      </c>
      <c r="M2422" t="s">
        <v>1093</v>
      </c>
      <c r="N2422" t="s">
        <v>1099</v>
      </c>
      <c r="O2422">
        <f>Table1[[#This Row],[Unit_Price]]*Table1[[#This Row],[Quantity]]</f>
        <v>75</v>
      </c>
    </row>
    <row r="2423" spans="1:15" x14ac:dyDescent="0.3">
      <c r="A2423" t="s">
        <v>4227</v>
      </c>
      <c r="B2423" t="s">
        <v>3589</v>
      </c>
      <c r="C2423" t="s">
        <v>781</v>
      </c>
      <c r="D2423" t="s">
        <v>1066</v>
      </c>
      <c r="E2423">
        <v>2</v>
      </c>
      <c r="F2423">
        <f>_xlfn.XLOOKUP(Table1[[#This Row],[ProductID]],Products!A:A,Products!D:D,,0)</f>
        <v>140</v>
      </c>
      <c r="I2423">
        <v>499</v>
      </c>
      <c r="J2423">
        <v>499</v>
      </c>
      <c r="K2423" t="s">
        <v>1102</v>
      </c>
      <c r="L2423">
        <v>998</v>
      </c>
      <c r="M2423" t="s">
        <v>1098</v>
      </c>
      <c r="N2423" t="s">
        <v>1099</v>
      </c>
      <c r="O2423">
        <f>Table1[[#This Row],[Unit_Price]]*Table1[[#This Row],[Quantity]]</f>
        <v>280</v>
      </c>
    </row>
    <row r="2424" spans="1:15" x14ac:dyDescent="0.3">
      <c r="A2424" t="s">
        <v>4228</v>
      </c>
      <c r="B2424" t="s">
        <v>1824</v>
      </c>
      <c r="C2424" t="s">
        <v>967</v>
      </c>
      <c r="D2424" t="s">
        <v>1078</v>
      </c>
      <c r="E2424">
        <v>1</v>
      </c>
      <c r="F2424">
        <f>_xlfn.XLOOKUP(Table1[[#This Row],[ProductID]],Products!A:A,Products!D:D,,0)</f>
        <v>80</v>
      </c>
      <c r="I2424">
        <v>499</v>
      </c>
      <c r="J2424">
        <v>424</v>
      </c>
      <c r="K2424" t="s">
        <v>1092</v>
      </c>
      <c r="L2424">
        <v>424</v>
      </c>
      <c r="M2424" t="s">
        <v>1098</v>
      </c>
      <c r="N2424" t="s">
        <v>1099</v>
      </c>
      <c r="O2424">
        <f>Table1[[#This Row],[Unit_Price]]*Table1[[#This Row],[Quantity]]</f>
        <v>80</v>
      </c>
    </row>
    <row r="2425" spans="1:15" x14ac:dyDescent="0.3">
      <c r="A2425" t="s">
        <v>4229</v>
      </c>
      <c r="B2425" t="s">
        <v>1692</v>
      </c>
      <c r="C2425" t="s">
        <v>567</v>
      </c>
      <c r="D2425" t="s">
        <v>1057</v>
      </c>
      <c r="E2425">
        <v>4</v>
      </c>
      <c r="F2425">
        <f>_xlfn.XLOOKUP(Table1[[#This Row],[ProductID]],Products!A:A,Products!D:D,,0)</f>
        <v>130</v>
      </c>
      <c r="I2425">
        <v>549</v>
      </c>
      <c r="J2425">
        <v>439</v>
      </c>
      <c r="K2425" t="s">
        <v>1097</v>
      </c>
      <c r="L2425">
        <v>1756</v>
      </c>
      <c r="M2425" t="s">
        <v>1098</v>
      </c>
      <c r="N2425" t="s">
        <v>1099</v>
      </c>
      <c r="O2425">
        <f>Table1[[#This Row],[Unit_Price]]*Table1[[#This Row],[Quantity]]</f>
        <v>520</v>
      </c>
    </row>
    <row r="2426" spans="1:15" x14ac:dyDescent="0.3">
      <c r="A2426" t="s">
        <v>4230</v>
      </c>
      <c r="B2426" t="s">
        <v>2882</v>
      </c>
      <c r="C2426" t="s">
        <v>563</v>
      </c>
      <c r="D2426" t="s">
        <v>1064</v>
      </c>
      <c r="E2426">
        <v>1</v>
      </c>
      <c r="F2426">
        <f>_xlfn.XLOOKUP(Table1[[#This Row],[ProductID]],Products!A:A,Products!D:D,,0)</f>
        <v>160</v>
      </c>
      <c r="I2426">
        <v>699</v>
      </c>
      <c r="J2426">
        <v>594</v>
      </c>
      <c r="K2426" t="s">
        <v>1092</v>
      </c>
      <c r="L2426">
        <v>594</v>
      </c>
      <c r="M2426" t="s">
        <v>1093</v>
      </c>
      <c r="N2426" t="s">
        <v>1094</v>
      </c>
      <c r="O2426">
        <f>Table1[[#This Row],[Unit_Price]]*Table1[[#This Row],[Quantity]]</f>
        <v>160</v>
      </c>
    </row>
    <row r="2427" spans="1:15" x14ac:dyDescent="0.3">
      <c r="A2427" t="s">
        <v>4231</v>
      </c>
      <c r="B2427" t="s">
        <v>2187</v>
      </c>
      <c r="C2427" t="s">
        <v>1011</v>
      </c>
      <c r="D2427" t="s">
        <v>1071</v>
      </c>
      <c r="E2427">
        <v>1</v>
      </c>
      <c r="F2427">
        <f>_xlfn.XLOOKUP(Table1[[#This Row],[ProductID]],Products!A:A,Products!D:D,,0)</f>
        <v>125</v>
      </c>
      <c r="I2427">
        <v>399</v>
      </c>
      <c r="J2427">
        <v>399</v>
      </c>
      <c r="K2427" t="s">
        <v>1102</v>
      </c>
      <c r="L2427">
        <v>399</v>
      </c>
      <c r="M2427" t="s">
        <v>1098</v>
      </c>
      <c r="N2427" t="s">
        <v>1099</v>
      </c>
      <c r="O2427">
        <f>Table1[[#This Row],[Unit_Price]]*Table1[[#This Row],[Quantity]]</f>
        <v>125</v>
      </c>
    </row>
    <row r="2428" spans="1:15" x14ac:dyDescent="0.3">
      <c r="A2428" t="s">
        <v>4232</v>
      </c>
      <c r="B2428" t="s">
        <v>2102</v>
      </c>
      <c r="C2428" t="s">
        <v>497</v>
      </c>
      <c r="D2428" t="s">
        <v>1078</v>
      </c>
      <c r="E2428">
        <v>2</v>
      </c>
      <c r="F2428">
        <f>_xlfn.XLOOKUP(Table1[[#This Row],[ProductID]],Products!A:A,Products!D:D,,0)</f>
        <v>80</v>
      </c>
      <c r="I2428">
        <v>499</v>
      </c>
      <c r="J2428">
        <v>424</v>
      </c>
      <c r="K2428" t="s">
        <v>1092</v>
      </c>
      <c r="L2428">
        <v>848</v>
      </c>
      <c r="M2428" t="s">
        <v>1093</v>
      </c>
      <c r="N2428" t="s">
        <v>1099</v>
      </c>
      <c r="O2428">
        <f>Table1[[#This Row],[Unit_Price]]*Table1[[#This Row],[Quantity]]</f>
        <v>160</v>
      </c>
    </row>
    <row r="2429" spans="1:15" x14ac:dyDescent="0.3">
      <c r="A2429" t="s">
        <v>4233</v>
      </c>
      <c r="B2429" t="s">
        <v>2070</v>
      </c>
      <c r="C2429" t="s">
        <v>659</v>
      </c>
      <c r="D2429" t="s">
        <v>1048</v>
      </c>
      <c r="E2429">
        <v>1</v>
      </c>
      <c r="F2429">
        <f>_xlfn.XLOOKUP(Table1[[#This Row],[ProductID]],Products!A:A,Products!D:D,,0)</f>
        <v>120</v>
      </c>
      <c r="I2429">
        <v>599</v>
      </c>
      <c r="J2429">
        <v>509</v>
      </c>
      <c r="K2429" t="s">
        <v>1092</v>
      </c>
      <c r="L2429">
        <v>509</v>
      </c>
      <c r="M2429" t="s">
        <v>1126</v>
      </c>
      <c r="N2429" t="s">
        <v>1099</v>
      </c>
      <c r="O2429">
        <f>Table1[[#This Row],[Unit_Price]]*Table1[[#This Row],[Quantity]]</f>
        <v>120</v>
      </c>
    </row>
    <row r="2430" spans="1:15" x14ac:dyDescent="0.3">
      <c r="A2430" t="s">
        <v>4234</v>
      </c>
      <c r="B2430" t="s">
        <v>1799</v>
      </c>
      <c r="C2430" t="s">
        <v>995</v>
      </c>
      <c r="D2430" t="s">
        <v>1073</v>
      </c>
      <c r="E2430">
        <v>1</v>
      </c>
      <c r="F2430">
        <f>_xlfn.XLOOKUP(Table1[[#This Row],[ProductID]],Products!A:A,Products!D:D,,0)</f>
        <v>100</v>
      </c>
      <c r="I2430">
        <v>349</v>
      </c>
      <c r="J2430">
        <v>297</v>
      </c>
      <c r="K2430" t="s">
        <v>1092</v>
      </c>
      <c r="L2430">
        <v>297</v>
      </c>
      <c r="M2430" t="s">
        <v>1126</v>
      </c>
      <c r="N2430" t="s">
        <v>1099</v>
      </c>
      <c r="O2430">
        <f>Table1[[#This Row],[Unit_Price]]*Table1[[#This Row],[Quantity]]</f>
        <v>100</v>
      </c>
    </row>
    <row r="2431" spans="1:15" x14ac:dyDescent="0.3">
      <c r="A2431" t="s">
        <v>4235</v>
      </c>
      <c r="B2431" t="s">
        <v>1170</v>
      </c>
      <c r="C2431" t="s">
        <v>287</v>
      </c>
      <c r="D2431" t="s">
        <v>1071</v>
      </c>
      <c r="E2431">
        <v>4</v>
      </c>
      <c r="F2431">
        <f>_xlfn.XLOOKUP(Table1[[#This Row],[ProductID]],Products!A:A,Products!D:D,,0)</f>
        <v>125</v>
      </c>
      <c r="I2431">
        <v>399</v>
      </c>
      <c r="J2431">
        <v>319</v>
      </c>
      <c r="K2431" t="s">
        <v>1097</v>
      </c>
      <c r="L2431">
        <v>1276</v>
      </c>
      <c r="M2431" t="s">
        <v>1098</v>
      </c>
      <c r="N2431" t="s">
        <v>1099</v>
      </c>
      <c r="O2431">
        <f>Table1[[#This Row],[Unit_Price]]*Table1[[#This Row],[Quantity]]</f>
        <v>500</v>
      </c>
    </row>
    <row r="2432" spans="1:15" x14ac:dyDescent="0.3">
      <c r="A2432" t="s">
        <v>4236</v>
      </c>
      <c r="B2432" t="s">
        <v>3135</v>
      </c>
      <c r="C2432" t="s">
        <v>637</v>
      </c>
      <c r="D2432" t="s">
        <v>1048</v>
      </c>
      <c r="E2432">
        <v>1</v>
      </c>
      <c r="F2432">
        <f>_xlfn.XLOOKUP(Table1[[#This Row],[ProductID]],Products!A:A,Products!D:D,,0)</f>
        <v>120</v>
      </c>
      <c r="I2432">
        <v>599</v>
      </c>
      <c r="J2432">
        <v>599</v>
      </c>
      <c r="K2432" t="s">
        <v>1102</v>
      </c>
      <c r="L2432">
        <v>599</v>
      </c>
      <c r="M2432" t="s">
        <v>1098</v>
      </c>
      <c r="N2432" t="s">
        <v>1099</v>
      </c>
      <c r="O2432">
        <f>Table1[[#This Row],[Unit_Price]]*Table1[[#This Row],[Quantity]]</f>
        <v>120</v>
      </c>
    </row>
    <row r="2433" spans="1:15" x14ac:dyDescent="0.3">
      <c r="A2433" t="s">
        <v>4237</v>
      </c>
      <c r="B2433" t="s">
        <v>1278</v>
      </c>
      <c r="C2433" t="s">
        <v>813</v>
      </c>
      <c r="D2433" t="s">
        <v>1075</v>
      </c>
      <c r="E2433">
        <v>1</v>
      </c>
      <c r="F2433">
        <f>_xlfn.XLOOKUP(Table1[[#This Row],[ProductID]],Products!A:A,Products!D:D,,0)</f>
        <v>80</v>
      </c>
      <c r="I2433">
        <v>499</v>
      </c>
      <c r="J2433">
        <v>499</v>
      </c>
      <c r="K2433" t="s">
        <v>1102</v>
      </c>
      <c r="L2433">
        <v>499</v>
      </c>
      <c r="M2433" t="s">
        <v>1093</v>
      </c>
      <c r="N2433" t="s">
        <v>1099</v>
      </c>
      <c r="O2433">
        <f>Table1[[#This Row],[Unit_Price]]*Table1[[#This Row],[Quantity]]</f>
        <v>80</v>
      </c>
    </row>
    <row r="2434" spans="1:15" x14ac:dyDescent="0.3">
      <c r="A2434" t="s">
        <v>4238</v>
      </c>
      <c r="B2434" t="s">
        <v>2924</v>
      </c>
      <c r="C2434" t="s">
        <v>158</v>
      </c>
      <c r="D2434" t="s">
        <v>1068</v>
      </c>
      <c r="E2434">
        <v>2</v>
      </c>
      <c r="F2434">
        <f>_xlfn.XLOOKUP(Table1[[#This Row],[ProductID]],Products!A:A,Products!D:D,,0)</f>
        <v>180</v>
      </c>
      <c r="I2434">
        <v>449</v>
      </c>
      <c r="J2434">
        <v>359</v>
      </c>
      <c r="K2434" t="s">
        <v>1097</v>
      </c>
      <c r="L2434">
        <v>718</v>
      </c>
      <c r="M2434" t="s">
        <v>1093</v>
      </c>
      <c r="N2434" t="s">
        <v>1099</v>
      </c>
      <c r="O2434">
        <f>Table1[[#This Row],[Unit_Price]]*Table1[[#This Row],[Quantity]]</f>
        <v>360</v>
      </c>
    </row>
    <row r="2435" spans="1:15" x14ac:dyDescent="0.3">
      <c r="A2435" t="s">
        <v>4239</v>
      </c>
      <c r="B2435" t="s">
        <v>1404</v>
      </c>
      <c r="C2435" t="s">
        <v>397</v>
      </c>
      <c r="D2435" t="s">
        <v>1064</v>
      </c>
      <c r="E2435">
        <v>2</v>
      </c>
      <c r="F2435">
        <f>_xlfn.XLOOKUP(Table1[[#This Row],[ProductID]],Products!A:A,Products!D:D,,0)</f>
        <v>160</v>
      </c>
      <c r="I2435">
        <v>699</v>
      </c>
      <c r="J2435">
        <v>559</v>
      </c>
      <c r="K2435" t="s">
        <v>1097</v>
      </c>
      <c r="L2435">
        <v>1118</v>
      </c>
      <c r="M2435" t="s">
        <v>1098</v>
      </c>
      <c r="N2435" t="s">
        <v>1099</v>
      </c>
      <c r="O2435">
        <f>Table1[[#This Row],[Unit_Price]]*Table1[[#This Row],[Quantity]]</f>
        <v>320</v>
      </c>
    </row>
    <row r="2436" spans="1:15" x14ac:dyDescent="0.3">
      <c r="A2436" t="s">
        <v>4240</v>
      </c>
      <c r="B2436" t="s">
        <v>3272</v>
      </c>
      <c r="C2436" t="s">
        <v>593</v>
      </c>
      <c r="D2436" t="s">
        <v>1080</v>
      </c>
      <c r="E2436">
        <v>1</v>
      </c>
      <c r="F2436">
        <f>_xlfn.XLOOKUP(Table1[[#This Row],[ProductID]],Products!A:A,Products!D:D,,0)</f>
        <v>45</v>
      </c>
      <c r="I2436">
        <v>249</v>
      </c>
      <c r="J2436">
        <v>249</v>
      </c>
      <c r="K2436" t="s">
        <v>1102</v>
      </c>
      <c r="L2436">
        <v>249</v>
      </c>
      <c r="M2436" t="s">
        <v>1093</v>
      </c>
      <c r="N2436" t="s">
        <v>1094</v>
      </c>
      <c r="O2436">
        <f>Table1[[#This Row],[Unit_Price]]*Table1[[#This Row],[Quantity]]</f>
        <v>45</v>
      </c>
    </row>
    <row r="2437" spans="1:15" x14ac:dyDescent="0.3">
      <c r="A2437" t="s">
        <v>4241</v>
      </c>
      <c r="B2437" t="s">
        <v>2148</v>
      </c>
      <c r="C2437" t="s">
        <v>885</v>
      </c>
      <c r="D2437" t="s">
        <v>1080</v>
      </c>
      <c r="E2437">
        <v>2</v>
      </c>
      <c r="F2437">
        <f>_xlfn.XLOOKUP(Table1[[#This Row],[ProductID]],Products!A:A,Products!D:D,,0)</f>
        <v>45</v>
      </c>
      <c r="I2437">
        <v>249</v>
      </c>
      <c r="J2437">
        <v>212</v>
      </c>
      <c r="K2437" t="s">
        <v>1092</v>
      </c>
      <c r="L2437">
        <v>424</v>
      </c>
      <c r="M2437" t="s">
        <v>1093</v>
      </c>
      <c r="N2437" t="s">
        <v>1099</v>
      </c>
      <c r="O2437">
        <f>Table1[[#This Row],[Unit_Price]]*Table1[[#This Row],[Quantity]]</f>
        <v>90</v>
      </c>
    </row>
    <row r="2438" spans="1:15" x14ac:dyDescent="0.3">
      <c r="A2438" t="s">
        <v>4242</v>
      </c>
      <c r="B2438" t="s">
        <v>1553</v>
      </c>
      <c r="C2438" t="s">
        <v>597</v>
      </c>
      <c r="D2438" t="s">
        <v>1071</v>
      </c>
      <c r="E2438">
        <v>1</v>
      </c>
      <c r="F2438">
        <f>_xlfn.XLOOKUP(Table1[[#This Row],[ProductID]],Products!A:A,Products!D:D,,0)</f>
        <v>125</v>
      </c>
      <c r="I2438">
        <v>399</v>
      </c>
      <c r="J2438">
        <v>399</v>
      </c>
      <c r="K2438" t="s">
        <v>1102</v>
      </c>
      <c r="L2438">
        <v>399</v>
      </c>
      <c r="M2438" t="s">
        <v>1098</v>
      </c>
      <c r="N2438" t="s">
        <v>1099</v>
      </c>
      <c r="O2438">
        <f>Table1[[#This Row],[Unit_Price]]*Table1[[#This Row],[Quantity]]</f>
        <v>125</v>
      </c>
    </row>
    <row r="2439" spans="1:15" x14ac:dyDescent="0.3">
      <c r="A2439" t="s">
        <v>4243</v>
      </c>
      <c r="B2439" t="s">
        <v>2072</v>
      </c>
      <c r="C2439" t="s">
        <v>387</v>
      </c>
      <c r="D2439" t="s">
        <v>1053</v>
      </c>
      <c r="E2439">
        <v>2</v>
      </c>
      <c r="F2439">
        <f>_xlfn.XLOOKUP(Table1[[#This Row],[ProductID]],Products!A:A,Products!D:D,,0)</f>
        <v>200</v>
      </c>
      <c r="I2439">
        <v>899</v>
      </c>
      <c r="J2439">
        <v>899</v>
      </c>
      <c r="K2439" t="s">
        <v>1102</v>
      </c>
      <c r="L2439">
        <v>1798</v>
      </c>
      <c r="M2439" t="s">
        <v>1126</v>
      </c>
      <c r="N2439" t="s">
        <v>1099</v>
      </c>
      <c r="O2439">
        <f>Table1[[#This Row],[Unit_Price]]*Table1[[#This Row],[Quantity]]</f>
        <v>400</v>
      </c>
    </row>
    <row r="2440" spans="1:15" x14ac:dyDescent="0.3">
      <c r="A2440" t="s">
        <v>4244</v>
      </c>
      <c r="B2440" t="s">
        <v>3228</v>
      </c>
      <c r="C2440" t="s">
        <v>795</v>
      </c>
      <c r="D2440" t="s">
        <v>1073</v>
      </c>
      <c r="E2440">
        <v>4</v>
      </c>
      <c r="F2440">
        <f>_xlfn.XLOOKUP(Table1[[#This Row],[ProductID]],Products!A:A,Products!D:D,,0)</f>
        <v>100</v>
      </c>
      <c r="I2440">
        <v>349</v>
      </c>
      <c r="J2440">
        <v>314</v>
      </c>
      <c r="K2440" t="s">
        <v>1107</v>
      </c>
      <c r="L2440">
        <v>1256</v>
      </c>
      <c r="M2440" t="s">
        <v>1098</v>
      </c>
      <c r="N2440" t="s">
        <v>1099</v>
      </c>
      <c r="O2440">
        <f>Table1[[#This Row],[Unit_Price]]*Table1[[#This Row],[Quantity]]</f>
        <v>400</v>
      </c>
    </row>
    <row r="2441" spans="1:15" x14ac:dyDescent="0.3">
      <c r="A2441" t="s">
        <v>4245</v>
      </c>
      <c r="B2441" t="s">
        <v>3397</v>
      </c>
      <c r="C2441" t="s">
        <v>175</v>
      </c>
      <c r="D2441" t="s">
        <v>1055</v>
      </c>
      <c r="E2441">
        <v>1</v>
      </c>
      <c r="F2441">
        <f>_xlfn.XLOOKUP(Table1[[#This Row],[ProductID]],Products!A:A,Products!D:D,,0)</f>
        <v>75</v>
      </c>
      <c r="I2441">
        <v>299</v>
      </c>
      <c r="J2441">
        <v>239</v>
      </c>
      <c r="K2441" t="s">
        <v>1097</v>
      </c>
      <c r="L2441">
        <v>239</v>
      </c>
      <c r="M2441" t="s">
        <v>1098</v>
      </c>
      <c r="N2441" t="s">
        <v>1099</v>
      </c>
      <c r="O2441">
        <f>Table1[[#This Row],[Unit_Price]]*Table1[[#This Row],[Quantity]]</f>
        <v>75</v>
      </c>
    </row>
    <row r="2442" spans="1:15" x14ac:dyDescent="0.3">
      <c r="A2442" t="s">
        <v>4246</v>
      </c>
      <c r="B2442" t="s">
        <v>1630</v>
      </c>
      <c r="C2442" t="s">
        <v>271</v>
      </c>
      <c r="D2442" t="s">
        <v>1053</v>
      </c>
      <c r="E2442">
        <v>1</v>
      </c>
      <c r="F2442">
        <f>_xlfn.XLOOKUP(Table1[[#This Row],[ProductID]],Products!A:A,Products!D:D,,0)</f>
        <v>200</v>
      </c>
      <c r="I2442">
        <v>899</v>
      </c>
      <c r="J2442">
        <v>899</v>
      </c>
      <c r="K2442" t="s">
        <v>1102</v>
      </c>
      <c r="L2442">
        <v>899</v>
      </c>
      <c r="M2442" t="s">
        <v>1093</v>
      </c>
      <c r="N2442" t="s">
        <v>1094</v>
      </c>
      <c r="O2442">
        <f>Table1[[#This Row],[Unit_Price]]*Table1[[#This Row],[Quantity]]</f>
        <v>200</v>
      </c>
    </row>
    <row r="2443" spans="1:15" x14ac:dyDescent="0.3">
      <c r="A2443" t="s">
        <v>4247</v>
      </c>
      <c r="B2443" t="s">
        <v>2760</v>
      </c>
      <c r="C2443" t="s">
        <v>631</v>
      </c>
      <c r="D2443" t="s">
        <v>1075</v>
      </c>
      <c r="E2443">
        <v>1</v>
      </c>
      <c r="F2443">
        <f>_xlfn.XLOOKUP(Table1[[#This Row],[ProductID]],Products!A:A,Products!D:D,,0)</f>
        <v>80</v>
      </c>
      <c r="I2443">
        <v>499</v>
      </c>
      <c r="J2443">
        <v>499</v>
      </c>
      <c r="K2443" t="s">
        <v>1102</v>
      </c>
      <c r="L2443">
        <v>499</v>
      </c>
      <c r="M2443" t="s">
        <v>1093</v>
      </c>
      <c r="N2443" t="s">
        <v>1094</v>
      </c>
      <c r="O2443">
        <f>Table1[[#This Row],[Unit_Price]]*Table1[[#This Row],[Quantity]]</f>
        <v>80</v>
      </c>
    </row>
    <row r="2444" spans="1:15" x14ac:dyDescent="0.3">
      <c r="A2444" t="s">
        <v>4248</v>
      </c>
      <c r="B2444" t="s">
        <v>2377</v>
      </c>
      <c r="C2444" t="s">
        <v>493</v>
      </c>
      <c r="D2444" t="s">
        <v>1075</v>
      </c>
      <c r="E2444">
        <v>3</v>
      </c>
      <c r="F2444">
        <f>_xlfn.XLOOKUP(Table1[[#This Row],[ProductID]],Products!A:A,Products!D:D,,0)</f>
        <v>80</v>
      </c>
      <c r="I2444">
        <v>499</v>
      </c>
      <c r="J2444">
        <v>449</v>
      </c>
      <c r="K2444" t="s">
        <v>1107</v>
      </c>
      <c r="L2444">
        <v>1347</v>
      </c>
      <c r="M2444" t="s">
        <v>1126</v>
      </c>
      <c r="N2444" t="s">
        <v>1099</v>
      </c>
      <c r="O2444">
        <f>Table1[[#This Row],[Unit_Price]]*Table1[[#This Row],[Quantity]]</f>
        <v>240</v>
      </c>
    </row>
    <row r="2445" spans="1:15" x14ac:dyDescent="0.3">
      <c r="A2445" t="s">
        <v>4249</v>
      </c>
      <c r="B2445" t="s">
        <v>2949</v>
      </c>
      <c r="C2445" t="s">
        <v>471</v>
      </c>
      <c r="D2445" t="s">
        <v>1071</v>
      </c>
      <c r="E2445">
        <v>1</v>
      </c>
      <c r="F2445">
        <f>_xlfn.XLOOKUP(Table1[[#This Row],[ProductID]],Products!A:A,Products!D:D,,0)</f>
        <v>125</v>
      </c>
      <c r="I2445">
        <v>399</v>
      </c>
      <c r="J2445">
        <v>359</v>
      </c>
      <c r="K2445" t="s">
        <v>1107</v>
      </c>
      <c r="L2445">
        <v>359</v>
      </c>
      <c r="M2445" t="s">
        <v>1093</v>
      </c>
      <c r="N2445" t="s">
        <v>1099</v>
      </c>
      <c r="O2445">
        <f>Table1[[#This Row],[Unit_Price]]*Table1[[#This Row],[Quantity]]</f>
        <v>125</v>
      </c>
    </row>
    <row r="2446" spans="1:15" x14ac:dyDescent="0.3">
      <c r="A2446" t="s">
        <v>4250</v>
      </c>
      <c r="B2446" t="s">
        <v>1306</v>
      </c>
      <c r="C2446" t="s">
        <v>373</v>
      </c>
      <c r="D2446" t="s">
        <v>1068</v>
      </c>
      <c r="E2446">
        <v>1</v>
      </c>
      <c r="F2446">
        <f>_xlfn.XLOOKUP(Table1[[#This Row],[ProductID]],Products!A:A,Products!D:D,,0)</f>
        <v>180</v>
      </c>
      <c r="I2446">
        <v>449</v>
      </c>
      <c r="J2446">
        <v>404</v>
      </c>
      <c r="K2446" t="s">
        <v>1107</v>
      </c>
      <c r="L2446">
        <v>404</v>
      </c>
      <c r="M2446" t="s">
        <v>1098</v>
      </c>
      <c r="N2446" t="s">
        <v>1099</v>
      </c>
      <c r="O2446">
        <f>Table1[[#This Row],[Unit_Price]]*Table1[[#This Row],[Quantity]]</f>
        <v>180</v>
      </c>
    </row>
    <row r="2447" spans="1:15" x14ac:dyDescent="0.3">
      <c r="A2447" t="s">
        <v>4251</v>
      </c>
      <c r="B2447" t="s">
        <v>2639</v>
      </c>
      <c r="C2447" t="s">
        <v>57</v>
      </c>
      <c r="D2447" t="s">
        <v>1055</v>
      </c>
      <c r="E2447">
        <v>1</v>
      </c>
      <c r="F2447">
        <f>_xlfn.XLOOKUP(Table1[[#This Row],[ProductID]],Products!A:A,Products!D:D,,0)</f>
        <v>75</v>
      </c>
      <c r="I2447">
        <v>299</v>
      </c>
      <c r="J2447">
        <v>299</v>
      </c>
      <c r="K2447" t="s">
        <v>1102</v>
      </c>
      <c r="L2447">
        <v>299</v>
      </c>
      <c r="M2447" t="s">
        <v>1093</v>
      </c>
      <c r="N2447" t="s">
        <v>1099</v>
      </c>
      <c r="O2447">
        <f>Table1[[#This Row],[Unit_Price]]*Table1[[#This Row],[Quantity]]</f>
        <v>75</v>
      </c>
    </row>
    <row r="2448" spans="1:15" x14ac:dyDescent="0.3">
      <c r="A2448" t="s">
        <v>4252</v>
      </c>
      <c r="B2448" t="s">
        <v>2617</v>
      </c>
      <c r="C2448" t="s">
        <v>641</v>
      </c>
      <c r="D2448" t="s">
        <v>1080</v>
      </c>
      <c r="E2448">
        <v>2</v>
      </c>
      <c r="F2448">
        <f>_xlfn.XLOOKUP(Table1[[#This Row],[ProductID]],Products!A:A,Products!D:D,,0)</f>
        <v>45</v>
      </c>
      <c r="I2448">
        <v>249</v>
      </c>
      <c r="J2448">
        <v>199</v>
      </c>
      <c r="K2448" t="s">
        <v>1097</v>
      </c>
      <c r="L2448">
        <v>398</v>
      </c>
      <c r="M2448" t="s">
        <v>1098</v>
      </c>
      <c r="N2448" t="s">
        <v>1099</v>
      </c>
      <c r="O2448">
        <f>Table1[[#This Row],[Unit_Price]]*Table1[[#This Row],[Quantity]]</f>
        <v>90</v>
      </c>
    </row>
    <row r="2449" spans="1:15" x14ac:dyDescent="0.3">
      <c r="A2449" t="s">
        <v>4253</v>
      </c>
      <c r="B2449" t="s">
        <v>1140</v>
      </c>
      <c r="C2449" t="s">
        <v>949</v>
      </c>
      <c r="D2449" t="s">
        <v>1059</v>
      </c>
      <c r="E2449">
        <v>2</v>
      </c>
      <c r="F2449">
        <f>_xlfn.XLOOKUP(Table1[[#This Row],[ProductID]],Products!A:A,Products!D:D,,0)</f>
        <v>110</v>
      </c>
      <c r="I2449">
        <v>399</v>
      </c>
      <c r="J2449">
        <v>399</v>
      </c>
      <c r="K2449" t="s">
        <v>1102</v>
      </c>
      <c r="L2449">
        <v>798</v>
      </c>
      <c r="M2449" t="s">
        <v>1093</v>
      </c>
      <c r="N2449" t="s">
        <v>1123</v>
      </c>
      <c r="O2449">
        <f>Table1[[#This Row],[Unit_Price]]*Table1[[#This Row],[Quantity]]</f>
        <v>220</v>
      </c>
    </row>
    <row r="2450" spans="1:15" x14ac:dyDescent="0.3">
      <c r="A2450" t="s">
        <v>4254</v>
      </c>
      <c r="B2450" t="s">
        <v>2664</v>
      </c>
      <c r="C2450" t="s">
        <v>449</v>
      </c>
      <c r="D2450" t="s">
        <v>1064</v>
      </c>
      <c r="E2450">
        <v>2</v>
      </c>
      <c r="F2450">
        <f>_xlfn.XLOOKUP(Table1[[#This Row],[ProductID]],Products!A:A,Products!D:D,,0)</f>
        <v>160</v>
      </c>
      <c r="I2450">
        <v>699</v>
      </c>
      <c r="J2450">
        <v>559</v>
      </c>
      <c r="K2450" t="s">
        <v>1097</v>
      </c>
      <c r="L2450">
        <v>1118</v>
      </c>
      <c r="M2450" t="s">
        <v>1126</v>
      </c>
      <c r="N2450" t="s">
        <v>1099</v>
      </c>
      <c r="O2450">
        <f>Table1[[#This Row],[Unit_Price]]*Table1[[#This Row],[Quantity]]</f>
        <v>320</v>
      </c>
    </row>
    <row r="2451" spans="1:15" x14ac:dyDescent="0.3">
      <c r="A2451" t="s">
        <v>4255</v>
      </c>
      <c r="B2451" t="s">
        <v>1375</v>
      </c>
      <c r="C2451" t="s">
        <v>497</v>
      </c>
      <c r="D2451" t="s">
        <v>1051</v>
      </c>
      <c r="E2451">
        <v>1</v>
      </c>
      <c r="F2451">
        <f>_xlfn.XLOOKUP(Table1[[#This Row],[ProductID]],Products!A:A,Products!D:D,,0)</f>
        <v>150</v>
      </c>
      <c r="I2451">
        <v>499</v>
      </c>
      <c r="J2451">
        <v>449</v>
      </c>
      <c r="K2451" t="s">
        <v>1107</v>
      </c>
      <c r="L2451">
        <v>449</v>
      </c>
      <c r="M2451" t="s">
        <v>1093</v>
      </c>
      <c r="N2451" t="s">
        <v>1099</v>
      </c>
      <c r="O2451">
        <f>Table1[[#This Row],[Unit_Price]]*Table1[[#This Row],[Quantity]]</f>
        <v>150</v>
      </c>
    </row>
    <row r="2452" spans="1:15" x14ac:dyDescent="0.3">
      <c r="A2452" t="s">
        <v>4256</v>
      </c>
      <c r="B2452" t="s">
        <v>1707</v>
      </c>
      <c r="C2452" t="s">
        <v>775</v>
      </c>
      <c r="D2452" t="s">
        <v>1068</v>
      </c>
      <c r="E2452">
        <v>1</v>
      </c>
      <c r="F2452">
        <f>_xlfn.XLOOKUP(Table1[[#This Row],[ProductID]],Products!A:A,Products!D:D,,0)</f>
        <v>180</v>
      </c>
      <c r="I2452">
        <v>449</v>
      </c>
      <c r="J2452">
        <v>449</v>
      </c>
      <c r="K2452" t="s">
        <v>1102</v>
      </c>
      <c r="L2452">
        <v>449</v>
      </c>
      <c r="M2452" t="s">
        <v>1093</v>
      </c>
      <c r="N2452" t="s">
        <v>1094</v>
      </c>
      <c r="O2452">
        <f>Table1[[#This Row],[Unit_Price]]*Table1[[#This Row],[Quantity]]</f>
        <v>180</v>
      </c>
    </row>
    <row r="2453" spans="1:15" x14ac:dyDescent="0.3">
      <c r="A2453" t="s">
        <v>4257</v>
      </c>
      <c r="B2453" t="s">
        <v>1426</v>
      </c>
      <c r="C2453" t="s">
        <v>559</v>
      </c>
      <c r="D2453" t="s">
        <v>1059</v>
      </c>
      <c r="E2453">
        <v>1</v>
      </c>
      <c r="F2453">
        <f>_xlfn.XLOOKUP(Table1[[#This Row],[ProductID]],Products!A:A,Products!D:D,,0)</f>
        <v>110</v>
      </c>
      <c r="I2453">
        <v>399</v>
      </c>
      <c r="J2453">
        <v>399</v>
      </c>
      <c r="K2453" t="s">
        <v>1102</v>
      </c>
      <c r="L2453">
        <v>399</v>
      </c>
      <c r="M2453" t="s">
        <v>1093</v>
      </c>
      <c r="N2453" t="s">
        <v>1099</v>
      </c>
      <c r="O2453">
        <f>Table1[[#This Row],[Unit_Price]]*Table1[[#This Row],[Quantity]]</f>
        <v>110</v>
      </c>
    </row>
    <row r="2454" spans="1:15" x14ac:dyDescent="0.3">
      <c r="A2454" t="s">
        <v>4258</v>
      </c>
      <c r="B2454" t="s">
        <v>1924</v>
      </c>
      <c r="C2454" t="s">
        <v>629</v>
      </c>
      <c r="D2454" t="s">
        <v>1055</v>
      </c>
      <c r="E2454">
        <v>1</v>
      </c>
      <c r="F2454">
        <f>_xlfn.XLOOKUP(Table1[[#This Row],[ProductID]],Products!A:A,Products!D:D,,0)</f>
        <v>75</v>
      </c>
      <c r="I2454">
        <v>299</v>
      </c>
      <c r="J2454">
        <v>299</v>
      </c>
      <c r="K2454" t="s">
        <v>1102</v>
      </c>
      <c r="L2454">
        <v>299</v>
      </c>
      <c r="M2454" t="s">
        <v>1093</v>
      </c>
      <c r="N2454" t="s">
        <v>1099</v>
      </c>
      <c r="O2454">
        <f>Table1[[#This Row],[Unit_Price]]*Table1[[#This Row],[Quantity]]</f>
        <v>75</v>
      </c>
    </row>
    <row r="2455" spans="1:15" x14ac:dyDescent="0.3">
      <c r="A2455" t="s">
        <v>4259</v>
      </c>
      <c r="B2455" t="s">
        <v>4260</v>
      </c>
      <c r="C2455" t="s">
        <v>787</v>
      </c>
      <c r="D2455" t="s">
        <v>1073</v>
      </c>
      <c r="E2455">
        <v>3</v>
      </c>
      <c r="F2455">
        <f>_xlfn.XLOOKUP(Table1[[#This Row],[ProductID]],Products!A:A,Products!D:D,,0)</f>
        <v>100</v>
      </c>
      <c r="I2455">
        <v>349</v>
      </c>
      <c r="J2455">
        <v>279</v>
      </c>
      <c r="K2455" t="s">
        <v>1097</v>
      </c>
      <c r="L2455">
        <v>837</v>
      </c>
      <c r="M2455" t="s">
        <v>1098</v>
      </c>
      <c r="N2455" t="s">
        <v>1099</v>
      </c>
      <c r="O2455">
        <f>Table1[[#This Row],[Unit_Price]]*Table1[[#This Row],[Quantity]]</f>
        <v>300</v>
      </c>
    </row>
    <row r="2456" spans="1:15" x14ac:dyDescent="0.3">
      <c r="A2456" t="s">
        <v>4261</v>
      </c>
      <c r="B2456" t="s">
        <v>2272</v>
      </c>
      <c r="C2456" t="s">
        <v>361</v>
      </c>
      <c r="D2456" t="s">
        <v>1051</v>
      </c>
      <c r="E2456">
        <v>1</v>
      </c>
      <c r="F2456">
        <f>_xlfn.XLOOKUP(Table1[[#This Row],[ProductID]],Products!A:A,Products!D:D,,0)</f>
        <v>150</v>
      </c>
      <c r="I2456">
        <v>499</v>
      </c>
      <c r="J2456">
        <v>449</v>
      </c>
      <c r="K2456" t="s">
        <v>1107</v>
      </c>
      <c r="L2456">
        <v>449</v>
      </c>
      <c r="M2456" t="s">
        <v>1098</v>
      </c>
      <c r="N2456" t="s">
        <v>1099</v>
      </c>
      <c r="O2456">
        <f>Table1[[#This Row],[Unit_Price]]*Table1[[#This Row],[Quantity]]</f>
        <v>150</v>
      </c>
    </row>
    <row r="2457" spans="1:15" x14ac:dyDescent="0.3">
      <c r="A2457" t="s">
        <v>4262</v>
      </c>
      <c r="B2457" t="s">
        <v>1484</v>
      </c>
      <c r="C2457" t="s">
        <v>44</v>
      </c>
      <c r="D2457" t="s">
        <v>1051</v>
      </c>
      <c r="E2457">
        <v>1</v>
      </c>
      <c r="F2457">
        <f>_xlfn.XLOOKUP(Table1[[#This Row],[ProductID]],Products!A:A,Products!D:D,,0)</f>
        <v>150</v>
      </c>
      <c r="I2457">
        <v>499</v>
      </c>
      <c r="J2457">
        <v>499</v>
      </c>
      <c r="K2457" t="s">
        <v>1102</v>
      </c>
      <c r="L2457">
        <v>499</v>
      </c>
      <c r="M2457" t="s">
        <v>1098</v>
      </c>
      <c r="N2457" t="s">
        <v>1099</v>
      </c>
      <c r="O2457">
        <f>Table1[[#This Row],[Unit_Price]]*Table1[[#This Row],[Quantity]]</f>
        <v>150</v>
      </c>
    </row>
    <row r="2458" spans="1:15" x14ac:dyDescent="0.3">
      <c r="A2458" t="s">
        <v>4263</v>
      </c>
      <c r="B2458" t="s">
        <v>2754</v>
      </c>
      <c r="C2458" t="s">
        <v>755</v>
      </c>
      <c r="D2458" t="s">
        <v>1064</v>
      </c>
      <c r="E2458">
        <v>2</v>
      </c>
      <c r="F2458">
        <f>_xlfn.XLOOKUP(Table1[[#This Row],[ProductID]],Products!A:A,Products!D:D,,0)</f>
        <v>160</v>
      </c>
      <c r="I2458">
        <v>699</v>
      </c>
      <c r="J2458">
        <v>594</v>
      </c>
      <c r="K2458" t="s">
        <v>1092</v>
      </c>
      <c r="L2458">
        <v>1188</v>
      </c>
      <c r="M2458" t="s">
        <v>1098</v>
      </c>
      <c r="N2458" t="s">
        <v>1123</v>
      </c>
      <c r="O2458">
        <f>Table1[[#This Row],[Unit_Price]]*Table1[[#This Row],[Quantity]]</f>
        <v>320</v>
      </c>
    </row>
    <row r="2459" spans="1:15" x14ac:dyDescent="0.3">
      <c r="A2459" t="s">
        <v>4264</v>
      </c>
      <c r="B2459" t="s">
        <v>2969</v>
      </c>
      <c r="C2459" t="s">
        <v>193</v>
      </c>
      <c r="D2459" t="s">
        <v>1078</v>
      </c>
      <c r="E2459">
        <v>1</v>
      </c>
      <c r="F2459">
        <f>_xlfn.XLOOKUP(Table1[[#This Row],[ProductID]],Products!A:A,Products!D:D,,0)</f>
        <v>80</v>
      </c>
      <c r="I2459">
        <v>499</v>
      </c>
      <c r="J2459">
        <v>449</v>
      </c>
      <c r="K2459" t="s">
        <v>1107</v>
      </c>
      <c r="L2459">
        <v>449</v>
      </c>
      <c r="M2459" t="s">
        <v>1098</v>
      </c>
      <c r="N2459" t="s">
        <v>1099</v>
      </c>
      <c r="O2459">
        <f>Table1[[#This Row],[Unit_Price]]*Table1[[#This Row],[Quantity]]</f>
        <v>80</v>
      </c>
    </row>
    <row r="2460" spans="1:15" x14ac:dyDescent="0.3">
      <c r="A2460" t="s">
        <v>4265</v>
      </c>
      <c r="B2460" t="s">
        <v>2555</v>
      </c>
      <c r="C2460" t="s">
        <v>289</v>
      </c>
      <c r="D2460" t="s">
        <v>1048</v>
      </c>
      <c r="E2460">
        <v>1</v>
      </c>
      <c r="F2460">
        <f>_xlfn.XLOOKUP(Table1[[#This Row],[ProductID]],Products!A:A,Products!D:D,,0)</f>
        <v>120</v>
      </c>
      <c r="I2460">
        <v>599</v>
      </c>
      <c r="J2460">
        <v>479</v>
      </c>
      <c r="K2460" t="s">
        <v>1097</v>
      </c>
      <c r="L2460">
        <v>479</v>
      </c>
      <c r="M2460" t="s">
        <v>1118</v>
      </c>
      <c r="N2460" t="s">
        <v>1099</v>
      </c>
      <c r="O2460">
        <f>Table1[[#This Row],[Unit_Price]]*Table1[[#This Row],[Quantity]]</f>
        <v>120</v>
      </c>
    </row>
    <row r="2461" spans="1:15" x14ac:dyDescent="0.3">
      <c r="A2461" t="s">
        <v>4266</v>
      </c>
      <c r="B2461" t="s">
        <v>2969</v>
      </c>
      <c r="C2461" t="s">
        <v>351</v>
      </c>
      <c r="D2461" t="s">
        <v>1057</v>
      </c>
      <c r="E2461">
        <v>1</v>
      </c>
      <c r="F2461">
        <f>_xlfn.XLOOKUP(Table1[[#This Row],[ProductID]],Products!A:A,Products!D:D,,0)</f>
        <v>130</v>
      </c>
      <c r="I2461">
        <v>549</v>
      </c>
      <c r="J2461">
        <v>494</v>
      </c>
      <c r="K2461" t="s">
        <v>1107</v>
      </c>
      <c r="L2461">
        <v>494</v>
      </c>
      <c r="M2461" t="s">
        <v>1093</v>
      </c>
      <c r="N2461" t="s">
        <v>1094</v>
      </c>
      <c r="O2461">
        <f>Table1[[#This Row],[Unit_Price]]*Table1[[#This Row],[Quantity]]</f>
        <v>130</v>
      </c>
    </row>
    <row r="2462" spans="1:15" x14ac:dyDescent="0.3">
      <c r="A2462" t="s">
        <v>4267</v>
      </c>
      <c r="B2462" t="s">
        <v>2535</v>
      </c>
      <c r="C2462" t="s">
        <v>683</v>
      </c>
      <c r="D2462" t="s">
        <v>1051</v>
      </c>
      <c r="E2462">
        <v>1</v>
      </c>
      <c r="F2462">
        <f>_xlfn.XLOOKUP(Table1[[#This Row],[ProductID]],Products!A:A,Products!D:D,,0)</f>
        <v>150</v>
      </c>
      <c r="I2462">
        <v>499</v>
      </c>
      <c r="J2462">
        <v>399</v>
      </c>
      <c r="K2462" t="s">
        <v>1097</v>
      </c>
      <c r="L2462">
        <v>399</v>
      </c>
      <c r="M2462" t="s">
        <v>1093</v>
      </c>
      <c r="N2462" t="s">
        <v>1099</v>
      </c>
      <c r="O2462">
        <f>Table1[[#This Row],[Unit_Price]]*Table1[[#This Row],[Quantity]]</f>
        <v>150</v>
      </c>
    </row>
    <row r="2463" spans="1:15" x14ac:dyDescent="0.3">
      <c r="A2463" t="s">
        <v>4268</v>
      </c>
      <c r="B2463" t="s">
        <v>4110</v>
      </c>
      <c r="C2463" t="s">
        <v>353</v>
      </c>
      <c r="D2463" t="s">
        <v>1075</v>
      </c>
      <c r="E2463">
        <v>1</v>
      </c>
      <c r="F2463">
        <f>_xlfn.XLOOKUP(Table1[[#This Row],[ProductID]],Products!A:A,Products!D:D,,0)</f>
        <v>80</v>
      </c>
      <c r="I2463">
        <v>499</v>
      </c>
      <c r="J2463">
        <v>424</v>
      </c>
      <c r="K2463" t="s">
        <v>1092</v>
      </c>
      <c r="L2463">
        <v>424</v>
      </c>
      <c r="M2463" t="s">
        <v>1118</v>
      </c>
      <c r="N2463" t="s">
        <v>1099</v>
      </c>
      <c r="O2463">
        <f>Table1[[#This Row],[Unit_Price]]*Table1[[#This Row],[Quantity]]</f>
        <v>80</v>
      </c>
    </row>
    <row r="2464" spans="1:15" x14ac:dyDescent="0.3">
      <c r="A2464" t="s">
        <v>4269</v>
      </c>
      <c r="B2464" t="s">
        <v>3030</v>
      </c>
      <c r="C2464" t="s">
        <v>211</v>
      </c>
      <c r="D2464" t="s">
        <v>1059</v>
      </c>
      <c r="E2464">
        <v>2</v>
      </c>
      <c r="F2464">
        <f>_xlfn.XLOOKUP(Table1[[#This Row],[ProductID]],Products!A:A,Products!D:D,,0)</f>
        <v>110</v>
      </c>
      <c r="I2464">
        <v>399</v>
      </c>
      <c r="J2464">
        <v>359</v>
      </c>
      <c r="K2464" t="s">
        <v>1107</v>
      </c>
      <c r="L2464">
        <v>718</v>
      </c>
      <c r="M2464" t="s">
        <v>1118</v>
      </c>
      <c r="N2464" t="s">
        <v>1099</v>
      </c>
      <c r="O2464">
        <f>Table1[[#This Row],[Unit_Price]]*Table1[[#This Row],[Quantity]]</f>
        <v>220</v>
      </c>
    </row>
    <row r="2465" spans="1:15" x14ac:dyDescent="0.3">
      <c r="A2465" t="s">
        <v>4270</v>
      </c>
      <c r="B2465" t="s">
        <v>4271</v>
      </c>
      <c r="C2465" t="s">
        <v>329</v>
      </c>
      <c r="D2465" t="s">
        <v>1048</v>
      </c>
      <c r="E2465">
        <v>1</v>
      </c>
      <c r="F2465">
        <f>_xlfn.XLOOKUP(Table1[[#This Row],[ProductID]],Products!A:A,Products!D:D,,0)</f>
        <v>120</v>
      </c>
      <c r="I2465">
        <v>599</v>
      </c>
      <c r="J2465">
        <v>599</v>
      </c>
      <c r="K2465" t="s">
        <v>1102</v>
      </c>
      <c r="L2465">
        <v>599</v>
      </c>
      <c r="M2465" t="s">
        <v>1098</v>
      </c>
      <c r="N2465" t="s">
        <v>1099</v>
      </c>
      <c r="O2465">
        <f>Table1[[#This Row],[Unit_Price]]*Table1[[#This Row],[Quantity]]</f>
        <v>120</v>
      </c>
    </row>
    <row r="2466" spans="1:15" x14ac:dyDescent="0.3">
      <c r="A2466" t="s">
        <v>4272</v>
      </c>
      <c r="B2466" t="s">
        <v>2589</v>
      </c>
      <c r="C2466" t="s">
        <v>619</v>
      </c>
      <c r="D2466" t="s">
        <v>1071</v>
      </c>
      <c r="E2466">
        <v>1</v>
      </c>
      <c r="F2466">
        <f>_xlfn.XLOOKUP(Table1[[#This Row],[ProductID]],Products!A:A,Products!D:D,,0)</f>
        <v>125</v>
      </c>
      <c r="I2466">
        <v>399</v>
      </c>
      <c r="J2466">
        <v>319</v>
      </c>
      <c r="K2466" t="s">
        <v>1097</v>
      </c>
      <c r="L2466">
        <v>319</v>
      </c>
      <c r="M2466" t="s">
        <v>1093</v>
      </c>
      <c r="N2466" t="s">
        <v>1099</v>
      </c>
      <c r="O2466">
        <f>Table1[[#This Row],[Unit_Price]]*Table1[[#This Row],[Quantity]]</f>
        <v>125</v>
      </c>
    </row>
    <row r="2467" spans="1:15" x14ac:dyDescent="0.3">
      <c r="A2467" t="s">
        <v>4273</v>
      </c>
      <c r="B2467" t="s">
        <v>2491</v>
      </c>
      <c r="C2467" t="s">
        <v>1033</v>
      </c>
      <c r="D2467" t="s">
        <v>1053</v>
      </c>
      <c r="E2467">
        <v>1</v>
      </c>
      <c r="F2467">
        <f>_xlfn.XLOOKUP(Table1[[#This Row],[ProductID]],Products!A:A,Products!D:D,,0)</f>
        <v>200</v>
      </c>
      <c r="I2467">
        <v>899</v>
      </c>
      <c r="J2467">
        <v>809</v>
      </c>
      <c r="K2467" t="s">
        <v>1107</v>
      </c>
      <c r="L2467">
        <v>809</v>
      </c>
      <c r="M2467" t="s">
        <v>1093</v>
      </c>
      <c r="N2467" t="s">
        <v>1099</v>
      </c>
      <c r="O2467">
        <f>Table1[[#This Row],[Unit_Price]]*Table1[[#This Row],[Quantity]]</f>
        <v>200</v>
      </c>
    </row>
    <row r="2468" spans="1:15" x14ac:dyDescent="0.3">
      <c r="A2468" t="s">
        <v>4274</v>
      </c>
      <c r="B2468" t="s">
        <v>2382</v>
      </c>
      <c r="C2468" t="s">
        <v>223</v>
      </c>
      <c r="D2468" t="s">
        <v>1080</v>
      </c>
      <c r="E2468">
        <v>1</v>
      </c>
      <c r="F2468">
        <f>_xlfn.XLOOKUP(Table1[[#This Row],[ProductID]],Products!A:A,Products!D:D,,0)</f>
        <v>45</v>
      </c>
      <c r="I2468">
        <v>249</v>
      </c>
      <c r="J2468">
        <v>249</v>
      </c>
      <c r="K2468" t="s">
        <v>1102</v>
      </c>
      <c r="L2468">
        <v>249</v>
      </c>
      <c r="M2468" t="s">
        <v>1093</v>
      </c>
      <c r="N2468" t="s">
        <v>1123</v>
      </c>
      <c r="O2468">
        <f>Table1[[#This Row],[Unit_Price]]*Table1[[#This Row],[Quantity]]</f>
        <v>45</v>
      </c>
    </row>
    <row r="2469" spans="1:15" x14ac:dyDescent="0.3">
      <c r="A2469" t="s">
        <v>4275</v>
      </c>
      <c r="B2469" t="s">
        <v>2457</v>
      </c>
      <c r="C2469" t="s">
        <v>685</v>
      </c>
      <c r="D2469" t="s">
        <v>1078</v>
      </c>
      <c r="E2469">
        <v>2</v>
      </c>
      <c r="F2469">
        <f>_xlfn.XLOOKUP(Table1[[#This Row],[ProductID]],Products!A:A,Products!D:D,,0)</f>
        <v>80</v>
      </c>
      <c r="I2469">
        <v>499</v>
      </c>
      <c r="J2469">
        <v>499</v>
      </c>
      <c r="K2469" t="s">
        <v>1102</v>
      </c>
      <c r="L2469">
        <v>998</v>
      </c>
      <c r="M2469" t="s">
        <v>1118</v>
      </c>
      <c r="N2469" t="s">
        <v>1099</v>
      </c>
      <c r="O2469">
        <f>Table1[[#This Row],[Unit_Price]]*Table1[[#This Row],[Quantity]]</f>
        <v>160</v>
      </c>
    </row>
    <row r="2470" spans="1:15" x14ac:dyDescent="0.3">
      <c r="A2470" t="s">
        <v>4276</v>
      </c>
      <c r="B2470" t="s">
        <v>2559</v>
      </c>
      <c r="C2470" t="s">
        <v>495</v>
      </c>
      <c r="D2470" t="s">
        <v>1057</v>
      </c>
      <c r="E2470">
        <v>1</v>
      </c>
      <c r="F2470">
        <f>_xlfn.XLOOKUP(Table1[[#This Row],[ProductID]],Products!A:A,Products!D:D,,0)</f>
        <v>130</v>
      </c>
      <c r="I2470">
        <v>549</v>
      </c>
      <c r="J2470">
        <v>494</v>
      </c>
      <c r="K2470" t="s">
        <v>1107</v>
      </c>
      <c r="L2470">
        <v>494</v>
      </c>
      <c r="M2470" t="s">
        <v>1093</v>
      </c>
      <c r="N2470" t="s">
        <v>1099</v>
      </c>
      <c r="O2470">
        <f>Table1[[#This Row],[Unit_Price]]*Table1[[#This Row],[Quantity]]</f>
        <v>130</v>
      </c>
    </row>
    <row r="2471" spans="1:15" x14ac:dyDescent="0.3">
      <c r="A2471" t="s">
        <v>4277</v>
      </c>
      <c r="B2471" t="s">
        <v>3179</v>
      </c>
      <c r="C2471" t="s">
        <v>577</v>
      </c>
      <c r="D2471" t="s">
        <v>1048</v>
      </c>
      <c r="E2471">
        <v>1</v>
      </c>
      <c r="F2471">
        <f>_xlfn.XLOOKUP(Table1[[#This Row],[ProductID]],Products!A:A,Products!D:D,,0)</f>
        <v>120</v>
      </c>
      <c r="I2471">
        <v>599</v>
      </c>
      <c r="J2471">
        <v>479</v>
      </c>
      <c r="K2471" t="s">
        <v>1097</v>
      </c>
      <c r="L2471">
        <v>479</v>
      </c>
      <c r="M2471" t="s">
        <v>1093</v>
      </c>
      <c r="N2471" t="s">
        <v>1094</v>
      </c>
      <c r="O2471">
        <f>Table1[[#This Row],[Unit_Price]]*Table1[[#This Row],[Quantity]]</f>
        <v>120</v>
      </c>
    </row>
    <row r="2472" spans="1:15" x14ac:dyDescent="0.3">
      <c r="A2472" t="s">
        <v>4278</v>
      </c>
      <c r="B2472" t="s">
        <v>1681</v>
      </c>
      <c r="C2472" t="s">
        <v>231</v>
      </c>
      <c r="D2472" t="s">
        <v>1053</v>
      </c>
      <c r="E2472">
        <v>2</v>
      </c>
      <c r="F2472">
        <f>_xlfn.XLOOKUP(Table1[[#This Row],[ProductID]],Products!A:A,Products!D:D,,0)</f>
        <v>200</v>
      </c>
      <c r="I2472">
        <v>899</v>
      </c>
      <c r="J2472">
        <v>809</v>
      </c>
      <c r="K2472" t="s">
        <v>1107</v>
      </c>
      <c r="L2472">
        <v>1618</v>
      </c>
      <c r="M2472" t="s">
        <v>1093</v>
      </c>
      <c r="N2472" t="s">
        <v>1099</v>
      </c>
      <c r="O2472">
        <f>Table1[[#This Row],[Unit_Price]]*Table1[[#This Row],[Quantity]]</f>
        <v>400</v>
      </c>
    </row>
    <row r="2473" spans="1:15" x14ac:dyDescent="0.3">
      <c r="A2473" t="s">
        <v>4279</v>
      </c>
      <c r="B2473" t="s">
        <v>2075</v>
      </c>
      <c r="C2473" t="s">
        <v>91</v>
      </c>
      <c r="D2473" t="s">
        <v>1064</v>
      </c>
      <c r="E2473">
        <v>1</v>
      </c>
      <c r="F2473">
        <f>_xlfn.XLOOKUP(Table1[[#This Row],[ProductID]],Products!A:A,Products!D:D,,0)</f>
        <v>160</v>
      </c>
      <c r="I2473">
        <v>699</v>
      </c>
      <c r="J2473">
        <v>629</v>
      </c>
      <c r="K2473" t="s">
        <v>1107</v>
      </c>
      <c r="L2473">
        <v>629</v>
      </c>
      <c r="M2473" t="s">
        <v>1098</v>
      </c>
      <c r="N2473" t="s">
        <v>1099</v>
      </c>
      <c r="O2473">
        <f>Table1[[#This Row],[Unit_Price]]*Table1[[#This Row],[Quantity]]</f>
        <v>160</v>
      </c>
    </row>
    <row r="2474" spans="1:15" x14ac:dyDescent="0.3">
      <c r="A2474" t="s">
        <v>4280</v>
      </c>
      <c r="B2474" t="s">
        <v>2075</v>
      </c>
      <c r="C2474" t="s">
        <v>767</v>
      </c>
      <c r="D2474" t="s">
        <v>1062</v>
      </c>
      <c r="E2474">
        <v>2</v>
      </c>
      <c r="F2474">
        <f>_xlfn.XLOOKUP(Table1[[#This Row],[ProductID]],Products!A:A,Products!D:D,,0)</f>
        <v>95</v>
      </c>
      <c r="I2474">
        <v>349</v>
      </c>
      <c r="J2474">
        <v>314</v>
      </c>
      <c r="K2474" t="s">
        <v>1107</v>
      </c>
      <c r="L2474">
        <v>628</v>
      </c>
      <c r="M2474" t="s">
        <v>1093</v>
      </c>
      <c r="N2474" t="s">
        <v>1094</v>
      </c>
      <c r="O2474">
        <f>Table1[[#This Row],[Unit_Price]]*Table1[[#This Row],[Quantity]]</f>
        <v>190</v>
      </c>
    </row>
    <row r="2475" spans="1:15" x14ac:dyDescent="0.3">
      <c r="A2475" t="s">
        <v>4281</v>
      </c>
      <c r="B2475" t="s">
        <v>1412</v>
      </c>
      <c r="C2475" t="s">
        <v>475</v>
      </c>
      <c r="D2475" t="s">
        <v>1059</v>
      </c>
      <c r="E2475">
        <v>2</v>
      </c>
      <c r="F2475">
        <f>_xlfn.XLOOKUP(Table1[[#This Row],[ProductID]],Products!A:A,Products!D:D,,0)</f>
        <v>110</v>
      </c>
      <c r="I2475">
        <v>399</v>
      </c>
      <c r="J2475">
        <v>339</v>
      </c>
      <c r="K2475" t="s">
        <v>1092</v>
      </c>
      <c r="L2475">
        <v>678</v>
      </c>
      <c r="M2475" t="s">
        <v>1098</v>
      </c>
      <c r="N2475" t="s">
        <v>1099</v>
      </c>
      <c r="O2475">
        <f>Table1[[#This Row],[Unit_Price]]*Table1[[#This Row],[Quantity]]</f>
        <v>220</v>
      </c>
    </row>
    <row r="2476" spans="1:15" x14ac:dyDescent="0.3">
      <c r="A2476" t="s">
        <v>4282</v>
      </c>
      <c r="B2476" t="s">
        <v>2195</v>
      </c>
      <c r="C2476" t="s">
        <v>957</v>
      </c>
      <c r="D2476" t="s">
        <v>1068</v>
      </c>
      <c r="E2476">
        <v>1</v>
      </c>
      <c r="F2476">
        <f>_xlfn.XLOOKUP(Table1[[#This Row],[ProductID]],Products!A:A,Products!D:D,,0)</f>
        <v>180</v>
      </c>
      <c r="I2476">
        <v>449</v>
      </c>
      <c r="J2476">
        <v>449</v>
      </c>
      <c r="K2476" t="s">
        <v>1102</v>
      </c>
      <c r="L2476">
        <v>449</v>
      </c>
      <c r="M2476" t="s">
        <v>1098</v>
      </c>
      <c r="N2476" t="s">
        <v>1099</v>
      </c>
      <c r="O2476">
        <f>Table1[[#This Row],[Unit_Price]]*Table1[[#This Row],[Quantity]]</f>
        <v>180</v>
      </c>
    </row>
    <row r="2477" spans="1:15" x14ac:dyDescent="0.3">
      <c r="A2477" t="s">
        <v>4283</v>
      </c>
      <c r="B2477" t="s">
        <v>1703</v>
      </c>
      <c r="C2477" t="s">
        <v>197</v>
      </c>
      <c r="D2477" t="s">
        <v>1059</v>
      </c>
      <c r="E2477">
        <v>1</v>
      </c>
      <c r="F2477">
        <f>_xlfn.XLOOKUP(Table1[[#This Row],[ProductID]],Products!A:A,Products!D:D,,0)</f>
        <v>110</v>
      </c>
      <c r="I2477">
        <v>399</v>
      </c>
      <c r="J2477">
        <v>359</v>
      </c>
      <c r="K2477" t="s">
        <v>1107</v>
      </c>
      <c r="L2477">
        <v>359</v>
      </c>
      <c r="M2477" t="s">
        <v>1093</v>
      </c>
      <c r="N2477" t="s">
        <v>1099</v>
      </c>
      <c r="O2477">
        <f>Table1[[#This Row],[Unit_Price]]*Table1[[#This Row],[Quantity]]</f>
        <v>110</v>
      </c>
    </row>
    <row r="2478" spans="1:15" x14ac:dyDescent="0.3">
      <c r="A2478" t="s">
        <v>4284</v>
      </c>
      <c r="B2478" t="s">
        <v>1666</v>
      </c>
      <c r="C2478" t="s">
        <v>305</v>
      </c>
      <c r="D2478" t="s">
        <v>1068</v>
      </c>
      <c r="E2478">
        <v>2</v>
      </c>
      <c r="F2478">
        <f>_xlfn.XLOOKUP(Table1[[#This Row],[ProductID]],Products!A:A,Products!D:D,,0)</f>
        <v>180</v>
      </c>
      <c r="I2478">
        <v>449</v>
      </c>
      <c r="J2478">
        <v>382</v>
      </c>
      <c r="K2478" t="s">
        <v>1092</v>
      </c>
      <c r="L2478">
        <v>764</v>
      </c>
      <c r="M2478" t="s">
        <v>1126</v>
      </c>
      <c r="N2478" t="s">
        <v>1099</v>
      </c>
      <c r="O2478">
        <f>Table1[[#This Row],[Unit_Price]]*Table1[[#This Row],[Quantity]]</f>
        <v>360</v>
      </c>
    </row>
    <row r="2479" spans="1:15" x14ac:dyDescent="0.3">
      <c r="A2479" t="s">
        <v>4285</v>
      </c>
      <c r="B2479" t="s">
        <v>1672</v>
      </c>
      <c r="C2479" t="s">
        <v>167</v>
      </c>
      <c r="D2479" t="s">
        <v>1055</v>
      </c>
      <c r="E2479">
        <v>1</v>
      </c>
      <c r="F2479">
        <f>_xlfn.XLOOKUP(Table1[[#This Row],[ProductID]],Products!A:A,Products!D:D,,0)</f>
        <v>75</v>
      </c>
      <c r="I2479">
        <v>299</v>
      </c>
      <c r="J2479">
        <v>254</v>
      </c>
      <c r="K2479" t="s">
        <v>1092</v>
      </c>
      <c r="L2479">
        <v>254</v>
      </c>
      <c r="M2479" t="s">
        <v>1098</v>
      </c>
      <c r="N2479" t="s">
        <v>1099</v>
      </c>
      <c r="O2479">
        <f>Table1[[#This Row],[Unit_Price]]*Table1[[#This Row],[Quantity]]</f>
        <v>75</v>
      </c>
    </row>
    <row r="2480" spans="1:15" x14ac:dyDescent="0.3">
      <c r="A2480" t="s">
        <v>4286</v>
      </c>
      <c r="B2480" t="s">
        <v>1150</v>
      </c>
      <c r="C2480" t="s">
        <v>781</v>
      </c>
      <c r="D2480" t="s">
        <v>1068</v>
      </c>
      <c r="E2480">
        <v>1</v>
      </c>
      <c r="F2480">
        <f>_xlfn.XLOOKUP(Table1[[#This Row],[ProductID]],Products!A:A,Products!D:D,,0)</f>
        <v>180</v>
      </c>
      <c r="I2480">
        <v>449</v>
      </c>
      <c r="J2480">
        <v>449</v>
      </c>
      <c r="K2480" t="s">
        <v>1102</v>
      </c>
      <c r="L2480">
        <v>449</v>
      </c>
      <c r="M2480" t="s">
        <v>1126</v>
      </c>
      <c r="N2480" t="s">
        <v>1099</v>
      </c>
      <c r="O2480">
        <f>Table1[[#This Row],[Unit_Price]]*Table1[[#This Row],[Quantity]]</f>
        <v>180</v>
      </c>
    </row>
    <row r="2481" spans="1:15" x14ac:dyDescent="0.3">
      <c r="A2481" t="s">
        <v>4287</v>
      </c>
      <c r="B2481" t="s">
        <v>2106</v>
      </c>
      <c r="C2481" t="s">
        <v>18</v>
      </c>
      <c r="D2481" t="s">
        <v>1053</v>
      </c>
      <c r="E2481">
        <v>1</v>
      </c>
      <c r="F2481">
        <f>_xlfn.XLOOKUP(Table1[[#This Row],[ProductID]],Products!A:A,Products!D:D,,0)</f>
        <v>200</v>
      </c>
      <c r="I2481">
        <v>899</v>
      </c>
      <c r="J2481">
        <v>899</v>
      </c>
      <c r="K2481" t="s">
        <v>1102</v>
      </c>
      <c r="L2481">
        <v>899</v>
      </c>
      <c r="M2481" t="s">
        <v>1098</v>
      </c>
      <c r="N2481" t="s">
        <v>1099</v>
      </c>
      <c r="O2481">
        <f>Table1[[#This Row],[Unit_Price]]*Table1[[#This Row],[Quantity]]</f>
        <v>200</v>
      </c>
    </row>
    <row r="2482" spans="1:15" x14ac:dyDescent="0.3">
      <c r="A2482" t="s">
        <v>4288</v>
      </c>
      <c r="B2482" t="s">
        <v>1889</v>
      </c>
      <c r="C2482" t="s">
        <v>473</v>
      </c>
      <c r="D2482" t="s">
        <v>1048</v>
      </c>
      <c r="E2482">
        <v>1</v>
      </c>
      <c r="F2482">
        <f>_xlfn.XLOOKUP(Table1[[#This Row],[ProductID]],Products!A:A,Products!D:D,,0)</f>
        <v>120</v>
      </c>
      <c r="I2482">
        <v>599</v>
      </c>
      <c r="J2482">
        <v>539</v>
      </c>
      <c r="K2482" t="s">
        <v>1107</v>
      </c>
      <c r="L2482">
        <v>539</v>
      </c>
      <c r="M2482" t="s">
        <v>1093</v>
      </c>
      <c r="N2482" t="s">
        <v>1123</v>
      </c>
      <c r="O2482">
        <f>Table1[[#This Row],[Unit_Price]]*Table1[[#This Row],[Quantity]]</f>
        <v>120</v>
      </c>
    </row>
    <row r="2483" spans="1:15" x14ac:dyDescent="0.3">
      <c r="A2483" t="s">
        <v>4289</v>
      </c>
      <c r="B2483" t="s">
        <v>2583</v>
      </c>
      <c r="C2483" t="s">
        <v>495</v>
      </c>
      <c r="D2483" t="s">
        <v>1048</v>
      </c>
      <c r="E2483">
        <v>1</v>
      </c>
      <c r="F2483">
        <f>_xlfn.XLOOKUP(Table1[[#This Row],[ProductID]],Products!A:A,Products!D:D,,0)</f>
        <v>120</v>
      </c>
      <c r="I2483">
        <v>599</v>
      </c>
      <c r="J2483">
        <v>479</v>
      </c>
      <c r="K2483" t="s">
        <v>1097</v>
      </c>
      <c r="L2483">
        <v>479</v>
      </c>
      <c r="M2483" t="s">
        <v>1098</v>
      </c>
      <c r="N2483" t="s">
        <v>1099</v>
      </c>
      <c r="O2483">
        <f>Table1[[#This Row],[Unit_Price]]*Table1[[#This Row],[Quantity]]</f>
        <v>120</v>
      </c>
    </row>
    <row r="2484" spans="1:15" x14ac:dyDescent="0.3">
      <c r="A2484" t="s">
        <v>4290</v>
      </c>
      <c r="B2484" t="s">
        <v>1664</v>
      </c>
      <c r="C2484" t="s">
        <v>647</v>
      </c>
      <c r="D2484" t="s">
        <v>1064</v>
      </c>
      <c r="E2484">
        <v>1</v>
      </c>
      <c r="F2484">
        <f>_xlfn.XLOOKUP(Table1[[#This Row],[ProductID]],Products!A:A,Products!D:D,,0)</f>
        <v>160</v>
      </c>
      <c r="I2484">
        <v>699</v>
      </c>
      <c r="J2484">
        <v>559</v>
      </c>
      <c r="K2484" t="s">
        <v>1097</v>
      </c>
      <c r="L2484">
        <v>559</v>
      </c>
      <c r="M2484" t="s">
        <v>1098</v>
      </c>
      <c r="N2484" t="s">
        <v>1099</v>
      </c>
      <c r="O2484">
        <f>Table1[[#This Row],[Unit_Price]]*Table1[[#This Row],[Quantity]]</f>
        <v>160</v>
      </c>
    </row>
    <row r="2485" spans="1:15" x14ac:dyDescent="0.3">
      <c r="A2485" t="s">
        <v>4291</v>
      </c>
      <c r="B2485" t="s">
        <v>1465</v>
      </c>
      <c r="C2485" t="s">
        <v>815</v>
      </c>
      <c r="D2485" t="s">
        <v>1062</v>
      </c>
      <c r="E2485">
        <v>3</v>
      </c>
      <c r="F2485">
        <f>_xlfn.XLOOKUP(Table1[[#This Row],[ProductID]],Products!A:A,Products!D:D,,0)</f>
        <v>95</v>
      </c>
      <c r="I2485">
        <v>349</v>
      </c>
      <c r="J2485">
        <v>279</v>
      </c>
      <c r="K2485" t="s">
        <v>1097</v>
      </c>
      <c r="L2485">
        <v>837</v>
      </c>
      <c r="M2485" t="s">
        <v>1126</v>
      </c>
      <c r="N2485" t="s">
        <v>1123</v>
      </c>
      <c r="O2485">
        <f>Table1[[#This Row],[Unit_Price]]*Table1[[#This Row],[Quantity]]</f>
        <v>285</v>
      </c>
    </row>
    <row r="2486" spans="1:15" x14ac:dyDescent="0.3">
      <c r="A2486" t="s">
        <v>4292</v>
      </c>
      <c r="B2486" t="s">
        <v>1223</v>
      </c>
      <c r="C2486" t="s">
        <v>965</v>
      </c>
      <c r="D2486" t="s">
        <v>1062</v>
      </c>
      <c r="E2486">
        <v>1</v>
      </c>
      <c r="F2486">
        <f>_xlfn.XLOOKUP(Table1[[#This Row],[ProductID]],Products!A:A,Products!D:D,,0)</f>
        <v>95</v>
      </c>
      <c r="I2486">
        <v>349</v>
      </c>
      <c r="J2486">
        <v>349</v>
      </c>
      <c r="K2486" t="s">
        <v>1102</v>
      </c>
      <c r="L2486">
        <v>349</v>
      </c>
      <c r="M2486" t="s">
        <v>1093</v>
      </c>
      <c r="N2486" t="s">
        <v>1099</v>
      </c>
      <c r="O2486">
        <f>Table1[[#This Row],[Unit_Price]]*Table1[[#This Row],[Quantity]]</f>
        <v>95</v>
      </c>
    </row>
    <row r="2487" spans="1:15" x14ac:dyDescent="0.3">
      <c r="A2487" t="s">
        <v>4293</v>
      </c>
      <c r="B2487" t="s">
        <v>1822</v>
      </c>
      <c r="C2487" t="s">
        <v>7</v>
      </c>
      <c r="D2487" t="s">
        <v>1064</v>
      </c>
      <c r="E2487">
        <v>4</v>
      </c>
      <c r="F2487">
        <f>_xlfn.XLOOKUP(Table1[[#This Row],[ProductID]],Products!A:A,Products!D:D,,0)</f>
        <v>160</v>
      </c>
      <c r="I2487">
        <v>699</v>
      </c>
      <c r="J2487">
        <v>699</v>
      </c>
      <c r="K2487" t="s">
        <v>1102</v>
      </c>
      <c r="L2487">
        <v>2796</v>
      </c>
      <c r="M2487" t="s">
        <v>1098</v>
      </c>
      <c r="N2487" t="s">
        <v>1099</v>
      </c>
      <c r="O2487">
        <f>Table1[[#This Row],[Unit_Price]]*Table1[[#This Row],[Quantity]]</f>
        <v>640</v>
      </c>
    </row>
    <row r="2488" spans="1:15" x14ac:dyDescent="0.3">
      <c r="A2488" t="s">
        <v>4294</v>
      </c>
      <c r="B2488" t="s">
        <v>2469</v>
      </c>
      <c r="C2488" t="s">
        <v>471</v>
      </c>
      <c r="D2488" t="s">
        <v>1057</v>
      </c>
      <c r="E2488">
        <v>1</v>
      </c>
      <c r="F2488">
        <f>_xlfn.XLOOKUP(Table1[[#This Row],[ProductID]],Products!A:A,Products!D:D,,0)</f>
        <v>130</v>
      </c>
      <c r="I2488">
        <v>549</v>
      </c>
      <c r="J2488">
        <v>494</v>
      </c>
      <c r="K2488" t="s">
        <v>1107</v>
      </c>
      <c r="L2488">
        <v>494</v>
      </c>
      <c r="M2488" t="s">
        <v>1098</v>
      </c>
      <c r="N2488" t="s">
        <v>1099</v>
      </c>
      <c r="O2488">
        <f>Table1[[#This Row],[Unit_Price]]*Table1[[#This Row],[Quantity]]</f>
        <v>130</v>
      </c>
    </row>
    <row r="2489" spans="1:15" x14ac:dyDescent="0.3">
      <c r="A2489" t="s">
        <v>4295</v>
      </c>
      <c r="B2489" t="s">
        <v>1430</v>
      </c>
      <c r="C2489" t="s">
        <v>138</v>
      </c>
      <c r="D2489" t="s">
        <v>1080</v>
      </c>
      <c r="E2489">
        <v>1</v>
      </c>
      <c r="F2489">
        <f>_xlfn.XLOOKUP(Table1[[#This Row],[ProductID]],Products!A:A,Products!D:D,,0)</f>
        <v>45</v>
      </c>
      <c r="I2489">
        <v>249</v>
      </c>
      <c r="J2489">
        <v>199</v>
      </c>
      <c r="K2489" t="s">
        <v>1097</v>
      </c>
      <c r="L2489">
        <v>199</v>
      </c>
      <c r="M2489" t="s">
        <v>1126</v>
      </c>
      <c r="N2489" t="s">
        <v>1099</v>
      </c>
      <c r="O2489">
        <f>Table1[[#This Row],[Unit_Price]]*Table1[[#This Row],[Quantity]]</f>
        <v>45</v>
      </c>
    </row>
    <row r="2490" spans="1:15" x14ac:dyDescent="0.3">
      <c r="A2490" t="s">
        <v>4296</v>
      </c>
      <c r="B2490" t="s">
        <v>2377</v>
      </c>
      <c r="C2490" t="s">
        <v>191</v>
      </c>
      <c r="D2490" t="s">
        <v>1068</v>
      </c>
      <c r="E2490">
        <v>3</v>
      </c>
      <c r="F2490">
        <f>_xlfn.XLOOKUP(Table1[[#This Row],[ProductID]],Products!A:A,Products!D:D,,0)</f>
        <v>180</v>
      </c>
      <c r="I2490">
        <v>449</v>
      </c>
      <c r="J2490">
        <v>359</v>
      </c>
      <c r="K2490" t="s">
        <v>1097</v>
      </c>
      <c r="L2490">
        <v>1077</v>
      </c>
      <c r="M2490" t="s">
        <v>1093</v>
      </c>
      <c r="N2490" t="s">
        <v>1099</v>
      </c>
      <c r="O2490">
        <f>Table1[[#This Row],[Unit_Price]]*Table1[[#This Row],[Quantity]]</f>
        <v>540</v>
      </c>
    </row>
    <row r="2491" spans="1:15" x14ac:dyDescent="0.3">
      <c r="A2491" t="s">
        <v>4297</v>
      </c>
      <c r="B2491" t="s">
        <v>1144</v>
      </c>
      <c r="C2491" t="s">
        <v>369</v>
      </c>
      <c r="D2491" t="s">
        <v>1075</v>
      </c>
      <c r="E2491">
        <v>1</v>
      </c>
      <c r="F2491">
        <f>_xlfn.XLOOKUP(Table1[[#This Row],[ProductID]],Products!A:A,Products!D:D,,0)</f>
        <v>80</v>
      </c>
      <c r="I2491">
        <v>499</v>
      </c>
      <c r="J2491">
        <v>399</v>
      </c>
      <c r="K2491" t="s">
        <v>1097</v>
      </c>
      <c r="L2491">
        <v>399</v>
      </c>
      <c r="M2491" t="s">
        <v>1098</v>
      </c>
      <c r="N2491" t="s">
        <v>1099</v>
      </c>
      <c r="O2491">
        <f>Table1[[#This Row],[Unit_Price]]*Table1[[#This Row],[Quantity]]</f>
        <v>80</v>
      </c>
    </row>
    <row r="2492" spans="1:15" x14ac:dyDescent="0.3">
      <c r="A2492" t="s">
        <v>4298</v>
      </c>
      <c r="B2492" t="s">
        <v>1911</v>
      </c>
      <c r="C2492" t="s">
        <v>193</v>
      </c>
      <c r="D2492" t="s">
        <v>1055</v>
      </c>
      <c r="E2492">
        <v>2</v>
      </c>
      <c r="F2492">
        <f>_xlfn.XLOOKUP(Table1[[#This Row],[ProductID]],Products!A:A,Products!D:D,,0)</f>
        <v>75</v>
      </c>
      <c r="I2492">
        <v>299</v>
      </c>
      <c r="J2492">
        <v>269</v>
      </c>
      <c r="K2492" t="s">
        <v>1107</v>
      </c>
      <c r="L2492">
        <v>538</v>
      </c>
      <c r="M2492" t="s">
        <v>1126</v>
      </c>
      <c r="N2492" t="s">
        <v>1099</v>
      </c>
      <c r="O2492">
        <f>Table1[[#This Row],[Unit_Price]]*Table1[[#This Row],[Quantity]]</f>
        <v>150</v>
      </c>
    </row>
    <row r="2493" spans="1:15" x14ac:dyDescent="0.3">
      <c r="A2493" t="s">
        <v>4299</v>
      </c>
      <c r="B2493" t="s">
        <v>1304</v>
      </c>
      <c r="C2493" t="s">
        <v>116</v>
      </c>
      <c r="D2493" t="s">
        <v>1057</v>
      </c>
      <c r="E2493">
        <v>1</v>
      </c>
      <c r="F2493">
        <f>_xlfn.XLOOKUP(Table1[[#This Row],[ProductID]],Products!A:A,Products!D:D,,0)</f>
        <v>130</v>
      </c>
      <c r="I2493">
        <v>549</v>
      </c>
      <c r="J2493">
        <v>467</v>
      </c>
      <c r="K2493" t="s">
        <v>1092</v>
      </c>
      <c r="L2493">
        <v>467</v>
      </c>
      <c r="M2493" t="s">
        <v>1118</v>
      </c>
      <c r="N2493" t="s">
        <v>1099</v>
      </c>
      <c r="O2493">
        <f>Table1[[#This Row],[Unit_Price]]*Table1[[#This Row],[Quantity]]</f>
        <v>130</v>
      </c>
    </row>
    <row r="2494" spans="1:15" x14ac:dyDescent="0.3">
      <c r="A2494" t="s">
        <v>4300</v>
      </c>
      <c r="B2494" t="s">
        <v>2213</v>
      </c>
      <c r="C2494" t="s">
        <v>265</v>
      </c>
      <c r="D2494" t="s">
        <v>1080</v>
      </c>
      <c r="E2494">
        <v>1</v>
      </c>
      <c r="F2494">
        <f>_xlfn.XLOOKUP(Table1[[#This Row],[ProductID]],Products!A:A,Products!D:D,,0)</f>
        <v>45</v>
      </c>
      <c r="I2494">
        <v>249</v>
      </c>
      <c r="J2494">
        <v>224</v>
      </c>
      <c r="K2494" t="s">
        <v>1107</v>
      </c>
      <c r="L2494">
        <v>224</v>
      </c>
      <c r="M2494" t="s">
        <v>1093</v>
      </c>
      <c r="N2494" t="s">
        <v>1099</v>
      </c>
      <c r="O2494">
        <f>Table1[[#This Row],[Unit_Price]]*Table1[[#This Row],[Quantity]]</f>
        <v>45</v>
      </c>
    </row>
    <row r="2495" spans="1:15" x14ac:dyDescent="0.3">
      <c r="A2495" t="s">
        <v>4301</v>
      </c>
      <c r="B2495" t="s">
        <v>2688</v>
      </c>
      <c r="C2495" t="s">
        <v>381</v>
      </c>
      <c r="D2495" t="s">
        <v>1053</v>
      </c>
      <c r="E2495">
        <v>2</v>
      </c>
      <c r="F2495">
        <f>_xlfn.XLOOKUP(Table1[[#This Row],[ProductID]],Products!A:A,Products!D:D,,0)</f>
        <v>200</v>
      </c>
      <c r="I2495">
        <v>899</v>
      </c>
      <c r="J2495">
        <v>764</v>
      </c>
      <c r="K2495" t="s">
        <v>1092</v>
      </c>
      <c r="L2495">
        <v>1528</v>
      </c>
      <c r="M2495" t="s">
        <v>1093</v>
      </c>
      <c r="N2495" t="s">
        <v>1099</v>
      </c>
      <c r="O2495">
        <f>Table1[[#This Row],[Unit_Price]]*Table1[[#This Row],[Quantity]]</f>
        <v>400</v>
      </c>
    </row>
    <row r="2496" spans="1:15" x14ac:dyDescent="0.3">
      <c r="A2496" t="s">
        <v>4302</v>
      </c>
      <c r="B2496" t="s">
        <v>2674</v>
      </c>
      <c r="C2496" t="s">
        <v>465</v>
      </c>
      <c r="D2496" t="s">
        <v>1080</v>
      </c>
      <c r="E2496">
        <v>2</v>
      </c>
      <c r="F2496">
        <f>_xlfn.XLOOKUP(Table1[[#This Row],[ProductID]],Products!A:A,Products!D:D,,0)</f>
        <v>45</v>
      </c>
      <c r="I2496">
        <v>249</v>
      </c>
      <c r="J2496">
        <v>212</v>
      </c>
      <c r="K2496" t="s">
        <v>1092</v>
      </c>
      <c r="L2496">
        <v>424</v>
      </c>
      <c r="M2496" t="s">
        <v>1098</v>
      </c>
      <c r="N2496" t="s">
        <v>1123</v>
      </c>
      <c r="O2496">
        <f>Table1[[#This Row],[Unit_Price]]*Table1[[#This Row],[Quantity]]</f>
        <v>90</v>
      </c>
    </row>
    <row r="2497" spans="1:15" x14ac:dyDescent="0.3">
      <c r="A2497" t="s">
        <v>4303</v>
      </c>
      <c r="B2497" t="s">
        <v>1765</v>
      </c>
      <c r="C2497" t="s">
        <v>67</v>
      </c>
      <c r="D2497" t="s">
        <v>1068</v>
      </c>
      <c r="E2497">
        <v>1</v>
      </c>
      <c r="F2497">
        <f>_xlfn.XLOOKUP(Table1[[#This Row],[ProductID]],Products!A:A,Products!D:D,,0)</f>
        <v>180</v>
      </c>
      <c r="I2497">
        <v>449</v>
      </c>
      <c r="J2497">
        <v>359</v>
      </c>
      <c r="K2497" t="s">
        <v>1097</v>
      </c>
      <c r="L2497">
        <v>359</v>
      </c>
      <c r="M2497" t="s">
        <v>1098</v>
      </c>
      <c r="N2497" t="s">
        <v>1099</v>
      </c>
      <c r="O2497">
        <f>Table1[[#This Row],[Unit_Price]]*Table1[[#This Row],[Quantity]]</f>
        <v>180</v>
      </c>
    </row>
    <row r="2498" spans="1:15" x14ac:dyDescent="0.3">
      <c r="A2498" t="s">
        <v>4304</v>
      </c>
      <c r="B2498" t="s">
        <v>3723</v>
      </c>
      <c r="C2498" t="s">
        <v>573</v>
      </c>
      <c r="D2498" t="s">
        <v>1055</v>
      </c>
      <c r="E2498">
        <v>1</v>
      </c>
      <c r="F2498">
        <f>_xlfn.XLOOKUP(Table1[[#This Row],[ProductID]],Products!A:A,Products!D:D,,0)</f>
        <v>75</v>
      </c>
      <c r="I2498">
        <v>299</v>
      </c>
      <c r="J2498">
        <v>299</v>
      </c>
      <c r="K2498" t="s">
        <v>1102</v>
      </c>
      <c r="L2498">
        <v>299</v>
      </c>
      <c r="M2498" t="s">
        <v>1098</v>
      </c>
      <c r="N2498" t="s">
        <v>1099</v>
      </c>
      <c r="O2498">
        <f>Table1[[#This Row],[Unit_Price]]*Table1[[#This Row],[Quantity]]</f>
        <v>75</v>
      </c>
    </row>
    <row r="2499" spans="1:15" x14ac:dyDescent="0.3">
      <c r="A2499" t="s">
        <v>4305</v>
      </c>
      <c r="B2499" t="s">
        <v>3041</v>
      </c>
      <c r="C2499" t="s">
        <v>565</v>
      </c>
      <c r="D2499" t="s">
        <v>1048</v>
      </c>
      <c r="E2499">
        <v>1</v>
      </c>
      <c r="F2499">
        <f>_xlfn.XLOOKUP(Table1[[#This Row],[ProductID]],Products!A:A,Products!D:D,,0)</f>
        <v>120</v>
      </c>
      <c r="I2499">
        <v>599</v>
      </c>
      <c r="J2499">
        <v>599</v>
      </c>
      <c r="K2499" t="s">
        <v>1102</v>
      </c>
      <c r="L2499">
        <v>599</v>
      </c>
      <c r="M2499" t="s">
        <v>1098</v>
      </c>
      <c r="N2499" t="s">
        <v>1099</v>
      </c>
      <c r="O2499">
        <f>Table1[[#This Row],[Unit_Price]]*Table1[[#This Row],[Quantity]]</f>
        <v>120</v>
      </c>
    </row>
    <row r="2500" spans="1:15" x14ac:dyDescent="0.3">
      <c r="A2500" t="s">
        <v>4306</v>
      </c>
      <c r="B2500" t="s">
        <v>2502</v>
      </c>
      <c r="C2500" t="s">
        <v>995</v>
      </c>
      <c r="D2500" t="s">
        <v>1051</v>
      </c>
      <c r="E2500">
        <v>1</v>
      </c>
      <c r="F2500">
        <f>_xlfn.XLOOKUP(Table1[[#This Row],[ProductID]],Products!A:A,Products!D:D,,0)</f>
        <v>150</v>
      </c>
      <c r="I2500">
        <v>499</v>
      </c>
      <c r="J2500">
        <v>499</v>
      </c>
      <c r="K2500" t="s">
        <v>1102</v>
      </c>
      <c r="L2500">
        <v>499</v>
      </c>
      <c r="M2500" t="s">
        <v>1098</v>
      </c>
      <c r="N2500" t="s">
        <v>1099</v>
      </c>
      <c r="O2500">
        <f>Table1[[#This Row],[Unit_Price]]*Table1[[#This Row],[Quantity]]</f>
        <v>150</v>
      </c>
    </row>
    <row r="2501" spans="1:15" x14ac:dyDescent="0.3">
      <c r="A2501" t="s">
        <v>4307</v>
      </c>
      <c r="B2501" t="s">
        <v>1555</v>
      </c>
      <c r="C2501" t="s">
        <v>110</v>
      </c>
      <c r="D2501" t="s">
        <v>1080</v>
      </c>
      <c r="E2501">
        <v>1</v>
      </c>
      <c r="F2501">
        <f>_xlfn.XLOOKUP(Table1[[#This Row],[ProductID]],Products!A:A,Products!D:D,,0)</f>
        <v>45</v>
      </c>
      <c r="I2501">
        <v>249</v>
      </c>
      <c r="J2501">
        <v>249</v>
      </c>
      <c r="K2501" t="s">
        <v>1102</v>
      </c>
      <c r="L2501">
        <v>249</v>
      </c>
      <c r="M2501" t="s">
        <v>1098</v>
      </c>
      <c r="N2501" t="s">
        <v>1123</v>
      </c>
      <c r="O2501">
        <f>Table1[[#This Row],[Unit_Price]]*Table1[[#This Row],[Quantity]]</f>
        <v>45</v>
      </c>
    </row>
    <row r="2502" spans="1:15" x14ac:dyDescent="0.3">
      <c r="A2502" t="s">
        <v>4308</v>
      </c>
      <c r="B2502" t="s">
        <v>1853</v>
      </c>
      <c r="C2502" t="s">
        <v>102</v>
      </c>
      <c r="D2502" t="s">
        <v>1066</v>
      </c>
      <c r="E2502">
        <v>1</v>
      </c>
      <c r="F2502">
        <f>_xlfn.XLOOKUP(Table1[[#This Row],[ProductID]],Products!A:A,Products!D:D,,0)</f>
        <v>140</v>
      </c>
      <c r="I2502">
        <v>499</v>
      </c>
      <c r="J2502">
        <v>449</v>
      </c>
      <c r="K2502" t="s">
        <v>1107</v>
      </c>
      <c r="L2502">
        <v>449</v>
      </c>
      <c r="M2502" t="s">
        <v>1098</v>
      </c>
      <c r="N2502" t="s">
        <v>1099</v>
      </c>
      <c r="O2502">
        <f>Table1[[#This Row],[Unit_Price]]*Table1[[#This Row],[Quantity]]</f>
        <v>140</v>
      </c>
    </row>
    <row r="2503" spans="1:15" x14ac:dyDescent="0.3">
      <c r="A2503" t="s">
        <v>4309</v>
      </c>
      <c r="B2503" t="s">
        <v>2516</v>
      </c>
      <c r="C2503" t="s">
        <v>261</v>
      </c>
      <c r="D2503" t="s">
        <v>1071</v>
      </c>
      <c r="E2503">
        <v>1</v>
      </c>
      <c r="F2503">
        <f>_xlfn.XLOOKUP(Table1[[#This Row],[ProductID]],Products!A:A,Products!D:D,,0)</f>
        <v>125</v>
      </c>
      <c r="I2503">
        <v>399</v>
      </c>
      <c r="J2503">
        <v>339</v>
      </c>
      <c r="K2503" t="s">
        <v>1092</v>
      </c>
      <c r="L2503">
        <v>339</v>
      </c>
      <c r="M2503" t="s">
        <v>1093</v>
      </c>
      <c r="N2503" t="s">
        <v>1123</v>
      </c>
      <c r="O2503">
        <f>Table1[[#This Row],[Unit_Price]]*Table1[[#This Row],[Quantity]]</f>
        <v>125</v>
      </c>
    </row>
    <row r="2504" spans="1:15" x14ac:dyDescent="0.3">
      <c r="A2504" t="s">
        <v>4310</v>
      </c>
      <c r="B2504" t="s">
        <v>2487</v>
      </c>
      <c r="C2504" t="s">
        <v>357</v>
      </c>
      <c r="D2504" t="s">
        <v>1071</v>
      </c>
      <c r="E2504">
        <v>1</v>
      </c>
      <c r="F2504">
        <f>_xlfn.XLOOKUP(Table1[[#This Row],[ProductID]],Products!A:A,Products!D:D,,0)</f>
        <v>125</v>
      </c>
      <c r="I2504">
        <v>399</v>
      </c>
      <c r="J2504">
        <v>319</v>
      </c>
      <c r="K2504" t="s">
        <v>1097</v>
      </c>
      <c r="L2504">
        <v>319</v>
      </c>
      <c r="M2504" t="s">
        <v>1093</v>
      </c>
      <c r="N2504" t="s">
        <v>1099</v>
      </c>
      <c r="O2504">
        <f>Table1[[#This Row],[Unit_Price]]*Table1[[#This Row],[Quantity]]</f>
        <v>125</v>
      </c>
    </row>
    <row r="2505" spans="1:15" x14ac:dyDescent="0.3">
      <c r="A2505" t="s">
        <v>4311</v>
      </c>
      <c r="B2505" t="s">
        <v>3124</v>
      </c>
      <c r="C2505" t="s">
        <v>497</v>
      </c>
      <c r="D2505" t="s">
        <v>1057</v>
      </c>
      <c r="E2505">
        <v>4</v>
      </c>
      <c r="F2505">
        <f>_xlfn.XLOOKUP(Table1[[#This Row],[ProductID]],Products!A:A,Products!D:D,,0)</f>
        <v>130</v>
      </c>
      <c r="I2505">
        <v>549</v>
      </c>
      <c r="J2505">
        <v>439</v>
      </c>
      <c r="K2505" t="s">
        <v>1097</v>
      </c>
      <c r="L2505">
        <v>1756</v>
      </c>
      <c r="M2505" t="s">
        <v>1126</v>
      </c>
      <c r="N2505" t="s">
        <v>1099</v>
      </c>
      <c r="O2505">
        <f>Table1[[#This Row],[Unit_Price]]*Table1[[#This Row],[Quantity]]</f>
        <v>520</v>
      </c>
    </row>
    <row r="2506" spans="1:15" x14ac:dyDescent="0.3">
      <c r="A2506" t="s">
        <v>4312</v>
      </c>
      <c r="B2506" t="s">
        <v>1953</v>
      </c>
      <c r="C2506" t="s">
        <v>177</v>
      </c>
      <c r="D2506" t="s">
        <v>1080</v>
      </c>
      <c r="E2506">
        <v>1</v>
      </c>
      <c r="F2506">
        <f>_xlfn.XLOOKUP(Table1[[#This Row],[ProductID]],Products!A:A,Products!D:D,,0)</f>
        <v>45</v>
      </c>
      <c r="I2506">
        <v>249</v>
      </c>
      <c r="J2506">
        <v>199</v>
      </c>
      <c r="K2506" t="s">
        <v>1097</v>
      </c>
      <c r="L2506">
        <v>199</v>
      </c>
      <c r="M2506" t="s">
        <v>1093</v>
      </c>
      <c r="N2506" t="s">
        <v>1099</v>
      </c>
      <c r="O2506">
        <f>Table1[[#This Row],[Unit_Price]]*Table1[[#This Row],[Quantity]]</f>
        <v>45</v>
      </c>
    </row>
    <row r="2507" spans="1:15" x14ac:dyDescent="0.3">
      <c r="A2507" t="s">
        <v>4313</v>
      </c>
      <c r="B2507" t="s">
        <v>1138</v>
      </c>
      <c r="C2507" t="s">
        <v>148</v>
      </c>
      <c r="D2507" t="s">
        <v>1059</v>
      </c>
      <c r="E2507">
        <v>1</v>
      </c>
      <c r="F2507">
        <f>_xlfn.XLOOKUP(Table1[[#This Row],[ProductID]],Products!A:A,Products!D:D,,0)</f>
        <v>110</v>
      </c>
      <c r="I2507">
        <v>399</v>
      </c>
      <c r="J2507">
        <v>319</v>
      </c>
      <c r="K2507" t="s">
        <v>1097</v>
      </c>
      <c r="L2507">
        <v>319</v>
      </c>
      <c r="M2507" t="s">
        <v>1093</v>
      </c>
      <c r="N2507" t="s">
        <v>1099</v>
      </c>
      <c r="O2507">
        <f>Table1[[#This Row],[Unit_Price]]*Table1[[#This Row],[Quantity]]</f>
        <v>110</v>
      </c>
    </row>
    <row r="2508" spans="1:15" x14ac:dyDescent="0.3">
      <c r="A2508" t="s">
        <v>4314</v>
      </c>
      <c r="B2508" t="s">
        <v>1178</v>
      </c>
      <c r="C2508" t="s">
        <v>179</v>
      </c>
      <c r="D2508" t="s">
        <v>1068</v>
      </c>
      <c r="E2508">
        <v>4</v>
      </c>
      <c r="F2508">
        <f>_xlfn.XLOOKUP(Table1[[#This Row],[ProductID]],Products!A:A,Products!D:D,,0)</f>
        <v>180</v>
      </c>
      <c r="I2508">
        <v>449</v>
      </c>
      <c r="J2508">
        <v>382</v>
      </c>
      <c r="K2508" t="s">
        <v>1092</v>
      </c>
      <c r="L2508">
        <v>1528</v>
      </c>
      <c r="M2508" t="s">
        <v>1093</v>
      </c>
      <c r="N2508" t="s">
        <v>1094</v>
      </c>
      <c r="O2508">
        <f>Table1[[#This Row],[Unit_Price]]*Table1[[#This Row],[Quantity]]</f>
        <v>720</v>
      </c>
    </row>
    <row r="2509" spans="1:15" x14ac:dyDescent="0.3">
      <c r="A2509" t="s">
        <v>4315</v>
      </c>
      <c r="B2509" t="s">
        <v>3607</v>
      </c>
      <c r="C2509" t="s">
        <v>629</v>
      </c>
      <c r="D2509" t="s">
        <v>1062</v>
      </c>
      <c r="E2509">
        <v>2</v>
      </c>
      <c r="F2509">
        <f>_xlfn.XLOOKUP(Table1[[#This Row],[ProductID]],Products!A:A,Products!D:D,,0)</f>
        <v>95</v>
      </c>
      <c r="I2509">
        <v>349</v>
      </c>
      <c r="J2509">
        <v>349</v>
      </c>
      <c r="K2509" t="s">
        <v>1102</v>
      </c>
      <c r="L2509">
        <v>698</v>
      </c>
      <c r="M2509" t="s">
        <v>1098</v>
      </c>
      <c r="N2509" t="s">
        <v>1099</v>
      </c>
      <c r="O2509">
        <f>Table1[[#This Row],[Unit_Price]]*Table1[[#This Row],[Quantity]]</f>
        <v>190</v>
      </c>
    </row>
    <row r="2510" spans="1:15" x14ac:dyDescent="0.3">
      <c r="A2510" t="s">
        <v>4316</v>
      </c>
      <c r="B2510" t="s">
        <v>1426</v>
      </c>
      <c r="C2510" t="s">
        <v>49</v>
      </c>
      <c r="D2510" t="s">
        <v>1066</v>
      </c>
      <c r="E2510">
        <v>1</v>
      </c>
      <c r="F2510">
        <f>_xlfn.XLOOKUP(Table1[[#This Row],[ProductID]],Products!A:A,Products!D:D,,0)</f>
        <v>140</v>
      </c>
      <c r="I2510">
        <v>499</v>
      </c>
      <c r="J2510">
        <v>424</v>
      </c>
      <c r="K2510" t="s">
        <v>1092</v>
      </c>
      <c r="L2510">
        <v>424</v>
      </c>
      <c r="M2510" t="s">
        <v>1093</v>
      </c>
      <c r="N2510" t="s">
        <v>1099</v>
      </c>
      <c r="O2510">
        <f>Table1[[#This Row],[Unit_Price]]*Table1[[#This Row],[Quantity]]</f>
        <v>140</v>
      </c>
    </row>
    <row r="2511" spans="1:15" x14ac:dyDescent="0.3">
      <c r="A2511" t="s">
        <v>4317</v>
      </c>
      <c r="B2511" t="s">
        <v>1111</v>
      </c>
      <c r="C2511" t="s">
        <v>59</v>
      </c>
      <c r="D2511" t="s">
        <v>1051</v>
      </c>
      <c r="E2511">
        <v>2</v>
      </c>
      <c r="F2511">
        <f>_xlfn.XLOOKUP(Table1[[#This Row],[ProductID]],Products!A:A,Products!D:D,,0)</f>
        <v>150</v>
      </c>
      <c r="I2511">
        <v>499</v>
      </c>
      <c r="J2511">
        <v>399</v>
      </c>
      <c r="K2511" t="s">
        <v>1097</v>
      </c>
      <c r="L2511">
        <v>798</v>
      </c>
      <c r="M2511" t="s">
        <v>1093</v>
      </c>
      <c r="N2511" t="s">
        <v>1123</v>
      </c>
      <c r="O2511">
        <f>Table1[[#This Row],[Unit_Price]]*Table1[[#This Row],[Quantity]]</f>
        <v>300</v>
      </c>
    </row>
    <row r="2512" spans="1:15" x14ac:dyDescent="0.3">
      <c r="A2512" t="s">
        <v>4318</v>
      </c>
      <c r="B2512" t="s">
        <v>1451</v>
      </c>
      <c r="C2512" t="s">
        <v>1005</v>
      </c>
      <c r="D2512" t="s">
        <v>1068</v>
      </c>
      <c r="E2512">
        <v>3</v>
      </c>
      <c r="F2512">
        <f>_xlfn.XLOOKUP(Table1[[#This Row],[ProductID]],Products!A:A,Products!D:D,,0)</f>
        <v>180</v>
      </c>
      <c r="I2512">
        <v>449</v>
      </c>
      <c r="J2512">
        <v>382</v>
      </c>
      <c r="K2512" t="s">
        <v>1092</v>
      </c>
      <c r="L2512">
        <v>1146</v>
      </c>
      <c r="M2512" t="s">
        <v>1098</v>
      </c>
      <c r="N2512" t="s">
        <v>1099</v>
      </c>
      <c r="O2512">
        <f>Table1[[#This Row],[Unit_Price]]*Table1[[#This Row],[Quantity]]</f>
        <v>540</v>
      </c>
    </row>
    <row r="2513" spans="1:15" x14ac:dyDescent="0.3">
      <c r="A2513" t="s">
        <v>4319</v>
      </c>
      <c r="B2513" t="s">
        <v>1270</v>
      </c>
      <c r="C2513" t="s">
        <v>597</v>
      </c>
      <c r="D2513" t="s">
        <v>1051</v>
      </c>
      <c r="E2513">
        <v>1</v>
      </c>
      <c r="F2513">
        <f>_xlfn.XLOOKUP(Table1[[#This Row],[ProductID]],Products!A:A,Products!D:D,,0)</f>
        <v>150</v>
      </c>
      <c r="I2513">
        <v>499</v>
      </c>
      <c r="J2513">
        <v>449</v>
      </c>
      <c r="K2513" t="s">
        <v>1107</v>
      </c>
      <c r="L2513">
        <v>449</v>
      </c>
      <c r="M2513" t="s">
        <v>1098</v>
      </c>
      <c r="N2513" t="s">
        <v>1099</v>
      </c>
      <c r="O2513">
        <f>Table1[[#This Row],[Unit_Price]]*Table1[[#This Row],[Quantity]]</f>
        <v>150</v>
      </c>
    </row>
    <row r="2514" spans="1:15" x14ac:dyDescent="0.3">
      <c r="A2514" t="s">
        <v>4320</v>
      </c>
      <c r="B2514" t="s">
        <v>1162</v>
      </c>
      <c r="C2514" t="s">
        <v>723</v>
      </c>
      <c r="D2514" t="s">
        <v>1080</v>
      </c>
      <c r="E2514">
        <v>2</v>
      </c>
      <c r="F2514">
        <f>_xlfn.XLOOKUP(Table1[[#This Row],[ProductID]],Products!A:A,Products!D:D,,0)</f>
        <v>45</v>
      </c>
      <c r="I2514">
        <v>249</v>
      </c>
      <c r="J2514">
        <v>224</v>
      </c>
      <c r="K2514" t="s">
        <v>1107</v>
      </c>
      <c r="L2514">
        <v>448</v>
      </c>
      <c r="M2514" t="s">
        <v>1098</v>
      </c>
      <c r="N2514" t="s">
        <v>1099</v>
      </c>
      <c r="O2514">
        <f>Table1[[#This Row],[Unit_Price]]*Table1[[#This Row],[Quantity]]</f>
        <v>90</v>
      </c>
    </row>
    <row r="2515" spans="1:15" x14ac:dyDescent="0.3">
      <c r="A2515" t="s">
        <v>4321</v>
      </c>
      <c r="B2515" t="s">
        <v>1628</v>
      </c>
      <c r="C2515" t="s">
        <v>747</v>
      </c>
      <c r="D2515" t="s">
        <v>1055</v>
      </c>
      <c r="E2515">
        <v>1</v>
      </c>
      <c r="F2515">
        <f>_xlfn.XLOOKUP(Table1[[#This Row],[ProductID]],Products!A:A,Products!D:D,,0)</f>
        <v>75</v>
      </c>
      <c r="I2515">
        <v>299</v>
      </c>
      <c r="J2515">
        <v>254</v>
      </c>
      <c r="K2515" t="s">
        <v>1092</v>
      </c>
      <c r="L2515">
        <v>254</v>
      </c>
      <c r="M2515" t="s">
        <v>1093</v>
      </c>
      <c r="N2515" t="s">
        <v>1099</v>
      </c>
      <c r="O2515">
        <f>Table1[[#This Row],[Unit_Price]]*Table1[[#This Row],[Quantity]]</f>
        <v>75</v>
      </c>
    </row>
    <row r="2516" spans="1:15" x14ac:dyDescent="0.3">
      <c r="A2516" t="s">
        <v>4322</v>
      </c>
      <c r="B2516" t="s">
        <v>1457</v>
      </c>
      <c r="C2516" t="s">
        <v>761</v>
      </c>
      <c r="D2516" t="s">
        <v>1066</v>
      </c>
      <c r="E2516">
        <v>2</v>
      </c>
      <c r="F2516">
        <f>_xlfn.XLOOKUP(Table1[[#This Row],[ProductID]],Products!A:A,Products!D:D,,0)</f>
        <v>140</v>
      </c>
      <c r="I2516">
        <v>499</v>
      </c>
      <c r="J2516">
        <v>449</v>
      </c>
      <c r="K2516" t="s">
        <v>1107</v>
      </c>
      <c r="L2516">
        <v>898</v>
      </c>
      <c r="M2516" t="s">
        <v>1093</v>
      </c>
      <c r="N2516" t="s">
        <v>1123</v>
      </c>
      <c r="O2516">
        <f>Table1[[#This Row],[Unit_Price]]*Table1[[#This Row],[Quantity]]</f>
        <v>280</v>
      </c>
    </row>
    <row r="2517" spans="1:15" x14ac:dyDescent="0.3">
      <c r="A2517" t="s">
        <v>4323</v>
      </c>
      <c r="B2517" t="s">
        <v>2106</v>
      </c>
      <c r="C2517" t="s">
        <v>703</v>
      </c>
      <c r="D2517" t="s">
        <v>1057</v>
      </c>
      <c r="E2517">
        <v>3</v>
      </c>
      <c r="F2517">
        <f>_xlfn.XLOOKUP(Table1[[#This Row],[ProductID]],Products!A:A,Products!D:D,,0)</f>
        <v>130</v>
      </c>
      <c r="I2517">
        <v>549</v>
      </c>
      <c r="J2517">
        <v>467</v>
      </c>
      <c r="K2517" t="s">
        <v>1092</v>
      </c>
      <c r="L2517">
        <v>1401</v>
      </c>
      <c r="M2517" t="s">
        <v>1098</v>
      </c>
      <c r="N2517" t="s">
        <v>1099</v>
      </c>
      <c r="O2517">
        <f>Table1[[#This Row],[Unit_Price]]*Table1[[#This Row],[Quantity]]</f>
        <v>390</v>
      </c>
    </row>
    <row r="2518" spans="1:15" x14ac:dyDescent="0.3">
      <c r="A2518" t="s">
        <v>4324</v>
      </c>
      <c r="B2518" t="s">
        <v>1828</v>
      </c>
      <c r="C2518" t="s">
        <v>233</v>
      </c>
      <c r="D2518" t="s">
        <v>1073</v>
      </c>
      <c r="E2518">
        <v>1</v>
      </c>
      <c r="F2518">
        <f>_xlfn.XLOOKUP(Table1[[#This Row],[ProductID]],Products!A:A,Products!D:D,,0)</f>
        <v>100</v>
      </c>
      <c r="I2518">
        <v>349</v>
      </c>
      <c r="J2518">
        <v>297</v>
      </c>
      <c r="K2518" t="s">
        <v>1092</v>
      </c>
      <c r="L2518">
        <v>297</v>
      </c>
      <c r="M2518" t="s">
        <v>1098</v>
      </c>
      <c r="N2518" t="s">
        <v>1099</v>
      </c>
      <c r="O2518">
        <f>Table1[[#This Row],[Unit_Price]]*Table1[[#This Row],[Quantity]]</f>
        <v>100</v>
      </c>
    </row>
    <row r="2519" spans="1:15" x14ac:dyDescent="0.3">
      <c r="A2519" t="s">
        <v>4325</v>
      </c>
      <c r="B2519" t="s">
        <v>1543</v>
      </c>
      <c r="C2519" t="s">
        <v>815</v>
      </c>
      <c r="D2519" t="s">
        <v>1068</v>
      </c>
      <c r="E2519">
        <v>1</v>
      </c>
      <c r="F2519">
        <f>_xlfn.XLOOKUP(Table1[[#This Row],[ProductID]],Products!A:A,Products!D:D,,0)</f>
        <v>180</v>
      </c>
      <c r="I2519">
        <v>449</v>
      </c>
      <c r="J2519">
        <v>449</v>
      </c>
      <c r="K2519" t="s">
        <v>1102</v>
      </c>
      <c r="L2519">
        <v>449</v>
      </c>
      <c r="M2519" t="s">
        <v>1126</v>
      </c>
      <c r="N2519" t="s">
        <v>1099</v>
      </c>
      <c r="O2519">
        <f>Table1[[#This Row],[Unit_Price]]*Table1[[#This Row],[Quantity]]</f>
        <v>180</v>
      </c>
    </row>
    <row r="2520" spans="1:15" x14ac:dyDescent="0.3">
      <c r="A2520" t="s">
        <v>4326</v>
      </c>
      <c r="B2520" t="s">
        <v>1117</v>
      </c>
      <c r="C2520" t="s">
        <v>493</v>
      </c>
      <c r="D2520" t="s">
        <v>1071</v>
      </c>
      <c r="E2520">
        <v>4</v>
      </c>
      <c r="F2520">
        <f>_xlfn.XLOOKUP(Table1[[#This Row],[ProductID]],Products!A:A,Products!D:D,,0)</f>
        <v>125</v>
      </c>
      <c r="I2520">
        <v>399</v>
      </c>
      <c r="J2520">
        <v>339</v>
      </c>
      <c r="K2520" t="s">
        <v>1092</v>
      </c>
      <c r="L2520">
        <v>1356</v>
      </c>
      <c r="M2520" t="s">
        <v>1118</v>
      </c>
      <c r="N2520" t="s">
        <v>1099</v>
      </c>
      <c r="O2520">
        <f>Table1[[#This Row],[Unit_Price]]*Table1[[#This Row],[Quantity]]</f>
        <v>500</v>
      </c>
    </row>
    <row r="2521" spans="1:15" x14ac:dyDescent="0.3">
      <c r="A2521" t="s">
        <v>4327</v>
      </c>
      <c r="B2521" t="s">
        <v>1140</v>
      </c>
      <c r="C2521" t="s">
        <v>763</v>
      </c>
      <c r="D2521" t="s">
        <v>1064</v>
      </c>
      <c r="E2521">
        <v>3</v>
      </c>
      <c r="F2521">
        <f>_xlfn.XLOOKUP(Table1[[#This Row],[ProductID]],Products!A:A,Products!D:D,,0)</f>
        <v>160</v>
      </c>
      <c r="I2521">
        <v>699</v>
      </c>
      <c r="J2521">
        <v>629</v>
      </c>
      <c r="K2521" t="s">
        <v>1107</v>
      </c>
      <c r="L2521">
        <v>1887</v>
      </c>
      <c r="M2521" t="s">
        <v>1098</v>
      </c>
      <c r="N2521" t="s">
        <v>1099</v>
      </c>
      <c r="O2521">
        <f>Table1[[#This Row],[Unit_Price]]*Table1[[#This Row],[Quantity]]</f>
        <v>480</v>
      </c>
    </row>
    <row r="2522" spans="1:15" x14ac:dyDescent="0.3">
      <c r="A2522" t="s">
        <v>4328</v>
      </c>
      <c r="B2522" t="s">
        <v>2190</v>
      </c>
      <c r="C2522" t="s">
        <v>905</v>
      </c>
      <c r="D2522" t="s">
        <v>1064</v>
      </c>
      <c r="E2522">
        <v>2</v>
      </c>
      <c r="F2522">
        <f>_xlfn.XLOOKUP(Table1[[#This Row],[ProductID]],Products!A:A,Products!D:D,,0)</f>
        <v>160</v>
      </c>
      <c r="I2522">
        <v>699</v>
      </c>
      <c r="J2522">
        <v>594</v>
      </c>
      <c r="K2522" t="s">
        <v>1092</v>
      </c>
      <c r="L2522">
        <v>1188</v>
      </c>
      <c r="M2522" t="s">
        <v>1098</v>
      </c>
      <c r="N2522" t="s">
        <v>1099</v>
      </c>
      <c r="O2522">
        <f>Table1[[#This Row],[Unit_Price]]*Table1[[#This Row],[Quantity]]</f>
        <v>320</v>
      </c>
    </row>
    <row r="2523" spans="1:15" x14ac:dyDescent="0.3">
      <c r="A2523" t="s">
        <v>4329</v>
      </c>
      <c r="B2523" t="s">
        <v>2695</v>
      </c>
      <c r="C2523" t="s">
        <v>503</v>
      </c>
      <c r="D2523" t="s">
        <v>1057</v>
      </c>
      <c r="E2523">
        <v>1</v>
      </c>
      <c r="F2523">
        <f>_xlfn.XLOOKUP(Table1[[#This Row],[ProductID]],Products!A:A,Products!D:D,,0)</f>
        <v>130</v>
      </c>
      <c r="I2523">
        <v>549</v>
      </c>
      <c r="J2523">
        <v>549</v>
      </c>
      <c r="K2523" t="s">
        <v>1102</v>
      </c>
      <c r="L2523">
        <v>549</v>
      </c>
      <c r="M2523" t="s">
        <v>1098</v>
      </c>
      <c r="N2523" t="s">
        <v>1099</v>
      </c>
      <c r="O2523">
        <f>Table1[[#This Row],[Unit_Price]]*Table1[[#This Row],[Quantity]]</f>
        <v>130</v>
      </c>
    </row>
    <row r="2524" spans="1:15" x14ac:dyDescent="0.3">
      <c r="A2524" t="s">
        <v>4330</v>
      </c>
      <c r="B2524" t="s">
        <v>1394</v>
      </c>
      <c r="C2524" t="s">
        <v>457</v>
      </c>
      <c r="D2524" t="s">
        <v>1062</v>
      </c>
      <c r="E2524">
        <v>1</v>
      </c>
      <c r="F2524">
        <f>_xlfn.XLOOKUP(Table1[[#This Row],[ProductID]],Products!A:A,Products!D:D,,0)</f>
        <v>95</v>
      </c>
      <c r="I2524">
        <v>349</v>
      </c>
      <c r="J2524">
        <v>297</v>
      </c>
      <c r="K2524" t="s">
        <v>1092</v>
      </c>
      <c r="L2524">
        <v>297</v>
      </c>
      <c r="M2524" t="s">
        <v>1098</v>
      </c>
      <c r="N2524" t="s">
        <v>1099</v>
      </c>
      <c r="O2524">
        <f>Table1[[#This Row],[Unit_Price]]*Table1[[#This Row],[Quantity]]</f>
        <v>95</v>
      </c>
    </row>
    <row r="2525" spans="1:15" x14ac:dyDescent="0.3">
      <c r="A2525" t="s">
        <v>4331</v>
      </c>
      <c r="B2525" t="s">
        <v>1190</v>
      </c>
      <c r="C2525" t="s">
        <v>943</v>
      </c>
      <c r="D2525" t="s">
        <v>1051</v>
      </c>
      <c r="E2525">
        <v>1</v>
      </c>
      <c r="F2525">
        <f>_xlfn.XLOOKUP(Table1[[#This Row],[ProductID]],Products!A:A,Products!D:D,,0)</f>
        <v>150</v>
      </c>
      <c r="I2525">
        <v>499</v>
      </c>
      <c r="J2525">
        <v>424</v>
      </c>
      <c r="K2525" t="s">
        <v>1092</v>
      </c>
      <c r="L2525">
        <v>424</v>
      </c>
      <c r="M2525" t="s">
        <v>1118</v>
      </c>
      <c r="N2525" t="s">
        <v>1099</v>
      </c>
      <c r="O2525">
        <f>Table1[[#This Row],[Unit_Price]]*Table1[[#This Row],[Quantity]]</f>
        <v>150</v>
      </c>
    </row>
    <row r="2526" spans="1:15" x14ac:dyDescent="0.3">
      <c r="A2526" t="s">
        <v>4332</v>
      </c>
      <c r="B2526" t="s">
        <v>1795</v>
      </c>
      <c r="C2526" t="s">
        <v>357</v>
      </c>
      <c r="D2526" t="s">
        <v>1075</v>
      </c>
      <c r="E2526">
        <v>4</v>
      </c>
      <c r="F2526">
        <f>_xlfn.XLOOKUP(Table1[[#This Row],[ProductID]],Products!A:A,Products!D:D,,0)</f>
        <v>80</v>
      </c>
      <c r="I2526">
        <v>499</v>
      </c>
      <c r="J2526">
        <v>424</v>
      </c>
      <c r="K2526" t="s">
        <v>1092</v>
      </c>
      <c r="L2526">
        <v>1696</v>
      </c>
      <c r="M2526" t="s">
        <v>1098</v>
      </c>
      <c r="N2526" t="s">
        <v>1099</v>
      </c>
      <c r="O2526">
        <f>Table1[[#This Row],[Unit_Price]]*Table1[[#This Row],[Quantity]]</f>
        <v>320</v>
      </c>
    </row>
    <row r="2527" spans="1:15" x14ac:dyDescent="0.3">
      <c r="A2527" t="s">
        <v>4333</v>
      </c>
      <c r="B2527" t="s">
        <v>2816</v>
      </c>
      <c r="C2527" t="s">
        <v>735</v>
      </c>
      <c r="D2527" t="s">
        <v>1066</v>
      </c>
      <c r="E2527">
        <v>3</v>
      </c>
      <c r="F2527">
        <f>_xlfn.XLOOKUP(Table1[[#This Row],[ProductID]],Products!A:A,Products!D:D,,0)</f>
        <v>140</v>
      </c>
      <c r="I2527">
        <v>499</v>
      </c>
      <c r="J2527">
        <v>449</v>
      </c>
      <c r="K2527" t="s">
        <v>1107</v>
      </c>
      <c r="L2527">
        <v>1347</v>
      </c>
      <c r="M2527" t="s">
        <v>1098</v>
      </c>
      <c r="N2527" t="s">
        <v>1099</v>
      </c>
      <c r="O2527">
        <f>Table1[[#This Row],[Unit_Price]]*Table1[[#This Row],[Quantity]]</f>
        <v>420</v>
      </c>
    </row>
    <row r="2528" spans="1:15" x14ac:dyDescent="0.3">
      <c r="A2528" t="s">
        <v>4334</v>
      </c>
      <c r="B2528" t="s">
        <v>2508</v>
      </c>
      <c r="C2528" t="s">
        <v>114</v>
      </c>
      <c r="D2528" t="s">
        <v>1059</v>
      </c>
      <c r="E2528">
        <v>1</v>
      </c>
      <c r="F2528">
        <f>_xlfn.XLOOKUP(Table1[[#This Row],[ProductID]],Products!A:A,Products!D:D,,0)</f>
        <v>110</v>
      </c>
      <c r="I2528">
        <v>399</v>
      </c>
      <c r="J2528">
        <v>319</v>
      </c>
      <c r="K2528" t="s">
        <v>1097</v>
      </c>
      <c r="L2528">
        <v>319</v>
      </c>
      <c r="M2528" t="s">
        <v>1093</v>
      </c>
      <c r="N2528" t="s">
        <v>1099</v>
      </c>
      <c r="O2528">
        <f>Table1[[#This Row],[Unit_Price]]*Table1[[#This Row],[Quantity]]</f>
        <v>110</v>
      </c>
    </row>
    <row r="2529" spans="1:15" x14ac:dyDescent="0.3">
      <c r="A2529" t="s">
        <v>4335</v>
      </c>
      <c r="B2529" t="s">
        <v>2586</v>
      </c>
      <c r="C2529" t="s">
        <v>677</v>
      </c>
      <c r="D2529" t="s">
        <v>1053</v>
      </c>
      <c r="E2529">
        <v>1</v>
      </c>
      <c r="F2529">
        <f>_xlfn.XLOOKUP(Table1[[#This Row],[ProductID]],Products!A:A,Products!D:D,,0)</f>
        <v>200</v>
      </c>
      <c r="I2529">
        <v>899</v>
      </c>
      <c r="J2529">
        <v>764</v>
      </c>
      <c r="K2529" t="s">
        <v>1092</v>
      </c>
      <c r="L2529">
        <v>764</v>
      </c>
      <c r="M2529" t="s">
        <v>1098</v>
      </c>
      <c r="N2529" t="s">
        <v>1099</v>
      </c>
      <c r="O2529">
        <f>Table1[[#This Row],[Unit_Price]]*Table1[[#This Row],[Quantity]]</f>
        <v>200</v>
      </c>
    </row>
    <row r="2530" spans="1:15" x14ac:dyDescent="0.3">
      <c r="A2530" t="s">
        <v>4336</v>
      </c>
      <c r="B2530" t="s">
        <v>1549</v>
      </c>
      <c r="C2530" t="s">
        <v>341</v>
      </c>
      <c r="D2530" t="s">
        <v>1078</v>
      </c>
      <c r="E2530">
        <v>2</v>
      </c>
      <c r="F2530">
        <f>_xlfn.XLOOKUP(Table1[[#This Row],[ProductID]],Products!A:A,Products!D:D,,0)</f>
        <v>80</v>
      </c>
      <c r="I2530">
        <v>499</v>
      </c>
      <c r="J2530">
        <v>499</v>
      </c>
      <c r="K2530" t="s">
        <v>1102</v>
      </c>
      <c r="L2530">
        <v>998</v>
      </c>
      <c r="M2530" t="s">
        <v>1098</v>
      </c>
      <c r="N2530" t="s">
        <v>1099</v>
      </c>
      <c r="O2530">
        <f>Table1[[#This Row],[Unit_Price]]*Table1[[#This Row],[Quantity]]</f>
        <v>160</v>
      </c>
    </row>
    <row r="2531" spans="1:15" x14ac:dyDescent="0.3">
      <c r="A2531" t="s">
        <v>4337</v>
      </c>
      <c r="B2531" t="s">
        <v>2265</v>
      </c>
      <c r="C2531" t="s">
        <v>821</v>
      </c>
      <c r="D2531" t="s">
        <v>1066</v>
      </c>
      <c r="E2531">
        <v>1</v>
      </c>
      <c r="F2531">
        <f>_xlfn.XLOOKUP(Table1[[#This Row],[ProductID]],Products!A:A,Products!D:D,,0)</f>
        <v>140</v>
      </c>
      <c r="I2531">
        <v>499</v>
      </c>
      <c r="J2531">
        <v>424</v>
      </c>
      <c r="K2531" t="s">
        <v>1092</v>
      </c>
      <c r="L2531">
        <v>424</v>
      </c>
      <c r="M2531" t="s">
        <v>1093</v>
      </c>
      <c r="N2531" t="s">
        <v>1094</v>
      </c>
      <c r="O2531">
        <f>Table1[[#This Row],[Unit_Price]]*Table1[[#This Row],[Quantity]]</f>
        <v>140</v>
      </c>
    </row>
    <row r="2532" spans="1:15" x14ac:dyDescent="0.3">
      <c r="A2532" t="s">
        <v>4338</v>
      </c>
      <c r="B2532" t="s">
        <v>1339</v>
      </c>
      <c r="C2532" t="s">
        <v>737</v>
      </c>
      <c r="D2532" t="s">
        <v>1073</v>
      </c>
      <c r="E2532">
        <v>2</v>
      </c>
      <c r="F2532">
        <f>_xlfn.XLOOKUP(Table1[[#This Row],[ProductID]],Products!A:A,Products!D:D,,0)</f>
        <v>100</v>
      </c>
      <c r="I2532">
        <v>349</v>
      </c>
      <c r="J2532">
        <v>349</v>
      </c>
      <c r="K2532" t="s">
        <v>1102</v>
      </c>
      <c r="L2532">
        <v>698</v>
      </c>
      <c r="M2532" t="s">
        <v>1126</v>
      </c>
      <c r="N2532" t="s">
        <v>1099</v>
      </c>
      <c r="O2532">
        <f>Table1[[#This Row],[Unit_Price]]*Table1[[#This Row],[Quantity]]</f>
        <v>200</v>
      </c>
    </row>
    <row r="2533" spans="1:15" x14ac:dyDescent="0.3">
      <c r="A2533" t="s">
        <v>4339</v>
      </c>
      <c r="B2533" t="s">
        <v>2487</v>
      </c>
      <c r="C2533" t="s">
        <v>989</v>
      </c>
      <c r="D2533" t="s">
        <v>1073</v>
      </c>
      <c r="E2533">
        <v>2</v>
      </c>
      <c r="F2533">
        <f>_xlfn.XLOOKUP(Table1[[#This Row],[ProductID]],Products!A:A,Products!D:D,,0)</f>
        <v>100</v>
      </c>
      <c r="I2533">
        <v>349</v>
      </c>
      <c r="J2533">
        <v>279</v>
      </c>
      <c r="K2533" t="s">
        <v>1097</v>
      </c>
      <c r="L2533">
        <v>558</v>
      </c>
      <c r="M2533" t="s">
        <v>1098</v>
      </c>
      <c r="N2533" t="s">
        <v>1099</v>
      </c>
      <c r="O2533">
        <f>Table1[[#This Row],[Unit_Price]]*Table1[[#This Row],[Quantity]]</f>
        <v>200</v>
      </c>
    </row>
    <row r="2534" spans="1:15" x14ac:dyDescent="0.3">
      <c r="A2534" t="s">
        <v>4340</v>
      </c>
      <c r="B2534" t="s">
        <v>2999</v>
      </c>
      <c r="C2534" t="s">
        <v>211</v>
      </c>
      <c r="D2534" t="s">
        <v>1066</v>
      </c>
      <c r="E2534">
        <v>2</v>
      </c>
      <c r="F2534">
        <f>_xlfn.XLOOKUP(Table1[[#This Row],[ProductID]],Products!A:A,Products!D:D,,0)</f>
        <v>140</v>
      </c>
      <c r="I2534">
        <v>499</v>
      </c>
      <c r="J2534">
        <v>499</v>
      </c>
      <c r="K2534" t="s">
        <v>1102</v>
      </c>
      <c r="L2534">
        <v>998</v>
      </c>
      <c r="M2534" t="s">
        <v>1098</v>
      </c>
      <c r="N2534" t="s">
        <v>1099</v>
      </c>
      <c r="O2534">
        <f>Table1[[#This Row],[Unit_Price]]*Table1[[#This Row],[Quantity]]</f>
        <v>280</v>
      </c>
    </row>
    <row r="2535" spans="1:15" x14ac:dyDescent="0.3">
      <c r="A2535" t="s">
        <v>4341</v>
      </c>
      <c r="B2535" t="s">
        <v>2805</v>
      </c>
      <c r="C2535" t="s">
        <v>126</v>
      </c>
      <c r="D2535" t="s">
        <v>1071</v>
      </c>
      <c r="E2535">
        <v>4</v>
      </c>
      <c r="F2535">
        <f>_xlfn.XLOOKUP(Table1[[#This Row],[ProductID]],Products!A:A,Products!D:D,,0)</f>
        <v>125</v>
      </c>
      <c r="I2535">
        <v>399</v>
      </c>
      <c r="J2535">
        <v>319</v>
      </c>
      <c r="K2535" t="s">
        <v>1097</v>
      </c>
      <c r="L2535">
        <v>1276</v>
      </c>
      <c r="M2535" t="s">
        <v>1098</v>
      </c>
      <c r="N2535" t="s">
        <v>1099</v>
      </c>
      <c r="O2535">
        <f>Table1[[#This Row],[Unit_Price]]*Table1[[#This Row],[Quantity]]</f>
        <v>500</v>
      </c>
    </row>
    <row r="2536" spans="1:15" x14ac:dyDescent="0.3">
      <c r="A2536" t="s">
        <v>4342</v>
      </c>
      <c r="B2536" t="s">
        <v>1895</v>
      </c>
      <c r="C2536" t="s">
        <v>639</v>
      </c>
      <c r="D2536" t="s">
        <v>1062</v>
      </c>
      <c r="E2536">
        <v>1</v>
      </c>
      <c r="F2536">
        <f>_xlfn.XLOOKUP(Table1[[#This Row],[ProductID]],Products!A:A,Products!D:D,,0)</f>
        <v>95</v>
      </c>
      <c r="I2536">
        <v>349</v>
      </c>
      <c r="J2536">
        <v>314</v>
      </c>
      <c r="K2536" t="s">
        <v>1107</v>
      </c>
      <c r="L2536">
        <v>314</v>
      </c>
      <c r="M2536" t="s">
        <v>1093</v>
      </c>
      <c r="N2536" t="s">
        <v>1099</v>
      </c>
      <c r="O2536">
        <f>Table1[[#This Row],[Unit_Price]]*Table1[[#This Row],[Quantity]]</f>
        <v>95</v>
      </c>
    </row>
    <row r="2537" spans="1:15" x14ac:dyDescent="0.3">
      <c r="A2537" t="s">
        <v>4343</v>
      </c>
      <c r="B2537" t="s">
        <v>2555</v>
      </c>
      <c r="C2537" t="s">
        <v>557</v>
      </c>
      <c r="D2537" t="s">
        <v>1064</v>
      </c>
      <c r="E2537">
        <v>1</v>
      </c>
      <c r="F2537">
        <f>_xlfn.XLOOKUP(Table1[[#This Row],[ProductID]],Products!A:A,Products!D:D,,0)</f>
        <v>160</v>
      </c>
      <c r="I2537">
        <v>699</v>
      </c>
      <c r="J2537">
        <v>594</v>
      </c>
      <c r="K2537" t="s">
        <v>1092</v>
      </c>
      <c r="L2537">
        <v>594</v>
      </c>
      <c r="M2537" t="s">
        <v>1098</v>
      </c>
      <c r="N2537" t="s">
        <v>1099</v>
      </c>
      <c r="O2537">
        <f>Table1[[#This Row],[Unit_Price]]*Table1[[#This Row],[Quantity]]</f>
        <v>160</v>
      </c>
    </row>
    <row r="2538" spans="1:15" x14ac:dyDescent="0.3">
      <c r="A2538" t="s">
        <v>4344</v>
      </c>
      <c r="B2538" t="s">
        <v>2267</v>
      </c>
      <c r="C2538" t="s">
        <v>303</v>
      </c>
      <c r="D2538" t="s">
        <v>1080</v>
      </c>
      <c r="E2538">
        <v>2</v>
      </c>
      <c r="F2538">
        <f>_xlfn.XLOOKUP(Table1[[#This Row],[ProductID]],Products!A:A,Products!D:D,,0)</f>
        <v>45</v>
      </c>
      <c r="I2538">
        <v>249</v>
      </c>
      <c r="J2538">
        <v>224</v>
      </c>
      <c r="K2538" t="s">
        <v>1107</v>
      </c>
      <c r="L2538">
        <v>448</v>
      </c>
      <c r="M2538" t="s">
        <v>1126</v>
      </c>
      <c r="N2538" t="s">
        <v>1099</v>
      </c>
      <c r="O2538">
        <f>Table1[[#This Row],[Unit_Price]]*Table1[[#This Row],[Quantity]]</f>
        <v>90</v>
      </c>
    </row>
    <row r="2539" spans="1:15" x14ac:dyDescent="0.3">
      <c r="A2539" t="s">
        <v>4345</v>
      </c>
      <c r="B2539" t="s">
        <v>1828</v>
      </c>
      <c r="C2539" t="s">
        <v>489</v>
      </c>
      <c r="D2539" t="s">
        <v>1055</v>
      </c>
      <c r="E2539">
        <v>1</v>
      </c>
      <c r="F2539">
        <f>_xlfn.XLOOKUP(Table1[[#This Row],[ProductID]],Products!A:A,Products!D:D,,0)</f>
        <v>75</v>
      </c>
      <c r="I2539">
        <v>299</v>
      </c>
      <c r="J2539">
        <v>269</v>
      </c>
      <c r="K2539" t="s">
        <v>1107</v>
      </c>
      <c r="L2539">
        <v>269</v>
      </c>
      <c r="M2539" t="s">
        <v>1098</v>
      </c>
      <c r="N2539" t="s">
        <v>1099</v>
      </c>
      <c r="O2539">
        <f>Table1[[#This Row],[Unit_Price]]*Table1[[#This Row],[Quantity]]</f>
        <v>75</v>
      </c>
    </row>
    <row r="2540" spans="1:15" x14ac:dyDescent="0.3">
      <c r="A2540" t="s">
        <v>4346</v>
      </c>
      <c r="B2540" t="s">
        <v>1447</v>
      </c>
      <c r="C2540" t="s">
        <v>707</v>
      </c>
      <c r="D2540" t="s">
        <v>1057</v>
      </c>
      <c r="E2540">
        <v>2</v>
      </c>
      <c r="F2540">
        <f>_xlfn.XLOOKUP(Table1[[#This Row],[ProductID]],Products!A:A,Products!D:D,,0)</f>
        <v>130</v>
      </c>
      <c r="I2540">
        <v>549</v>
      </c>
      <c r="J2540">
        <v>467</v>
      </c>
      <c r="K2540" t="s">
        <v>1092</v>
      </c>
      <c r="L2540">
        <v>934</v>
      </c>
      <c r="M2540" t="s">
        <v>1126</v>
      </c>
      <c r="N2540" t="s">
        <v>1099</v>
      </c>
      <c r="O2540">
        <f>Table1[[#This Row],[Unit_Price]]*Table1[[#This Row],[Quantity]]</f>
        <v>260</v>
      </c>
    </row>
    <row r="2541" spans="1:15" x14ac:dyDescent="0.3">
      <c r="A2541" t="s">
        <v>4347</v>
      </c>
      <c r="B2541" t="s">
        <v>2072</v>
      </c>
      <c r="C2541" t="s">
        <v>667</v>
      </c>
      <c r="D2541" t="s">
        <v>1080</v>
      </c>
      <c r="E2541">
        <v>1</v>
      </c>
      <c r="F2541">
        <f>_xlfn.XLOOKUP(Table1[[#This Row],[ProductID]],Products!A:A,Products!D:D,,0)</f>
        <v>45</v>
      </c>
      <c r="I2541">
        <v>249</v>
      </c>
      <c r="J2541">
        <v>199</v>
      </c>
      <c r="K2541" t="s">
        <v>1097</v>
      </c>
      <c r="L2541">
        <v>199</v>
      </c>
      <c r="M2541" t="s">
        <v>1093</v>
      </c>
      <c r="N2541" t="s">
        <v>1099</v>
      </c>
      <c r="O2541">
        <f>Table1[[#This Row],[Unit_Price]]*Table1[[#This Row],[Quantity]]</f>
        <v>45</v>
      </c>
    </row>
    <row r="2542" spans="1:15" x14ac:dyDescent="0.3">
      <c r="A2542" t="s">
        <v>4348</v>
      </c>
      <c r="B2542" t="s">
        <v>1741</v>
      </c>
      <c r="C2542" t="s">
        <v>315</v>
      </c>
      <c r="D2542" t="s">
        <v>1073</v>
      </c>
      <c r="E2542">
        <v>1</v>
      </c>
      <c r="F2542">
        <f>_xlfn.XLOOKUP(Table1[[#This Row],[ProductID]],Products!A:A,Products!D:D,,0)</f>
        <v>100</v>
      </c>
      <c r="I2542">
        <v>349</v>
      </c>
      <c r="J2542">
        <v>279</v>
      </c>
      <c r="K2542" t="s">
        <v>1097</v>
      </c>
      <c r="L2542">
        <v>279</v>
      </c>
      <c r="M2542" t="s">
        <v>1093</v>
      </c>
      <c r="N2542" t="s">
        <v>1094</v>
      </c>
      <c r="O2542">
        <f>Table1[[#This Row],[Unit_Price]]*Table1[[#This Row],[Quantity]]</f>
        <v>100</v>
      </c>
    </row>
    <row r="2543" spans="1:15" x14ac:dyDescent="0.3">
      <c r="A2543" t="s">
        <v>4349</v>
      </c>
      <c r="B2543" t="s">
        <v>3009</v>
      </c>
      <c r="C2543" t="s">
        <v>629</v>
      </c>
      <c r="D2543" t="s">
        <v>1055</v>
      </c>
      <c r="E2543">
        <v>1</v>
      </c>
      <c r="F2543">
        <f>_xlfn.XLOOKUP(Table1[[#This Row],[ProductID]],Products!A:A,Products!D:D,,0)</f>
        <v>75</v>
      </c>
      <c r="I2543">
        <v>299</v>
      </c>
      <c r="J2543">
        <v>239</v>
      </c>
      <c r="K2543" t="s">
        <v>1097</v>
      </c>
      <c r="L2543">
        <v>239</v>
      </c>
      <c r="M2543" t="s">
        <v>1093</v>
      </c>
      <c r="N2543" t="s">
        <v>1099</v>
      </c>
      <c r="O2543">
        <f>Table1[[#This Row],[Unit_Price]]*Table1[[#This Row],[Quantity]]</f>
        <v>75</v>
      </c>
    </row>
    <row r="2544" spans="1:15" x14ac:dyDescent="0.3">
      <c r="A2544" t="s">
        <v>4350</v>
      </c>
      <c r="B2544" t="s">
        <v>4351</v>
      </c>
      <c r="C2544" t="s">
        <v>1013</v>
      </c>
      <c r="D2544" t="s">
        <v>1073</v>
      </c>
      <c r="E2544">
        <v>2</v>
      </c>
      <c r="F2544">
        <f>_xlfn.XLOOKUP(Table1[[#This Row],[ProductID]],Products!A:A,Products!D:D,,0)</f>
        <v>100</v>
      </c>
      <c r="I2544">
        <v>349</v>
      </c>
      <c r="J2544">
        <v>349</v>
      </c>
      <c r="K2544" t="s">
        <v>1102</v>
      </c>
      <c r="L2544">
        <v>698</v>
      </c>
      <c r="M2544" t="s">
        <v>1098</v>
      </c>
      <c r="N2544" t="s">
        <v>1099</v>
      </c>
      <c r="O2544">
        <f>Table1[[#This Row],[Unit_Price]]*Table1[[#This Row],[Quantity]]</f>
        <v>200</v>
      </c>
    </row>
    <row r="2545" spans="1:15" x14ac:dyDescent="0.3">
      <c r="A2545" t="s">
        <v>4352</v>
      </c>
      <c r="B2545" t="s">
        <v>1668</v>
      </c>
      <c r="C2545" t="s">
        <v>213</v>
      </c>
      <c r="D2545" t="s">
        <v>1071</v>
      </c>
      <c r="E2545">
        <v>2</v>
      </c>
      <c r="F2545">
        <f>_xlfn.XLOOKUP(Table1[[#This Row],[ProductID]],Products!A:A,Products!D:D,,0)</f>
        <v>125</v>
      </c>
      <c r="I2545">
        <v>399</v>
      </c>
      <c r="J2545">
        <v>399</v>
      </c>
      <c r="K2545" t="s">
        <v>1102</v>
      </c>
      <c r="L2545">
        <v>798</v>
      </c>
      <c r="M2545" t="s">
        <v>1098</v>
      </c>
      <c r="N2545" t="s">
        <v>1099</v>
      </c>
      <c r="O2545">
        <f>Table1[[#This Row],[Unit_Price]]*Table1[[#This Row],[Quantity]]</f>
        <v>250</v>
      </c>
    </row>
    <row r="2546" spans="1:15" x14ac:dyDescent="0.3">
      <c r="A2546" t="s">
        <v>4353</v>
      </c>
      <c r="B2546" t="s">
        <v>3032</v>
      </c>
      <c r="C2546" t="s">
        <v>959</v>
      </c>
      <c r="D2546" t="s">
        <v>1066</v>
      </c>
      <c r="E2546">
        <v>4</v>
      </c>
      <c r="F2546">
        <f>_xlfn.XLOOKUP(Table1[[#This Row],[ProductID]],Products!A:A,Products!D:D,,0)</f>
        <v>140</v>
      </c>
      <c r="I2546">
        <v>499</v>
      </c>
      <c r="J2546">
        <v>449</v>
      </c>
      <c r="K2546" t="s">
        <v>1107</v>
      </c>
      <c r="L2546">
        <v>1796</v>
      </c>
      <c r="M2546" t="s">
        <v>1098</v>
      </c>
      <c r="N2546" t="s">
        <v>1099</v>
      </c>
      <c r="O2546">
        <f>Table1[[#This Row],[Unit_Price]]*Table1[[#This Row],[Quantity]]</f>
        <v>560</v>
      </c>
    </row>
    <row r="2547" spans="1:15" x14ac:dyDescent="0.3">
      <c r="A2547" t="s">
        <v>4354</v>
      </c>
      <c r="B2547" t="s">
        <v>2624</v>
      </c>
      <c r="C2547" t="s">
        <v>899</v>
      </c>
      <c r="D2547" t="s">
        <v>1051</v>
      </c>
      <c r="E2547">
        <v>1</v>
      </c>
      <c r="F2547">
        <f>_xlfn.XLOOKUP(Table1[[#This Row],[ProductID]],Products!A:A,Products!D:D,,0)</f>
        <v>150</v>
      </c>
      <c r="I2547">
        <v>499</v>
      </c>
      <c r="J2547">
        <v>499</v>
      </c>
      <c r="K2547" t="s">
        <v>1102</v>
      </c>
      <c r="L2547">
        <v>499</v>
      </c>
      <c r="M2547" t="s">
        <v>1093</v>
      </c>
      <c r="N2547" t="s">
        <v>1099</v>
      </c>
      <c r="O2547">
        <f>Table1[[#This Row],[Unit_Price]]*Table1[[#This Row],[Quantity]]</f>
        <v>150</v>
      </c>
    </row>
    <row r="2548" spans="1:15" x14ac:dyDescent="0.3">
      <c r="A2548" t="s">
        <v>4355</v>
      </c>
      <c r="B2548" t="s">
        <v>1513</v>
      </c>
      <c r="C2548" t="s">
        <v>126</v>
      </c>
      <c r="D2548" t="s">
        <v>1053</v>
      </c>
      <c r="E2548">
        <v>1</v>
      </c>
      <c r="F2548">
        <f>_xlfn.XLOOKUP(Table1[[#This Row],[ProductID]],Products!A:A,Products!D:D,,0)</f>
        <v>200</v>
      </c>
      <c r="I2548">
        <v>899</v>
      </c>
      <c r="J2548">
        <v>719</v>
      </c>
      <c r="K2548" t="s">
        <v>1097</v>
      </c>
      <c r="L2548">
        <v>719</v>
      </c>
      <c r="M2548" t="s">
        <v>1098</v>
      </c>
      <c r="N2548" t="s">
        <v>1099</v>
      </c>
      <c r="O2548">
        <f>Table1[[#This Row],[Unit_Price]]*Table1[[#This Row],[Quantity]]</f>
        <v>200</v>
      </c>
    </row>
    <row r="2549" spans="1:15" x14ac:dyDescent="0.3">
      <c r="A2549" t="s">
        <v>4356</v>
      </c>
      <c r="B2549" t="s">
        <v>1517</v>
      </c>
      <c r="C2549" t="s">
        <v>709</v>
      </c>
      <c r="D2549" t="s">
        <v>1048</v>
      </c>
      <c r="E2549">
        <v>1</v>
      </c>
      <c r="F2549">
        <f>_xlfn.XLOOKUP(Table1[[#This Row],[ProductID]],Products!A:A,Products!D:D,,0)</f>
        <v>120</v>
      </c>
      <c r="I2549">
        <v>599</v>
      </c>
      <c r="J2549">
        <v>479</v>
      </c>
      <c r="K2549" t="s">
        <v>1097</v>
      </c>
      <c r="L2549">
        <v>479</v>
      </c>
      <c r="M2549" t="s">
        <v>1098</v>
      </c>
      <c r="N2549" t="s">
        <v>1099</v>
      </c>
      <c r="O2549">
        <f>Table1[[#This Row],[Unit_Price]]*Table1[[#This Row],[Quantity]]</f>
        <v>120</v>
      </c>
    </row>
    <row r="2550" spans="1:15" x14ac:dyDescent="0.3">
      <c r="A2550" t="s">
        <v>4357</v>
      </c>
      <c r="B2550" t="s">
        <v>1418</v>
      </c>
      <c r="C2550" t="s">
        <v>156</v>
      </c>
      <c r="D2550" t="s">
        <v>1062</v>
      </c>
      <c r="E2550">
        <v>2</v>
      </c>
      <c r="F2550">
        <f>_xlfn.XLOOKUP(Table1[[#This Row],[ProductID]],Products!A:A,Products!D:D,,0)</f>
        <v>95</v>
      </c>
      <c r="I2550">
        <v>349</v>
      </c>
      <c r="J2550">
        <v>314</v>
      </c>
      <c r="K2550" t="s">
        <v>1107</v>
      </c>
      <c r="L2550">
        <v>628</v>
      </c>
      <c r="M2550" t="s">
        <v>1093</v>
      </c>
      <c r="N2550" t="s">
        <v>1094</v>
      </c>
      <c r="O2550">
        <f>Table1[[#This Row],[Unit_Price]]*Table1[[#This Row],[Quantity]]</f>
        <v>190</v>
      </c>
    </row>
    <row r="2551" spans="1:15" x14ac:dyDescent="0.3">
      <c r="A2551" t="s">
        <v>4358</v>
      </c>
      <c r="B2551" t="s">
        <v>2350</v>
      </c>
      <c r="C2551" t="s">
        <v>573</v>
      </c>
      <c r="D2551" t="s">
        <v>1075</v>
      </c>
      <c r="E2551">
        <v>2</v>
      </c>
      <c r="F2551">
        <f>_xlfn.XLOOKUP(Table1[[#This Row],[ProductID]],Products!A:A,Products!D:D,,0)</f>
        <v>80</v>
      </c>
      <c r="I2551">
        <v>499</v>
      </c>
      <c r="J2551">
        <v>449</v>
      </c>
      <c r="K2551" t="s">
        <v>1107</v>
      </c>
      <c r="L2551">
        <v>898</v>
      </c>
      <c r="M2551" t="s">
        <v>1098</v>
      </c>
      <c r="N2551" t="s">
        <v>1099</v>
      </c>
      <c r="O2551">
        <f>Table1[[#This Row],[Unit_Price]]*Table1[[#This Row],[Quantity]]</f>
        <v>160</v>
      </c>
    </row>
    <row r="2552" spans="1:15" x14ac:dyDescent="0.3">
      <c r="A2552" t="s">
        <v>4359</v>
      </c>
      <c r="B2552" t="s">
        <v>1995</v>
      </c>
      <c r="C2552" t="s">
        <v>911</v>
      </c>
      <c r="D2552" t="s">
        <v>1071</v>
      </c>
      <c r="E2552">
        <v>1</v>
      </c>
      <c r="F2552">
        <f>_xlfn.XLOOKUP(Table1[[#This Row],[ProductID]],Products!A:A,Products!D:D,,0)</f>
        <v>125</v>
      </c>
      <c r="I2552">
        <v>399</v>
      </c>
      <c r="J2552">
        <v>339</v>
      </c>
      <c r="K2552" t="s">
        <v>1092</v>
      </c>
      <c r="L2552">
        <v>339</v>
      </c>
      <c r="M2552" t="s">
        <v>1098</v>
      </c>
      <c r="N2552" t="s">
        <v>1123</v>
      </c>
      <c r="O2552">
        <f>Table1[[#This Row],[Unit_Price]]*Table1[[#This Row],[Quantity]]</f>
        <v>125</v>
      </c>
    </row>
    <row r="2553" spans="1:15" x14ac:dyDescent="0.3">
      <c r="A2553" t="s">
        <v>4360</v>
      </c>
      <c r="B2553" t="s">
        <v>3549</v>
      </c>
      <c r="C2553" t="s">
        <v>849</v>
      </c>
      <c r="D2553" t="s">
        <v>1053</v>
      </c>
      <c r="E2553">
        <v>2</v>
      </c>
      <c r="F2553">
        <f>_xlfn.XLOOKUP(Table1[[#This Row],[ProductID]],Products!A:A,Products!D:D,,0)</f>
        <v>200</v>
      </c>
      <c r="I2553">
        <v>899</v>
      </c>
      <c r="J2553">
        <v>809</v>
      </c>
      <c r="K2553" t="s">
        <v>1107</v>
      </c>
      <c r="L2553">
        <v>1618</v>
      </c>
      <c r="M2553" t="s">
        <v>1098</v>
      </c>
      <c r="N2553" t="s">
        <v>1123</v>
      </c>
      <c r="O2553">
        <f>Table1[[#This Row],[Unit_Price]]*Table1[[#This Row],[Quantity]]</f>
        <v>400</v>
      </c>
    </row>
    <row r="2554" spans="1:15" x14ac:dyDescent="0.3">
      <c r="A2554" t="s">
        <v>4361</v>
      </c>
      <c r="B2554" t="s">
        <v>2139</v>
      </c>
      <c r="C2554" t="s">
        <v>691</v>
      </c>
      <c r="D2554" t="s">
        <v>1048</v>
      </c>
      <c r="E2554">
        <v>2</v>
      </c>
      <c r="F2554">
        <f>_xlfn.XLOOKUP(Table1[[#This Row],[ProductID]],Products!A:A,Products!D:D,,0)</f>
        <v>120</v>
      </c>
      <c r="I2554">
        <v>599</v>
      </c>
      <c r="J2554">
        <v>509</v>
      </c>
      <c r="K2554" t="s">
        <v>1092</v>
      </c>
      <c r="L2554">
        <v>1018</v>
      </c>
      <c r="M2554" t="s">
        <v>1098</v>
      </c>
      <c r="N2554" t="s">
        <v>1099</v>
      </c>
      <c r="O2554">
        <f>Table1[[#This Row],[Unit_Price]]*Table1[[#This Row],[Quantity]]</f>
        <v>240</v>
      </c>
    </row>
    <row r="2555" spans="1:15" x14ac:dyDescent="0.3">
      <c r="A2555" t="s">
        <v>4362</v>
      </c>
      <c r="B2555" t="s">
        <v>1851</v>
      </c>
      <c r="C2555" t="s">
        <v>883</v>
      </c>
      <c r="D2555" t="s">
        <v>1057</v>
      </c>
      <c r="E2555">
        <v>1</v>
      </c>
      <c r="F2555">
        <f>_xlfn.XLOOKUP(Table1[[#This Row],[ProductID]],Products!A:A,Products!D:D,,0)</f>
        <v>130</v>
      </c>
      <c r="I2555">
        <v>549</v>
      </c>
      <c r="J2555">
        <v>467</v>
      </c>
      <c r="K2555" t="s">
        <v>1092</v>
      </c>
      <c r="L2555">
        <v>467</v>
      </c>
      <c r="M2555" t="s">
        <v>1093</v>
      </c>
      <c r="N2555" t="s">
        <v>1123</v>
      </c>
      <c r="O2555">
        <f>Table1[[#This Row],[Unit_Price]]*Table1[[#This Row],[Quantity]]</f>
        <v>130</v>
      </c>
    </row>
    <row r="2556" spans="1:15" x14ac:dyDescent="0.3">
      <c r="A2556" t="s">
        <v>4363</v>
      </c>
      <c r="B2556" t="s">
        <v>3526</v>
      </c>
      <c r="C2556" t="s">
        <v>717</v>
      </c>
      <c r="D2556" t="s">
        <v>1064</v>
      </c>
      <c r="E2556">
        <v>2</v>
      </c>
      <c r="F2556">
        <f>_xlfn.XLOOKUP(Table1[[#This Row],[ProductID]],Products!A:A,Products!D:D,,0)</f>
        <v>160</v>
      </c>
      <c r="I2556">
        <v>699</v>
      </c>
      <c r="J2556">
        <v>594</v>
      </c>
      <c r="K2556" t="s">
        <v>1092</v>
      </c>
      <c r="L2556">
        <v>1188</v>
      </c>
      <c r="M2556" t="s">
        <v>1098</v>
      </c>
      <c r="N2556" t="s">
        <v>1099</v>
      </c>
      <c r="O2556">
        <f>Table1[[#This Row],[Unit_Price]]*Table1[[#This Row],[Quantity]]</f>
        <v>320</v>
      </c>
    </row>
    <row r="2557" spans="1:15" x14ac:dyDescent="0.3">
      <c r="A2557" t="s">
        <v>4364</v>
      </c>
      <c r="B2557" t="s">
        <v>3737</v>
      </c>
      <c r="C2557" t="s">
        <v>919</v>
      </c>
      <c r="D2557" t="s">
        <v>1062</v>
      </c>
      <c r="E2557">
        <v>2</v>
      </c>
      <c r="F2557">
        <f>_xlfn.XLOOKUP(Table1[[#This Row],[ProductID]],Products!A:A,Products!D:D,,0)</f>
        <v>95</v>
      </c>
      <c r="I2557">
        <v>349</v>
      </c>
      <c r="J2557">
        <v>314</v>
      </c>
      <c r="K2557" t="s">
        <v>1107</v>
      </c>
      <c r="L2557">
        <v>628</v>
      </c>
      <c r="M2557" t="s">
        <v>1098</v>
      </c>
      <c r="N2557" t="s">
        <v>1099</v>
      </c>
      <c r="O2557">
        <f>Table1[[#This Row],[Unit_Price]]*Table1[[#This Row],[Quantity]]</f>
        <v>190</v>
      </c>
    </row>
    <row r="2558" spans="1:15" x14ac:dyDescent="0.3">
      <c r="A2558" t="s">
        <v>4365</v>
      </c>
      <c r="B2558" t="s">
        <v>1622</v>
      </c>
      <c r="C2558" t="s">
        <v>443</v>
      </c>
      <c r="D2558" t="s">
        <v>1073</v>
      </c>
      <c r="E2558">
        <v>2</v>
      </c>
      <c r="F2558">
        <f>_xlfn.XLOOKUP(Table1[[#This Row],[ProductID]],Products!A:A,Products!D:D,,0)</f>
        <v>100</v>
      </c>
      <c r="I2558">
        <v>349</v>
      </c>
      <c r="J2558">
        <v>314</v>
      </c>
      <c r="K2558" t="s">
        <v>1107</v>
      </c>
      <c r="L2558">
        <v>628</v>
      </c>
      <c r="M2558" t="s">
        <v>1093</v>
      </c>
      <c r="N2558" t="s">
        <v>1123</v>
      </c>
      <c r="O2558">
        <f>Table1[[#This Row],[Unit_Price]]*Table1[[#This Row],[Quantity]]</f>
        <v>200</v>
      </c>
    </row>
    <row r="2559" spans="1:15" x14ac:dyDescent="0.3">
      <c r="A2559" t="s">
        <v>4366</v>
      </c>
      <c r="B2559" t="s">
        <v>2119</v>
      </c>
      <c r="C2559" t="s">
        <v>431</v>
      </c>
      <c r="D2559" t="s">
        <v>1068</v>
      </c>
      <c r="E2559">
        <v>1</v>
      </c>
      <c r="F2559">
        <f>_xlfn.XLOOKUP(Table1[[#This Row],[ProductID]],Products!A:A,Products!D:D,,0)</f>
        <v>180</v>
      </c>
      <c r="I2559">
        <v>449</v>
      </c>
      <c r="J2559">
        <v>359</v>
      </c>
      <c r="K2559" t="s">
        <v>1097</v>
      </c>
      <c r="L2559">
        <v>359</v>
      </c>
      <c r="M2559" t="s">
        <v>1093</v>
      </c>
      <c r="N2559" t="s">
        <v>1123</v>
      </c>
      <c r="O2559">
        <f>Table1[[#This Row],[Unit_Price]]*Table1[[#This Row],[Quantity]]</f>
        <v>180</v>
      </c>
    </row>
    <row r="2560" spans="1:15" x14ac:dyDescent="0.3">
      <c r="A2560" t="s">
        <v>4367</v>
      </c>
      <c r="B2560" t="s">
        <v>3411</v>
      </c>
      <c r="C2560" t="s">
        <v>221</v>
      </c>
      <c r="D2560" t="s">
        <v>1071</v>
      </c>
      <c r="E2560">
        <v>1</v>
      </c>
      <c r="F2560">
        <f>_xlfn.XLOOKUP(Table1[[#This Row],[ProductID]],Products!A:A,Products!D:D,,0)</f>
        <v>125</v>
      </c>
      <c r="I2560">
        <v>399</v>
      </c>
      <c r="J2560">
        <v>399</v>
      </c>
      <c r="K2560" t="s">
        <v>1102</v>
      </c>
      <c r="L2560">
        <v>399</v>
      </c>
      <c r="M2560" t="s">
        <v>1126</v>
      </c>
      <c r="N2560" t="s">
        <v>1099</v>
      </c>
      <c r="O2560">
        <f>Table1[[#This Row],[Unit_Price]]*Table1[[#This Row],[Quantity]]</f>
        <v>125</v>
      </c>
    </row>
    <row r="2561" spans="1:15" x14ac:dyDescent="0.3">
      <c r="A2561" t="s">
        <v>4368</v>
      </c>
      <c r="B2561" t="s">
        <v>1582</v>
      </c>
      <c r="C2561" t="s">
        <v>243</v>
      </c>
      <c r="D2561" t="s">
        <v>1073</v>
      </c>
      <c r="E2561">
        <v>1</v>
      </c>
      <c r="F2561">
        <f>_xlfn.XLOOKUP(Table1[[#This Row],[ProductID]],Products!A:A,Products!D:D,,0)</f>
        <v>100</v>
      </c>
      <c r="I2561">
        <v>349</v>
      </c>
      <c r="J2561">
        <v>297</v>
      </c>
      <c r="K2561" t="s">
        <v>1092</v>
      </c>
      <c r="L2561">
        <v>297</v>
      </c>
      <c r="M2561" t="s">
        <v>1098</v>
      </c>
      <c r="N2561" t="s">
        <v>1099</v>
      </c>
      <c r="O2561">
        <f>Table1[[#This Row],[Unit_Price]]*Table1[[#This Row],[Quantity]]</f>
        <v>100</v>
      </c>
    </row>
    <row r="2562" spans="1:15" x14ac:dyDescent="0.3">
      <c r="A2562" t="s">
        <v>4369</v>
      </c>
      <c r="B2562" t="s">
        <v>2190</v>
      </c>
      <c r="C2562" t="s">
        <v>783</v>
      </c>
      <c r="D2562" t="s">
        <v>1057</v>
      </c>
      <c r="E2562">
        <v>2</v>
      </c>
      <c r="F2562">
        <f>_xlfn.XLOOKUP(Table1[[#This Row],[ProductID]],Products!A:A,Products!D:D,,0)</f>
        <v>130</v>
      </c>
      <c r="I2562">
        <v>549</v>
      </c>
      <c r="J2562">
        <v>467</v>
      </c>
      <c r="K2562" t="s">
        <v>1092</v>
      </c>
      <c r="L2562">
        <v>934</v>
      </c>
      <c r="M2562" t="s">
        <v>1093</v>
      </c>
      <c r="N2562" t="s">
        <v>1099</v>
      </c>
      <c r="O2562">
        <f>Table1[[#This Row],[Unit_Price]]*Table1[[#This Row],[Quantity]]</f>
        <v>260</v>
      </c>
    </row>
    <row r="2563" spans="1:15" x14ac:dyDescent="0.3">
      <c r="A2563" t="s">
        <v>4370</v>
      </c>
      <c r="B2563" t="s">
        <v>1339</v>
      </c>
      <c r="C2563" t="s">
        <v>154</v>
      </c>
      <c r="D2563" t="s">
        <v>1075</v>
      </c>
      <c r="E2563">
        <v>1</v>
      </c>
      <c r="F2563">
        <f>_xlfn.XLOOKUP(Table1[[#This Row],[ProductID]],Products!A:A,Products!D:D,,0)</f>
        <v>80</v>
      </c>
      <c r="I2563">
        <v>499</v>
      </c>
      <c r="J2563">
        <v>424</v>
      </c>
      <c r="K2563" t="s">
        <v>1092</v>
      </c>
      <c r="L2563">
        <v>424</v>
      </c>
      <c r="M2563" t="s">
        <v>1093</v>
      </c>
      <c r="N2563" t="s">
        <v>1099</v>
      </c>
      <c r="O2563">
        <f>Table1[[#This Row],[Unit_Price]]*Table1[[#This Row],[Quantity]]</f>
        <v>80</v>
      </c>
    </row>
    <row r="2564" spans="1:15" x14ac:dyDescent="0.3">
      <c r="A2564" t="s">
        <v>4371</v>
      </c>
      <c r="B2564" t="s">
        <v>4372</v>
      </c>
      <c r="C2564" t="s">
        <v>773</v>
      </c>
      <c r="D2564" t="s">
        <v>1057</v>
      </c>
      <c r="E2564">
        <v>2</v>
      </c>
      <c r="F2564">
        <f>_xlfn.XLOOKUP(Table1[[#This Row],[ProductID]],Products!A:A,Products!D:D,,0)</f>
        <v>130</v>
      </c>
      <c r="I2564">
        <v>549</v>
      </c>
      <c r="J2564">
        <v>549</v>
      </c>
      <c r="K2564" t="s">
        <v>1102</v>
      </c>
      <c r="L2564">
        <v>1098</v>
      </c>
      <c r="M2564" t="s">
        <v>1098</v>
      </c>
      <c r="N2564" t="s">
        <v>1099</v>
      </c>
      <c r="O2564">
        <f>Table1[[#This Row],[Unit_Price]]*Table1[[#This Row],[Quantity]]</f>
        <v>260</v>
      </c>
    </row>
    <row r="2565" spans="1:15" x14ac:dyDescent="0.3">
      <c r="A2565" t="s">
        <v>4373</v>
      </c>
      <c r="B2565" t="s">
        <v>1445</v>
      </c>
      <c r="C2565" t="s">
        <v>1025</v>
      </c>
      <c r="D2565" t="s">
        <v>1066</v>
      </c>
      <c r="E2565">
        <v>1</v>
      </c>
      <c r="F2565">
        <f>_xlfn.XLOOKUP(Table1[[#This Row],[ProductID]],Products!A:A,Products!D:D,,0)</f>
        <v>140</v>
      </c>
      <c r="I2565">
        <v>499</v>
      </c>
      <c r="J2565">
        <v>449</v>
      </c>
      <c r="K2565" t="s">
        <v>1107</v>
      </c>
      <c r="L2565">
        <v>449</v>
      </c>
      <c r="M2565" t="s">
        <v>1093</v>
      </c>
      <c r="N2565" t="s">
        <v>1099</v>
      </c>
      <c r="O2565">
        <f>Table1[[#This Row],[Unit_Price]]*Table1[[#This Row],[Quantity]]</f>
        <v>140</v>
      </c>
    </row>
    <row r="2566" spans="1:15" x14ac:dyDescent="0.3">
      <c r="A2566" t="s">
        <v>4374</v>
      </c>
      <c r="B2566" t="s">
        <v>1381</v>
      </c>
      <c r="C2566" t="s">
        <v>415</v>
      </c>
      <c r="D2566" t="s">
        <v>1073</v>
      </c>
      <c r="E2566">
        <v>1</v>
      </c>
      <c r="F2566">
        <f>_xlfn.XLOOKUP(Table1[[#This Row],[ProductID]],Products!A:A,Products!D:D,,0)</f>
        <v>100</v>
      </c>
      <c r="I2566">
        <v>349</v>
      </c>
      <c r="J2566">
        <v>279</v>
      </c>
      <c r="K2566" t="s">
        <v>1097</v>
      </c>
      <c r="L2566">
        <v>279</v>
      </c>
      <c r="M2566" t="s">
        <v>1098</v>
      </c>
      <c r="N2566" t="s">
        <v>1123</v>
      </c>
      <c r="O2566">
        <f>Table1[[#This Row],[Unit_Price]]*Table1[[#This Row],[Quantity]]</f>
        <v>100</v>
      </c>
    </row>
    <row r="2567" spans="1:15" x14ac:dyDescent="0.3">
      <c r="A2567" t="s">
        <v>4375</v>
      </c>
      <c r="B2567" t="s">
        <v>4376</v>
      </c>
      <c r="C2567" t="s">
        <v>251</v>
      </c>
      <c r="D2567" t="s">
        <v>1051</v>
      </c>
      <c r="E2567">
        <v>2</v>
      </c>
      <c r="F2567">
        <f>_xlfn.XLOOKUP(Table1[[#This Row],[ProductID]],Products!A:A,Products!D:D,,0)</f>
        <v>150</v>
      </c>
      <c r="I2567">
        <v>499</v>
      </c>
      <c r="J2567">
        <v>424</v>
      </c>
      <c r="K2567" t="s">
        <v>1092</v>
      </c>
      <c r="L2567">
        <v>848</v>
      </c>
      <c r="M2567" t="s">
        <v>1093</v>
      </c>
      <c r="N2567" t="s">
        <v>1099</v>
      </c>
      <c r="O2567">
        <f>Table1[[#This Row],[Unit_Price]]*Table1[[#This Row],[Quantity]]</f>
        <v>300</v>
      </c>
    </row>
    <row r="2568" spans="1:15" x14ac:dyDescent="0.3">
      <c r="A2568" t="s">
        <v>4377</v>
      </c>
      <c r="B2568" t="s">
        <v>2224</v>
      </c>
      <c r="C2568" t="s">
        <v>150</v>
      </c>
      <c r="D2568" t="s">
        <v>1075</v>
      </c>
      <c r="E2568">
        <v>1</v>
      </c>
      <c r="F2568">
        <f>_xlfn.XLOOKUP(Table1[[#This Row],[ProductID]],Products!A:A,Products!D:D,,0)</f>
        <v>80</v>
      </c>
      <c r="I2568">
        <v>499</v>
      </c>
      <c r="J2568">
        <v>499</v>
      </c>
      <c r="K2568" t="s">
        <v>1102</v>
      </c>
      <c r="L2568">
        <v>499</v>
      </c>
      <c r="M2568" t="s">
        <v>1098</v>
      </c>
      <c r="N2568" t="s">
        <v>1123</v>
      </c>
      <c r="O2568">
        <f>Table1[[#This Row],[Unit_Price]]*Table1[[#This Row],[Quantity]]</f>
        <v>80</v>
      </c>
    </row>
    <row r="2569" spans="1:15" x14ac:dyDescent="0.3">
      <c r="A2569" t="s">
        <v>4378</v>
      </c>
      <c r="B2569" t="s">
        <v>2391</v>
      </c>
      <c r="C2569" t="s">
        <v>273</v>
      </c>
      <c r="D2569" t="s">
        <v>1064</v>
      </c>
      <c r="E2569">
        <v>2</v>
      </c>
      <c r="F2569">
        <f>_xlfn.XLOOKUP(Table1[[#This Row],[ProductID]],Products!A:A,Products!D:D,,0)</f>
        <v>160</v>
      </c>
      <c r="I2569">
        <v>699</v>
      </c>
      <c r="J2569">
        <v>594</v>
      </c>
      <c r="K2569" t="s">
        <v>1092</v>
      </c>
      <c r="L2569">
        <v>1188</v>
      </c>
      <c r="M2569" t="s">
        <v>1098</v>
      </c>
      <c r="N2569" t="s">
        <v>1099</v>
      </c>
      <c r="O2569">
        <f>Table1[[#This Row],[Unit_Price]]*Table1[[#This Row],[Quantity]]</f>
        <v>320</v>
      </c>
    </row>
    <row r="2570" spans="1:15" x14ac:dyDescent="0.3">
      <c r="A2570" t="s">
        <v>4379</v>
      </c>
      <c r="B2570" t="s">
        <v>1578</v>
      </c>
      <c r="C2570" t="s">
        <v>357</v>
      </c>
      <c r="D2570" t="s">
        <v>1064</v>
      </c>
      <c r="E2570">
        <v>1</v>
      </c>
      <c r="F2570">
        <f>_xlfn.XLOOKUP(Table1[[#This Row],[ProductID]],Products!A:A,Products!D:D,,0)</f>
        <v>160</v>
      </c>
      <c r="I2570">
        <v>699</v>
      </c>
      <c r="J2570">
        <v>629</v>
      </c>
      <c r="K2570" t="s">
        <v>1107</v>
      </c>
      <c r="L2570">
        <v>629</v>
      </c>
      <c r="M2570" t="s">
        <v>1093</v>
      </c>
      <c r="N2570" t="s">
        <v>1094</v>
      </c>
      <c r="O2570">
        <f>Table1[[#This Row],[Unit_Price]]*Table1[[#This Row],[Quantity]]</f>
        <v>160</v>
      </c>
    </row>
    <row r="2571" spans="1:15" x14ac:dyDescent="0.3">
      <c r="A2571" t="s">
        <v>4380</v>
      </c>
      <c r="B2571" t="s">
        <v>1529</v>
      </c>
      <c r="C2571" t="s">
        <v>241</v>
      </c>
      <c r="D2571" t="s">
        <v>1057</v>
      </c>
      <c r="E2571">
        <v>1</v>
      </c>
      <c r="F2571">
        <f>_xlfn.XLOOKUP(Table1[[#This Row],[ProductID]],Products!A:A,Products!D:D,,0)</f>
        <v>130</v>
      </c>
      <c r="I2571">
        <v>549</v>
      </c>
      <c r="J2571">
        <v>549</v>
      </c>
      <c r="K2571" t="s">
        <v>1102</v>
      </c>
      <c r="L2571">
        <v>549</v>
      </c>
      <c r="M2571" t="s">
        <v>1098</v>
      </c>
      <c r="N2571" t="s">
        <v>1099</v>
      </c>
      <c r="O2571">
        <f>Table1[[#This Row],[Unit_Price]]*Table1[[#This Row],[Quantity]]</f>
        <v>130</v>
      </c>
    </row>
    <row r="2572" spans="1:15" x14ac:dyDescent="0.3">
      <c r="A2572" t="s">
        <v>4381</v>
      </c>
      <c r="B2572" t="s">
        <v>4382</v>
      </c>
      <c r="C2572" t="s">
        <v>475</v>
      </c>
      <c r="D2572" t="s">
        <v>1055</v>
      </c>
      <c r="E2572">
        <v>2</v>
      </c>
      <c r="F2572">
        <f>_xlfn.XLOOKUP(Table1[[#This Row],[ProductID]],Products!A:A,Products!D:D,,0)</f>
        <v>75</v>
      </c>
      <c r="I2572">
        <v>299</v>
      </c>
      <c r="J2572">
        <v>254</v>
      </c>
      <c r="K2572" t="s">
        <v>1092</v>
      </c>
      <c r="L2572">
        <v>508</v>
      </c>
      <c r="M2572" t="s">
        <v>1093</v>
      </c>
      <c r="N2572" t="s">
        <v>1099</v>
      </c>
      <c r="O2572">
        <f>Table1[[#This Row],[Unit_Price]]*Table1[[#This Row],[Quantity]]</f>
        <v>150</v>
      </c>
    </row>
    <row r="2573" spans="1:15" x14ac:dyDescent="0.3">
      <c r="A2573" t="s">
        <v>4383</v>
      </c>
      <c r="B2573" t="s">
        <v>1459</v>
      </c>
      <c r="C2573" t="s">
        <v>595</v>
      </c>
      <c r="D2573" t="s">
        <v>1048</v>
      </c>
      <c r="E2573">
        <v>2</v>
      </c>
      <c r="F2573">
        <f>_xlfn.XLOOKUP(Table1[[#This Row],[ProductID]],Products!A:A,Products!D:D,,0)</f>
        <v>120</v>
      </c>
      <c r="I2573">
        <v>599</v>
      </c>
      <c r="J2573">
        <v>539</v>
      </c>
      <c r="K2573" t="s">
        <v>1107</v>
      </c>
      <c r="L2573">
        <v>1078</v>
      </c>
      <c r="M2573" t="s">
        <v>1098</v>
      </c>
      <c r="N2573" t="s">
        <v>1099</v>
      </c>
      <c r="O2573">
        <f>Table1[[#This Row],[Unit_Price]]*Table1[[#This Row],[Quantity]]</f>
        <v>240</v>
      </c>
    </row>
    <row r="2574" spans="1:15" x14ac:dyDescent="0.3">
      <c r="A2574" t="s">
        <v>4384</v>
      </c>
      <c r="B2574" t="s">
        <v>1604</v>
      </c>
      <c r="C2574" t="s">
        <v>305</v>
      </c>
      <c r="D2574" t="s">
        <v>1073</v>
      </c>
      <c r="E2574">
        <v>1</v>
      </c>
      <c r="F2574">
        <f>_xlfn.XLOOKUP(Table1[[#This Row],[ProductID]],Products!A:A,Products!D:D,,0)</f>
        <v>100</v>
      </c>
      <c r="I2574">
        <v>349</v>
      </c>
      <c r="J2574">
        <v>297</v>
      </c>
      <c r="K2574" t="s">
        <v>1092</v>
      </c>
      <c r="L2574">
        <v>297</v>
      </c>
      <c r="M2574" t="s">
        <v>1098</v>
      </c>
      <c r="N2574" t="s">
        <v>1099</v>
      </c>
      <c r="O2574">
        <f>Table1[[#This Row],[Unit_Price]]*Table1[[#This Row],[Quantity]]</f>
        <v>100</v>
      </c>
    </row>
    <row r="2575" spans="1:15" x14ac:dyDescent="0.3">
      <c r="A2575" t="s">
        <v>4385</v>
      </c>
      <c r="B2575" t="s">
        <v>1120</v>
      </c>
      <c r="C2575" t="s">
        <v>130</v>
      </c>
      <c r="D2575" t="s">
        <v>1057</v>
      </c>
      <c r="E2575">
        <v>1</v>
      </c>
      <c r="F2575">
        <f>_xlfn.XLOOKUP(Table1[[#This Row],[ProductID]],Products!A:A,Products!D:D,,0)</f>
        <v>130</v>
      </c>
      <c r="I2575">
        <v>549</v>
      </c>
      <c r="J2575">
        <v>549</v>
      </c>
      <c r="K2575" t="s">
        <v>1102</v>
      </c>
      <c r="L2575">
        <v>549</v>
      </c>
      <c r="M2575" t="s">
        <v>1093</v>
      </c>
      <c r="N2575" t="s">
        <v>1099</v>
      </c>
      <c r="O2575">
        <f>Table1[[#This Row],[Unit_Price]]*Table1[[#This Row],[Quantity]]</f>
        <v>130</v>
      </c>
    </row>
    <row r="2576" spans="1:15" x14ac:dyDescent="0.3">
      <c r="A2576" t="s">
        <v>4386</v>
      </c>
      <c r="B2576" t="s">
        <v>2004</v>
      </c>
      <c r="C2576" t="s">
        <v>745</v>
      </c>
      <c r="D2576" t="s">
        <v>1080</v>
      </c>
      <c r="E2576">
        <v>1</v>
      </c>
      <c r="F2576">
        <f>_xlfn.XLOOKUP(Table1[[#This Row],[ProductID]],Products!A:A,Products!D:D,,0)</f>
        <v>45</v>
      </c>
      <c r="I2576">
        <v>249</v>
      </c>
      <c r="J2576">
        <v>249</v>
      </c>
      <c r="K2576" t="s">
        <v>1102</v>
      </c>
      <c r="L2576">
        <v>249</v>
      </c>
      <c r="M2576" t="s">
        <v>1098</v>
      </c>
      <c r="N2576" t="s">
        <v>1099</v>
      </c>
      <c r="O2576">
        <f>Table1[[#This Row],[Unit_Price]]*Table1[[#This Row],[Quantity]]</f>
        <v>45</v>
      </c>
    </row>
    <row r="2577" spans="1:15" x14ac:dyDescent="0.3">
      <c r="A2577" t="s">
        <v>4387</v>
      </c>
      <c r="B2577" t="s">
        <v>2749</v>
      </c>
      <c r="C2577" t="s">
        <v>1019</v>
      </c>
      <c r="D2577" t="s">
        <v>1062</v>
      </c>
      <c r="E2577">
        <v>1</v>
      </c>
      <c r="F2577">
        <f>_xlfn.XLOOKUP(Table1[[#This Row],[ProductID]],Products!A:A,Products!D:D,,0)</f>
        <v>95</v>
      </c>
      <c r="I2577">
        <v>349</v>
      </c>
      <c r="J2577">
        <v>297</v>
      </c>
      <c r="K2577" t="s">
        <v>1092</v>
      </c>
      <c r="L2577">
        <v>297</v>
      </c>
      <c r="M2577" t="s">
        <v>1098</v>
      </c>
      <c r="N2577" t="s">
        <v>1099</v>
      </c>
      <c r="O2577">
        <f>Table1[[#This Row],[Unit_Price]]*Table1[[#This Row],[Quantity]]</f>
        <v>95</v>
      </c>
    </row>
    <row r="2578" spans="1:15" x14ac:dyDescent="0.3">
      <c r="A2578" t="s">
        <v>4388</v>
      </c>
      <c r="B2578" t="s">
        <v>1645</v>
      </c>
      <c r="C2578" t="s">
        <v>771</v>
      </c>
      <c r="D2578" t="s">
        <v>1055</v>
      </c>
      <c r="E2578">
        <v>2</v>
      </c>
      <c r="F2578">
        <f>_xlfn.XLOOKUP(Table1[[#This Row],[ProductID]],Products!A:A,Products!D:D,,0)</f>
        <v>75</v>
      </c>
      <c r="I2578">
        <v>299</v>
      </c>
      <c r="J2578">
        <v>254</v>
      </c>
      <c r="K2578" t="s">
        <v>1092</v>
      </c>
      <c r="L2578">
        <v>508</v>
      </c>
      <c r="M2578" t="s">
        <v>1098</v>
      </c>
      <c r="N2578" t="s">
        <v>1099</v>
      </c>
      <c r="O2578">
        <f>Table1[[#This Row],[Unit_Price]]*Table1[[#This Row],[Quantity]]</f>
        <v>150</v>
      </c>
    </row>
    <row r="2579" spans="1:15" x14ac:dyDescent="0.3">
      <c r="A2579" t="s">
        <v>4389</v>
      </c>
      <c r="B2579" t="s">
        <v>1505</v>
      </c>
      <c r="C2579" t="s">
        <v>831</v>
      </c>
      <c r="D2579" t="s">
        <v>1059</v>
      </c>
      <c r="E2579">
        <v>2</v>
      </c>
      <c r="F2579">
        <f>_xlfn.XLOOKUP(Table1[[#This Row],[ProductID]],Products!A:A,Products!D:D,,0)</f>
        <v>110</v>
      </c>
      <c r="I2579">
        <v>399</v>
      </c>
      <c r="J2579">
        <v>339</v>
      </c>
      <c r="K2579" t="s">
        <v>1092</v>
      </c>
      <c r="L2579">
        <v>678</v>
      </c>
      <c r="M2579" t="s">
        <v>1098</v>
      </c>
      <c r="N2579" t="s">
        <v>1099</v>
      </c>
      <c r="O2579">
        <f>Table1[[#This Row],[Unit_Price]]*Table1[[#This Row],[Quantity]]</f>
        <v>220</v>
      </c>
    </row>
    <row r="2580" spans="1:15" x14ac:dyDescent="0.3">
      <c r="A2580" t="s">
        <v>4390</v>
      </c>
      <c r="B2580" t="s">
        <v>3213</v>
      </c>
      <c r="C2580" t="s">
        <v>877</v>
      </c>
      <c r="D2580" t="s">
        <v>1071</v>
      </c>
      <c r="E2580">
        <v>4</v>
      </c>
      <c r="F2580">
        <f>_xlfn.XLOOKUP(Table1[[#This Row],[ProductID]],Products!A:A,Products!D:D,,0)</f>
        <v>125</v>
      </c>
      <c r="I2580">
        <v>399</v>
      </c>
      <c r="J2580">
        <v>339</v>
      </c>
      <c r="K2580" t="s">
        <v>1092</v>
      </c>
      <c r="L2580">
        <v>1356</v>
      </c>
      <c r="M2580" t="s">
        <v>1126</v>
      </c>
      <c r="N2580" t="s">
        <v>1099</v>
      </c>
      <c r="O2580">
        <f>Table1[[#This Row],[Unit_Price]]*Table1[[#This Row],[Quantity]]</f>
        <v>500</v>
      </c>
    </row>
    <row r="2581" spans="1:15" x14ac:dyDescent="0.3">
      <c r="A2581" t="s">
        <v>4391</v>
      </c>
      <c r="B2581" t="s">
        <v>2682</v>
      </c>
      <c r="C2581" t="s">
        <v>132</v>
      </c>
      <c r="D2581" t="s">
        <v>1075</v>
      </c>
      <c r="E2581">
        <v>2</v>
      </c>
      <c r="F2581">
        <f>_xlfn.XLOOKUP(Table1[[#This Row],[ProductID]],Products!A:A,Products!D:D,,0)</f>
        <v>80</v>
      </c>
      <c r="I2581">
        <v>499</v>
      </c>
      <c r="J2581">
        <v>449</v>
      </c>
      <c r="K2581" t="s">
        <v>1107</v>
      </c>
      <c r="L2581">
        <v>898</v>
      </c>
      <c r="M2581" t="s">
        <v>1093</v>
      </c>
      <c r="N2581" t="s">
        <v>1099</v>
      </c>
      <c r="O2581">
        <f>Table1[[#This Row],[Unit_Price]]*Table1[[#This Row],[Quantity]]</f>
        <v>160</v>
      </c>
    </row>
    <row r="2582" spans="1:15" x14ac:dyDescent="0.3">
      <c r="A2582" t="s">
        <v>4392</v>
      </c>
      <c r="B2582" t="s">
        <v>1551</v>
      </c>
      <c r="C2582" t="s">
        <v>595</v>
      </c>
      <c r="D2582" t="s">
        <v>1057</v>
      </c>
      <c r="E2582">
        <v>1</v>
      </c>
      <c r="F2582">
        <f>_xlfn.XLOOKUP(Table1[[#This Row],[ProductID]],Products!A:A,Products!D:D,,0)</f>
        <v>130</v>
      </c>
      <c r="I2582">
        <v>549</v>
      </c>
      <c r="J2582">
        <v>439</v>
      </c>
      <c r="K2582" t="s">
        <v>1097</v>
      </c>
      <c r="L2582">
        <v>439</v>
      </c>
      <c r="M2582" t="s">
        <v>1093</v>
      </c>
      <c r="N2582" t="s">
        <v>1094</v>
      </c>
      <c r="O2582">
        <f>Table1[[#This Row],[Unit_Price]]*Table1[[#This Row],[Quantity]]</f>
        <v>130</v>
      </c>
    </row>
    <row r="2583" spans="1:15" x14ac:dyDescent="0.3">
      <c r="A2583" t="s">
        <v>4393</v>
      </c>
      <c r="B2583" t="s">
        <v>2080</v>
      </c>
      <c r="C2583" t="s">
        <v>1015</v>
      </c>
      <c r="D2583" t="s">
        <v>1073</v>
      </c>
      <c r="E2583">
        <v>3</v>
      </c>
      <c r="F2583">
        <f>_xlfn.XLOOKUP(Table1[[#This Row],[ProductID]],Products!A:A,Products!D:D,,0)</f>
        <v>100</v>
      </c>
      <c r="I2583">
        <v>349</v>
      </c>
      <c r="J2583">
        <v>349</v>
      </c>
      <c r="K2583" t="s">
        <v>1102</v>
      </c>
      <c r="L2583">
        <v>1047</v>
      </c>
      <c r="M2583" t="s">
        <v>1098</v>
      </c>
      <c r="N2583" t="s">
        <v>1099</v>
      </c>
      <c r="O2583">
        <f>Table1[[#This Row],[Unit_Price]]*Table1[[#This Row],[Quantity]]</f>
        <v>300</v>
      </c>
    </row>
    <row r="2584" spans="1:15" x14ac:dyDescent="0.3">
      <c r="A2584" t="s">
        <v>4394</v>
      </c>
      <c r="B2584" t="s">
        <v>2555</v>
      </c>
      <c r="C2584" t="s">
        <v>269</v>
      </c>
      <c r="D2584" t="s">
        <v>1059</v>
      </c>
      <c r="E2584">
        <v>2</v>
      </c>
      <c r="F2584">
        <f>_xlfn.XLOOKUP(Table1[[#This Row],[ProductID]],Products!A:A,Products!D:D,,0)</f>
        <v>110</v>
      </c>
      <c r="I2584">
        <v>399</v>
      </c>
      <c r="J2584">
        <v>339</v>
      </c>
      <c r="K2584" t="s">
        <v>1092</v>
      </c>
      <c r="L2584">
        <v>678</v>
      </c>
      <c r="M2584" t="s">
        <v>1093</v>
      </c>
      <c r="N2584" t="s">
        <v>1094</v>
      </c>
      <c r="O2584">
        <f>Table1[[#This Row],[Unit_Price]]*Table1[[#This Row],[Quantity]]</f>
        <v>220</v>
      </c>
    </row>
    <row r="2585" spans="1:15" x14ac:dyDescent="0.3">
      <c r="A2585" t="s">
        <v>4395</v>
      </c>
      <c r="B2585" t="s">
        <v>1333</v>
      </c>
      <c r="C2585" t="s">
        <v>303</v>
      </c>
      <c r="D2585" t="s">
        <v>1078</v>
      </c>
      <c r="E2585">
        <v>2</v>
      </c>
      <c r="F2585">
        <f>_xlfn.XLOOKUP(Table1[[#This Row],[ProductID]],Products!A:A,Products!D:D,,0)</f>
        <v>80</v>
      </c>
      <c r="I2585">
        <v>499</v>
      </c>
      <c r="J2585">
        <v>499</v>
      </c>
      <c r="K2585" t="s">
        <v>1102</v>
      </c>
      <c r="L2585">
        <v>998</v>
      </c>
      <c r="M2585" t="s">
        <v>1098</v>
      </c>
      <c r="N2585" t="s">
        <v>1099</v>
      </c>
      <c r="O2585">
        <f>Table1[[#This Row],[Unit_Price]]*Table1[[#This Row],[Quantity]]</f>
        <v>160</v>
      </c>
    </row>
    <row r="2586" spans="1:15" x14ac:dyDescent="0.3">
      <c r="A2586" t="s">
        <v>4396</v>
      </c>
      <c r="B2586" t="s">
        <v>2109</v>
      </c>
      <c r="C2586" t="s">
        <v>423</v>
      </c>
      <c r="D2586" t="s">
        <v>1066</v>
      </c>
      <c r="E2586">
        <v>1</v>
      </c>
      <c r="F2586">
        <f>_xlfn.XLOOKUP(Table1[[#This Row],[ProductID]],Products!A:A,Products!D:D,,0)</f>
        <v>140</v>
      </c>
      <c r="I2586">
        <v>499</v>
      </c>
      <c r="J2586">
        <v>499</v>
      </c>
      <c r="K2586" t="s">
        <v>1102</v>
      </c>
      <c r="L2586">
        <v>499</v>
      </c>
      <c r="M2586" t="s">
        <v>1098</v>
      </c>
      <c r="N2586" t="s">
        <v>1099</v>
      </c>
      <c r="O2586">
        <f>Table1[[#This Row],[Unit_Price]]*Table1[[#This Row],[Quantity]]</f>
        <v>140</v>
      </c>
    </row>
    <row r="2587" spans="1:15" x14ac:dyDescent="0.3">
      <c r="A2587" t="s">
        <v>4397</v>
      </c>
      <c r="B2587" t="s">
        <v>2461</v>
      </c>
      <c r="C2587" t="s">
        <v>255</v>
      </c>
      <c r="D2587" t="s">
        <v>1062</v>
      </c>
      <c r="E2587">
        <v>1</v>
      </c>
      <c r="F2587">
        <f>_xlfn.XLOOKUP(Table1[[#This Row],[ProductID]],Products!A:A,Products!D:D,,0)</f>
        <v>95</v>
      </c>
      <c r="I2587">
        <v>349</v>
      </c>
      <c r="J2587">
        <v>349</v>
      </c>
      <c r="K2587" t="s">
        <v>1102</v>
      </c>
      <c r="L2587">
        <v>349</v>
      </c>
      <c r="M2587" t="s">
        <v>1098</v>
      </c>
      <c r="N2587" t="s">
        <v>1099</v>
      </c>
      <c r="O2587">
        <f>Table1[[#This Row],[Unit_Price]]*Table1[[#This Row],[Quantity]]</f>
        <v>95</v>
      </c>
    </row>
    <row r="2588" spans="1:15" x14ac:dyDescent="0.3">
      <c r="A2588" t="s">
        <v>4398</v>
      </c>
      <c r="B2588" t="s">
        <v>3591</v>
      </c>
      <c r="C2588" t="s">
        <v>625</v>
      </c>
      <c r="D2588" t="s">
        <v>1073</v>
      </c>
      <c r="E2588">
        <v>1</v>
      </c>
      <c r="F2588">
        <f>_xlfn.XLOOKUP(Table1[[#This Row],[ProductID]],Products!A:A,Products!D:D,,0)</f>
        <v>100</v>
      </c>
      <c r="I2588">
        <v>349</v>
      </c>
      <c r="J2588">
        <v>349</v>
      </c>
      <c r="K2588" t="s">
        <v>1102</v>
      </c>
      <c r="L2588">
        <v>349</v>
      </c>
      <c r="M2588" t="s">
        <v>1098</v>
      </c>
      <c r="N2588" t="s">
        <v>1099</v>
      </c>
      <c r="O2588">
        <f>Table1[[#This Row],[Unit_Price]]*Table1[[#This Row],[Quantity]]</f>
        <v>100</v>
      </c>
    </row>
    <row r="2589" spans="1:15" x14ac:dyDescent="0.3">
      <c r="A2589" t="s">
        <v>4399</v>
      </c>
      <c r="B2589" t="s">
        <v>2565</v>
      </c>
      <c r="C2589" t="s">
        <v>637</v>
      </c>
      <c r="D2589" t="s">
        <v>1051</v>
      </c>
      <c r="E2589">
        <v>1</v>
      </c>
      <c r="F2589">
        <f>_xlfn.XLOOKUP(Table1[[#This Row],[ProductID]],Products!A:A,Products!D:D,,0)</f>
        <v>150</v>
      </c>
      <c r="I2589">
        <v>499</v>
      </c>
      <c r="J2589">
        <v>449</v>
      </c>
      <c r="K2589" t="s">
        <v>1107</v>
      </c>
      <c r="L2589">
        <v>449</v>
      </c>
      <c r="M2589" t="s">
        <v>1098</v>
      </c>
      <c r="N2589" t="s">
        <v>1099</v>
      </c>
      <c r="O2589">
        <f>Table1[[#This Row],[Unit_Price]]*Table1[[#This Row],[Quantity]]</f>
        <v>150</v>
      </c>
    </row>
    <row r="2590" spans="1:15" x14ac:dyDescent="0.3">
      <c r="A2590" t="s">
        <v>4400</v>
      </c>
      <c r="B2590" t="s">
        <v>2589</v>
      </c>
      <c r="C2590" t="s">
        <v>277</v>
      </c>
      <c r="D2590" t="s">
        <v>1071</v>
      </c>
      <c r="E2590">
        <v>2</v>
      </c>
      <c r="F2590">
        <f>_xlfn.XLOOKUP(Table1[[#This Row],[ProductID]],Products!A:A,Products!D:D,,0)</f>
        <v>125</v>
      </c>
      <c r="I2590">
        <v>399</v>
      </c>
      <c r="J2590">
        <v>339</v>
      </c>
      <c r="K2590" t="s">
        <v>1092</v>
      </c>
      <c r="L2590">
        <v>678</v>
      </c>
      <c r="M2590" t="s">
        <v>1093</v>
      </c>
      <c r="N2590" t="s">
        <v>1123</v>
      </c>
      <c r="O2590">
        <f>Table1[[#This Row],[Unit_Price]]*Table1[[#This Row],[Quantity]]</f>
        <v>250</v>
      </c>
    </row>
    <row r="2591" spans="1:15" x14ac:dyDescent="0.3">
      <c r="A2591" t="s">
        <v>4401</v>
      </c>
      <c r="B2591" t="s">
        <v>1331</v>
      </c>
      <c r="C2591" t="s">
        <v>391</v>
      </c>
      <c r="D2591" t="s">
        <v>1053</v>
      </c>
      <c r="E2591">
        <v>2</v>
      </c>
      <c r="F2591">
        <f>_xlfn.XLOOKUP(Table1[[#This Row],[ProductID]],Products!A:A,Products!D:D,,0)</f>
        <v>200</v>
      </c>
      <c r="I2591">
        <v>899</v>
      </c>
      <c r="J2591">
        <v>719</v>
      </c>
      <c r="K2591" t="s">
        <v>1097</v>
      </c>
      <c r="L2591">
        <v>1438</v>
      </c>
      <c r="M2591" t="s">
        <v>1098</v>
      </c>
      <c r="N2591" t="s">
        <v>1099</v>
      </c>
      <c r="O2591">
        <f>Table1[[#This Row],[Unit_Price]]*Table1[[#This Row],[Quantity]]</f>
        <v>400</v>
      </c>
    </row>
    <row r="2592" spans="1:15" x14ac:dyDescent="0.3">
      <c r="A2592" t="s">
        <v>4402</v>
      </c>
      <c r="B2592" t="s">
        <v>1205</v>
      </c>
      <c r="C2592" t="s">
        <v>455</v>
      </c>
      <c r="D2592" t="s">
        <v>1057</v>
      </c>
      <c r="E2592">
        <v>1</v>
      </c>
      <c r="F2592">
        <f>_xlfn.XLOOKUP(Table1[[#This Row],[ProductID]],Products!A:A,Products!D:D,,0)</f>
        <v>130</v>
      </c>
      <c r="I2592">
        <v>549</v>
      </c>
      <c r="J2592">
        <v>549</v>
      </c>
      <c r="K2592" t="s">
        <v>1102</v>
      </c>
      <c r="L2592">
        <v>549</v>
      </c>
      <c r="M2592" t="s">
        <v>1093</v>
      </c>
      <c r="N2592" t="s">
        <v>1099</v>
      </c>
      <c r="O2592">
        <f>Table1[[#This Row],[Unit_Price]]*Table1[[#This Row],[Quantity]]</f>
        <v>130</v>
      </c>
    </row>
    <row r="2593" spans="1:15" x14ac:dyDescent="0.3">
      <c r="A2593" t="s">
        <v>4403</v>
      </c>
      <c r="B2593" t="s">
        <v>1531</v>
      </c>
      <c r="C2593" t="s">
        <v>209</v>
      </c>
      <c r="D2593" t="s">
        <v>1068</v>
      </c>
      <c r="E2593">
        <v>1</v>
      </c>
      <c r="F2593">
        <f>_xlfn.XLOOKUP(Table1[[#This Row],[ProductID]],Products!A:A,Products!D:D,,0)</f>
        <v>180</v>
      </c>
      <c r="I2593">
        <v>449</v>
      </c>
      <c r="J2593">
        <v>359</v>
      </c>
      <c r="K2593" t="s">
        <v>1097</v>
      </c>
      <c r="L2593">
        <v>359</v>
      </c>
      <c r="M2593" t="s">
        <v>1093</v>
      </c>
      <c r="N2593" t="s">
        <v>1099</v>
      </c>
      <c r="O2593">
        <f>Table1[[#This Row],[Unit_Price]]*Table1[[#This Row],[Quantity]]</f>
        <v>180</v>
      </c>
    </row>
    <row r="2594" spans="1:15" x14ac:dyDescent="0.3">
      <c r="A2594" t="s">
        <v>4404</v>
      </c>
      <c r="B2594" t="s">
        <v>1205</v>
      </c>
      <c r="C2594" t="s">
        <v>395</v>
      </c>
      <c r="D2594" t="s">
        <v>1075</v>
      </c>
      <c r="E2594">
        <v>2</v>
      </c>
      <c r="F2594">
        <f>_xlfn.XLOOKUP(Table1[[#This Row],[ProductID]],Products!A:A,Products!D:D,,0)</f>
        <v>80</v>
      </c>
      <c r="I2594">
        <v>499</v>
      </c>
      <c r="J2594">
        <v>424</v>
      </c>
      <c r="K2594" t="s">
        <v>1092</v>
      </c>
      <c r="L2594">
        <v>848</v>
      </c>
      <c r="M2594" t="s">
        <v>1093</v>
      </c>
      <c r="N2594" t="s">
        <v>1094</v>
      </c>
      <c r="O2594">
        <f>Table1[[#This Row],[Unit_Price]]*Table1[[#This Row],[Quantity]]</f>
        <v>160</v>
      </c>
    </row>
    <row r="2595" spans="1:15" x14ac:dyDescent="0.3">
      <c r="A2595" t="s">
        <v>4405</v>
      </c>
      <c r="B2595" t="s">
        <v>2541</v>
      </c>
      <c r="C2595" t="s">
        <v>623</v>
      </c>
      <c r="D2595" t="s">
        <v>1073</v>
      </c>
      <c r="E2595">
        <v>1</v>
      </c>
      <c r="F2595">
        <f>_xlfn.XLOOKUP(Table1[[#This Row],[ProductID]],Products!A:A,Products!D:D,,0)</f>
        <v>100</v>
      </c>
      <c r="I2595">
        <v>349</v>
      </c>
      <c r="J2595">
        <v>349</v>
      </c>
      <c r="K2595" t="s">
        <v>1102</v>
      </c>
      <c r="L2595">
        <v>349</v>
      </c>
      <c r="M2595" t="s">
        <v>1098</v>
      </c>
      <c r="N2595" t="s">
        <v>1099</v>
      </c>
      <c r="O2595">
        <f>Table1[[#This Row],[Unit_Price]]*Table1[[#This Row],[Quantity]]</f>
        <v>100</v>
      </c>
    </row>
    <row r="2596" spans="1:15" x14ac:dyDescent="0.3">
      <c r="A2596" t="s">
        <v>4406</v>
      </c>
      <c r="B2596" t="s">
        <v>1795</v>
      </c>
      <c r="C2596" t="s">
        <v>405</v>
      </c>
      <c r="D2596" t="s">
        <v>1059</v>
      </c>
      <c r="E2596">
        <v>2</v>
      </c>
      <c r="F2596">
        <f>_xlfn.XLOOKUP(Table1[[#This Row],[ProductID]],Products!A:A,Products!D:D,,0)</f>
        <v>110</v>
      </c>
      <c r="I2596">
        <v>399</v>
      </c>
      <c r="J2596">
        <v>319</v>
      </c>
      <c r="K2596" t="s">
        <v>1097</v>
      </c>
      <c r="L2596">
        <v>638</v>
      </c>
      <c r="M2596" t="s">
        <v>1093</v>
      </c>
      <c r="N2596" t="s">
        <v>1099</v>
      </c>
      <c r="O2596">
        <f>Table1[[#This Row],[Unit_Price]]*Table1[[#This Row],[Quantity]]</f>
        <v>220</v>
      </c>
    </row>
    <row r="2597" spans="1:15" x14ac:dyDescent="0.3">
      <c r="A2597" t="s">
        <v>4407</v>
      </c>
      <c r="B2597" t="s">
        <v>3220</v>
      </c>
      <c r="C2597" t="s">
        <v>171</v>
      </c>
      <c r="D2597" t="s">
        <v>1053</v>
      </c>
      <c r="E2597">
        <v>1</v>
      </c>
      <c r="F2597">
        <f>_xlfn.XLOOKUP(Table1[[#This Row],[ProductID]],Products!A:A,Products!D:D,,0)</f>
        <v>200</v>
      </c>
      <c r="I2597">
        <v>899</v>
      </c>
      <c r="J2597">
        <v>809</v>
      </c>
      <c r="K2597" t="s">
        <v>1107</v>
      </c>
      <c r="L2597">
        <v>809</v>
      </c>
      <c r="M2597" t="s">
        <v>1093</v>
      </c>
      <c r="N2597" t="s">
        <v>1099</v>
      </c>
      <c r="O2597">
        <f>Table1[[#This Row],[Unit_Price]]*Table1[[#This Row],[Quantity]]</f>
        <v>200</v>
      </c>
    </row>
    <row r="2598" spans="1:15" x14ac:dyDescent="0.3">
      <c r="A2598" t="s">
        <v>4408</v>
      </c>
      <c r="B2598" t="s">
        <v>2347</v>
      </c>
      <c r="C2598" t="s">
        <v>677</v>
      </c>
      <c r="D2598" t="s">
        <v>1057</v>
      </c>
      <c r="E2598">
        <v>2</v>
      </c>
      <c r="F2598">
        <f>_xlfn.XLOOKUP(Table1[[#This Row],[ProductID]],Products!A:A,Products!D:D,,0)</f>
        <v>130</v>
      </c>
      <c r="I2598">
        <v>549</v>
      </c>
      <c r="J2598">
        <v>494</v>
      </c>
      <c r="K2598" t="s">
        <v>1107</v>
      </c>
      <c r="L2598">
        <v>988</v>
      </c>
      <c r="M2598" t="s">
        <v>1098</v>
      </c>
      <c r="N2598" t="s">
        <v>1099</v>
      </c>
      <c r="O2598">
        <f>Table1[[#This Row],[Unit_Price]]*Table1[[#This Row],[Quantity]]</f>
        <v>260</v>
      </c>
    </row>
    <row r="2599" spans="1:15" x14ac:dyDescent="0.3">
      <c r="A2599" t="s">
        <v>4409</v>
      </c>
      <c r="B2599" t="s">
        <v>1366</v>
      </c>
      <c r="C2599" t="s">
        <v>57</v>
      </c>
      <c r="D2599" t="s">
        <v>1064</v>
      </c>
      <c r="E2599">
        <v>1</v>
      </c>
      <c r="F2599">
        <f>_xlfn.XLOOKUP(Table1[[#This Row],[ProductID]],Products!A:A,Products!D:D,,0)</f>
        <v>160</v>
      </c>
      <c r="I2599">
        <v>699</v>
      </c>
      <c r="J2599">
        <v>699</v>
      </c>
      <c r="K2599" t="s">
        <v>1102</v>
      </c>
      <c r="L2599">
        <v>699</v>
      </c>
      <c r="M2599" t="s">
        <v>1098</v>
      </c>
      <c r="N2599" t="s">
        <v>1099</v>
      </c>
      <c r="O2599">
        <f>Table1[[#This Row],[Unit_Price]]*Table1[[#This Row],[Quantity]]</f>
        <v>160</v>
      </c>
    </row>
    <row r="2600" spans="1:15" x14ac:dyDescent="0.3">
      <c r="A2600" t="s">
        <v>4410</v>
      </c>
      <c r="B2600" t="s">
        <v>3610</v>
      </c>
      <c r="C2600" t="s">
        <v>569</v>
      </c>
      <c r="D2600" t="s">
        <v>1064</v>
      </c>
      <c r="E2600">
        <v>1</v>
      </c>
      <c r="F2600">
        <f>_xlfn.XLOOKUP(Table1[[#This Row],[ProductID]],Products!A:A,Products!D:D,,0)</f>
        <v>160</v>
      </c>
      <c r="I2600">
        <v>699</v>
      </c>
      <c r="J2600">
        <v>559</v>
      </c>
      <c r="K2600" t="s">
        <v>1097</v>
      </c>
      <c r="L2600">
        <v>559</v>
      </c>
      <c r="M2600" t="s">
        <v>1093</v>
      </c>
      <c r="N2600" t="s">
        <v>1099</v>
      </c>
      <c r="O2600">
        <f>Table1[[#This Row],[Unit_Price]]*Table1[[#This Row],[Quantity]]</f>
        <v>160</v>
      </c>
    </row>
    <row r="2601" spans="1:15" x14ac:dyDescent="0.3">
      <c r="A2601" t="s">
        <v>4411</v>
      </c>
      <c r="B2601" t="s">
        <v>1134</v>
      </c>
      <c r="C2601" t="s">
        <v>565</v>
      </c>
      <c r="D2601" t="s">
        <v>1071</v>
      </c>
      <c r="E2601">
        <v>1</v>
      </c>
      <c r="F2601">
        <f>_xlfn.XLOOKUP(Table1[[#This Row],[ProductID]],Products!A:A,Products!D:D,,0)</f>
        <v>125</v>
      </c>
      <c r="I2601">
        <v>399</v>
      </c>
      <c r="J2601">
        <v>359</v>
      </c>
      <c r="K2601" t="s">
        <v>1107</v>
      </c>
      <c r="L2601">
        <v>359</v>
      </c>
      <c r="M2601" t="s">
        <v>1098</v>
      </c>
      <c r="N2601" t="s">
        <v>1099</v>
      </c>
      <c r="O2601">
        <f>Table1[[#This Row],[Unit_Price]]*Table1[[#This Row],[Quantity]]</f>
        <v>125</v>
      </c>
    </row>
    <row r="2602" spans="1:15" x14ac:dyDescent="0.3">
      <c r="A2602" t="s">
        <v>4412</v>
      </c>
      <c r="B2602" t="s">
        <v>1122</v>
      </c>
      <c r="C2602" t="s">
        <v>91</v>
      </c>
      <c r="D2602" t="s">
        <v>1059</v>
      </c>
      <c r="E2602">
        <v>1</v>
      </c>
      <c r="F2602">
        <f>_xlfn.XLOOKUP(Table1[[#This Row],[ProductID]],Products!A:A,Products!D:D,,0)</f>
        <v>110</v>
      </c>
      <c r="I2602">
        <v>399</v>
      </c>
      <c r="J2602">
        <v>399</v>
      </c>
      <c r="K2602" t="s">
        <v>1102</v>
      </c>
      <c r="L2602">
        <v>399</v>
      </c>
      <c r="M2602" t="s">
        <v>1093</v>
      </c>
      <c r="N2602" t="s">
        <v>1099</v>
      </c>
      <c r="O2602">
        <f>Table1[[#This Row],[Unit_Price]]*Table1[[#This Row],[Quantity]]</f>
        <v>110</v>
      </c>
    </row>
    <row r="2603" spans="1:15" x14ac:dyDescent="0.3">
      <c r="A2603" t="s">
        <v>4413</v>
      </c>
      <c r="B2603" t="s">
        <v>1414</v>
      </c>
      <c r="C2603" t="s">
        <v>453</v>
      </c>
      <c r="D2603" t="s">
        <v>1080</v>
      </c>
      <c r="E2603">
        <v>3</v>
      </c>
      <c r="F2603">
        <f>_xlfn.XLOOKUP(Table1[[#This Row],[ProductID]],Products!A:A,Products!D:D,,0)</f>
        <v>45</v>
      </c>
      <c r="I2603">
        <v>249</v>
      </c>
      <c r="J2603">
        <v>224</v>
      </c>
      <c r="K2603" t="s">
        <v>1107</v>
      </c>
      <c r="L2603">
        <v>672</v>
      </c>
      <c r="M2603" t="s">
        <v>1098</v>
      </c>
      <c r="N2603" t="s">
        <v>1099</v>
      </c>
      <c r="O2603">
        <f>Table1[[#This Row],[Unit_Price]]*Table1[[#This Row],[Quantity]]</f>
        <v>135</v>
      </c>
    </row>
    <row r="2604" spans="1:15" x14ac:dyDescent="0.3">
      <c r="A2604" t="s">
        <v>4414</v>
      </c>
      <c r="B2604" t="s">
        <v>1816</v>
      </c>
      <c r="C2604" t="s">
        <v>501</v>
      </c>
      <c r="D2604" t="s">
        <v>1071</v>
      </c>
      <c r="E2604">
        <v>1</v>
      </c>
      <c r="F2604">
        <f>_xlfn.XLOOKUP(Table1[[#This Row],[ProductID]],Products!A:A,Products!D:D,,0)</f>
        <v>125</v>
      </c>
      <c r="I2604">
        <v>399</v>
      </c>
      <c r="J2604">
        <v>339</v>
      </c>
      <c r="K2604" t="s">
        <v>1092</v>
      </c>
      <c r="L2604">
        <v>339</v>
      </c>
      <c r="M2604" t="s">
        <v>1098</v>
      </c>
      <c r="N2604" t="s">
        <v>1099</v>
      </c>
      <c r="O2604">
        <f>Table1[[#This Row],[Unit_Price]]*Table1[[#This Row],[Quantity]]</f>
        <v>125</v>
      </c>
    </row>
    <row r="2605" spans="1:15" x14ac:dyDescent="0.3">
      <c r="A2605" t="s">
        <v>4415</v>
      </c>
      <c r="B2605" t="s">
        <v>3435</v>
      </c>
      <c r="C2605" t="s">
        <v>619</v>
      </c>
      <c r="D2605" t="s">
        <v>1053</v>
      </c>
      <c r="E2605">
        <v>2</v>
      </c>
      <c r="F2605">
        <f>_xlfn.XLOOKUP(Table1[[#This Row],[ProductID]],Products!A:A,Products!D:D,,0)</f>
        <v>200</v>
      </c>
      <c r="I2605">
        <v>899</v>
      </c>
      <c r="J2605">
        <v>899</v>
      </c>
      <c r="K2605" t="s">
        <v>1102</v>
      </c>
      <c r="L2605">
        <v>1798</v>
      </c>
      <c r="M2605" t="s">
        <v>1098</v>
      </c>
      <c r="N2605" t="s">
        <v>1099</v>
      </c>
      <c r="O2605">
        <f>Table1[[#This Row],[Unit_Price]]*Table1[[#This Row],[Quantity]]</f>
        <v>400</v>
      </c>
    </row>
    <row r="2606" spans="1:15" x14ac:dyDescent="0.3">
      <c r="A2606" t="s">
        <v>4416</v>
      </c>
      <c r="B2606" t="s">
        <v>1441</v>
      </c>
      <c r="C2606" t="s">
        <v>809</v>
      </c>
      <c r="D2606" t="s">
        <v>1048</v>
      </c>
      <c r="E2606">
        <v>2</v>
      </c>
      <c r="F2606">
        <f>_xlfn.XLOOKUP(Table1[[#This Row],[ProductID]],Products!A:A,Products!D:D,,0)</f>
        <v>120</v>
      </c>
      <c r="I2606">
        <v>599</v>
      </c>
      <c r="J2606">
        <v>599</v>
      </c>
      <c r="K2606" t="s">
        <v>1102</v>
      </c>
      <c r="L2606">
        <v>1198</v>
      </c>
      <c r="M2606" t="s">
        <v>1093</v>
      </c>
      <c r="N2606" t="s">
        <v>1099</v>
      </c>
      <c r="O2606">
        <f>Table1[[#This Row],[Unit_Price]]*Table1[[#This Row],[Quantity]]</f>
        <v>240</v>
      </c>
    </row>
    <row r="2607" spans="1:15" x14ac:dyDescent="0.3">
      <c r="A2607" t="s">
        <v>4417</v>
      </c>
      <c r="B2607" t="s">
        <v>1977</v>
      </c>
      <c r="C2607" t="s">
        <v>59</v>
      </c>
      <c r="D2607" t="s">
        <v>1071</v>
      </c>
      <c r="E2607">
        <v>1</v>
      </c>
      <c r="F2607">
        <f>_xlfn.XLOOKUP(Table1[[#This Row],[ProductID]],Products!A:A,Products!D:D,,0)</f>
        <v>125</v>
      </c>
      <c r="I2607">
        <v>399</v>
      </c>
      <c r="J2607">
        <v>339</v>
      </c>
      <c r="K2607" t="s">
        <v>1092</v>
      </c>
      <c r="L2607">
        <v>339</v>
      </c>
      <c r="M2607" t="s">
        <v>1093</v>
      </c>
      <c r="N2607" t="s">
        <v>1123</v>
      </c>
      <c r="O2607">
        <f>Table1[[#This Row],[Unit_Price]]*Table1[[#This Row],[Quantity]]</f>
        <v>125</v>
      </c>
    </row>
    <row r="2608" spans="1:15" x14ac:dyDescent="0.3">
      <c r="A2608" t="s">
        <v>4418</v>
      </c>
      <c r="B2608" t="s">
        <v>2095</v>
      </c>
      <c r="C2608" t="s">
        <v>309</v>
      </c>
      <c r="D2608" t="s">
        <v>1071</v>
      </c>
      <c r="E2608">
        <v>2</v>
      </c>
      <c r="F2608">
        <f>_xlfn.XLOOKUP(Table1[[#This Row],[ProductID]],Products!A:A,Products!D:D,,0)</f>
        <v>125</v>
      </c>
      <c r="I2608">
        <v>399</v>
      </c>
      <c r="J2608">
        <v>359</v>
      </c>
      <c r="K2608" t="s">
        <v>1107</v>
      </c>
      <c r="L2608">
        <v>718</v>
      </c>
      <c r="M2608" t="s">
        <v>1093</v>
      </c>
      <c r="N2608" t="s">
        <v>1099</v>
      </c>
      <c r="O2608">
        <f>Table1[[#This Row],[Unit_Price]]*Table1[[#This Row],[Quantity]]</f>
        <v>250</v>
      </c>
    </row>
    <row r="2609" spans="1:15" x14ac:dyDescent="0.3">
      <c r="A2609" t="s">
        <v>4419</v>
      </c>
      <c r="B2609" t="s">
        <v>1486</v>
      </c>
      <c r="C2609" t="s">
        <v>116</v>
      </c>
      <c r="D2609" t="s">
        <v>1078</v>
      </c>
      <c r="E2609">
        <v>1</v>
      </c>
      <c r="F2609">
        <f>_xlfn.XLOOKUP(Table1[[#This Row],[ProductID]],Products!A:A,Products!D:D,,0)</f>
        <v>80</v>
      </c>
      <c r="I2609">
        <v>499</v>
      </c>
      <c r="J2609">
        <v>449</v>
      </c>
      <c r="K2609" t="s">
        <v>1107</v>
      </c>
      <c r="L2609">
        <v>449</v>
      </c>
      <c r="M2609" t="s">
        <v>1098</v>
      </c>
      <c r="N2609" t="s">
        <v>1099</v>
      </c>
      <c r="O2609">
        <f>Table1[[#This Row],[Unit_Price]]*Table1[[#This Row],[Quantity]]</f>
        <v>80</v>
      </c>
    </row>
    <row r="2610" spans="1:15" x14ac:dyDescent="0.3">
      <c r="A2610" t="s">
        <v>4420</v>
      </c>
      <c r="B2610" t="s">
        <v>2413</v>
      </c>
      <c r="C2610" t="s">
        <v>112</v>
      </c>
      <c r="D2610" t="s">
        <v>1059</v>
      </c>
      <c r="E2610">
        <v>1</v>
      </c>
      <c r="F2610">
        <f>_xlfn.XLOOKUP(Table1[[#This Row],[ProductID]],Products!A:A,Products!D:D,,0)</f>
        <v>110</v>
      </c>
      <c r="I2610">
        <v>399</v>
      </c>
      <c r="J2610">
        <v>399</v>
      </c>
      <c r="K2610" t="s">
        <v>1102</v>
      </c>
      <c r="L2610">
        <v>399</v>
      </c>
      <c r="M2610" t="s">
        <v>1093</v>
      </c>
      <c r="N2610" t="s">
        <v>1099</v>
      </c>
      <c r="O2610">
        <f>Table1[[#This Row],[Unit_Price]]*Table1[[#This Row],[Quantity]]</f>
        <v>110</v>
      </c>
    </row>
    <row r="2611" spans="1:15" x14ac:dyDescent="0.3">
      <c r="A2611" t="s">
        <v>4421</v>
      </c>
      <c r="B2611" t="s">
        <v>1117</v>
      </c>
      <c r="C2611" t="s">
        <v>445</v>
      </c>
      <c r="D2611" t="s">
        <v>1068</v>
      </c>
      <c r="E2611">
        <v>2</v>
      </c>
      <c r="F2611">
        <f>_xlfn.XLOOKUP(Table1[[#This Row],[ProductID]],Products!A:A,Products!D:D,,0)</f>
        <v>180</v>
      </c>
      <c r="I2611">
        <v>449</v>
      </c>
      <c r="J2611">
        <v>449</v>
      </c>
      <c r="K2611" t="s">
        <v>1102</v>
      </c>
      <c r="L2611">
        <v>898</v>
      </c>
      <c r="M2611" t="s">
        <v>1098</v>
      </c>
      <c r="N2611" t="s">
        <v>1099</v>
      </c>
      <c r="O2611">
        <f>Table1[[#This Row],[Unit_Price]]*Table1[[#This Row],[Quantity]]</f>
        <v>360</v>
      </c>
    </row>
    <row r="2612" spans="1:15" x14ac:dyDescent="0.3">
      <c r="A2612" t="s">
        <v>4422</v>
      </c>
      <c r="B2612" t="s">
        <v>3067</v>
      </c>
      <c r="C2612" t="s">
        <v>597</v>
      </c>
      <c r="D2612" t="s">
        <v>1073</v>
      </c>
      <c r="E2612">
        <v>1</v>
      </c>
      <c r="F2612">
        <f>_xlfn.XLOOKUP(Table1[[#This Row],[ProductID]],Products!A:A,Products!D:D,,0)</f>
        <v>100</v>
      </c>
      <c r="I2612">
        <v>349</v>
      </c>
      <c r="J2612">
        <v>314</v>
      </c>
      <c r="K2612" t="s">
        <v>1107</v>
      </c>
      <c r="L2612">
        <v>314</v>
      </c>
      <c r="M2612" t="s">
        <v>1118</v>
      </c>
      <c r="N2612" t="s">
        <v>1099</v>
      </c>
      <c r="O2612">
        <f>Table1[[#This Row],[Unit_Price]]*Table1[[#This Row],[Quantity]]</f>
        <v>100</v>
      </c>
    </row>
    <row r="2613" spans="1:15" x14ac:dyDescent="0.3">
      <c r="A2613" t="s">
        <v>4423</v>
      </c>
      <c r="B2613" t="s">
        <v>1539</v>
      </c>
      <c r="C2613" t="s">
        <v>911</v>
      </c>
      <c r="D2613" t="s">
        <v>1057</v>
      </c>
      <c r="E2613">
        <v>1</v>
      </c>
      <c r="F2613">
        <f>_xlfn.XLOOKUP(Table1[[#This Row],[ProductID]],Products!A:A,Products!D:D,,0)</f>
        <v>130</v>
      </c>
      <c r="I2613">
        <v>549</v>
      </c>
      <c r="J2613">
        <v>549</v>
      </c>
      <c r="K2613" t="s">
        <v>1102</v>
      </c>
      <c r="L2613">
        <v>549</v>
      </c>
      <c r="M2613" t="s">
        <v>1098</v>
      </c>
      <c r="N2613" t="s">
        <v>1099</v>
      </c>
      <c r="O2613">
        <f>Table1[[#This Row],[Unit_Price]]*Table1[[#This Row],[Quantity]]</f>
        <v>130</v>
      </c>
    </row>
    <row r="2614" spans="1:15" x14ac:dyDescent="0.3">
      <c r="A2614" t="s">
        <v>4424</v>
      </c>
      <c r="B2614" t="s">
        <v>1668</v>
      </c>
      <c r="C2614" t="s">
        <v>441</v>
      </c>
      <c r="D2614" t="s">
        <v>1080</v>
      </c>
      <c r="E2614">
        <v>1</v>
      </c>
      <c r="F2614">
        <f>_xlfn.XLOOKUP(Table1[[#This Row],[ProductID]],Products!A:A,Products!D:D,,0)</f>
        <v>45</v>
      </c>
      <c r="I2614">
        <v>249</v>
      </c>
      <c r="J2614">
        <v>249</v>
      </c>
      <c r="K2614" t="s">
        <v>1102</v>
      </c>
      <c r="L2614">
        <v>249</v>
      </c>
      <c r="M2614" t="s">
        <v>1093</v>
      </c>
      <c r="N2614" t="s">
        <v>1099</v>
      </c>
      <c r="O2614">
        <f>Table1[[#This Row],[Unit_Price]]*Table1[[#This Row],[Quantity]]</f>
        <v>45</v>
      </c>
    </row>
    <row r="2615" spans="1:15" x14ac:dyDescent="0.3">
      <c r="A2615" t="s">
        <v>4425</v>
      </c>
      <c r="B2615" t="s">
        <v>2251</v>
      </c>
      <c r="C2615" t="s">
        <v>595</v>
      </c>
      <c r="D2615" t="s">
        <v>1048</v>
      </c>
      <c r="E2615">
        <v>1</v>
      </c>
      <c r="F2615">
        <f>_xlfn.XLOOKUP(Table1[[#This Row],[ProductID]],Products!A:A,Products!D:D,,0)</f>
        <v>120</v>
      </c>
      <c r="I2615">
        <v>599</v>
      </c>
      <c r="J2615">
        <v>539</v>
      </c>
      <c r="K2615" t="s">
        <v>1107</v>
      </c>
      <c r="L2615">
        <v>539</v>
      </c>
      <c r="M2615" t="s">
        <v>1093</v>
      </c>
      <c r="N2615" t="s">
        <v>1099</v>
      </c>
      <c r="O2615">
        <f>Table1[[#This Row],[Unit_Price]]*Table1[[#This Row],[Quantity]]</f>
        <v>120</v>
      </c>
    </row>
    <row r="2616" spans="1:15" x14ac:dyDescent="0.3">
      <c r="A2616" t="s">
        <v>4426</v>
      </c>
      <c r="B2616" t="s">
        <v>2169</v>
      </c>
      <c r="C2616" t="s">
        <v>629</v>
      </c>
      <c r="D2616" t="s">
        <v>1066</v>
      </c>
      <c r="E2616">
        <v>2</v>
      </c>
      <c r="F2616">
        <f>_xlfn.XLOOKUP(Table1[[#This Row],[ProductID]],Products!A:A,Products!D:D,,0)</f>
        <v>140</v>
      </c>
      <c r="I2616">
        <v>499</v>
      </c>
      <c r="J2616">
        <v>424</v>
      </c>
      <c r="K2616" t="s">
        <v>1092</v>
      </c>
      <c r="L2616">
        <v>848</v>
      </c>
      <c r="M2616" t="s">
        <v>1126</v>
      </c>
      <c r="N2616" t="s">
        <v>1099</v>
      </c>
      <c r="O2616">
        <f>Table1[[#This Row],[Unit_Price]]*Table1[[#This Row],[Quantity]]</f>
        <v>280</v>
      </c>
    </row>
    <row r="2617" spans="1:15" x14ac:dyDescent="0.3">
      <c r="A2617" t="s">
        <v>4427</v>
      </c>
      <c r="B2617" t="s">
        <v>1604</v>
      </c>
      <c r="C2617" t="s">
        <v>187</v>
      </c>
      <c r="D2617" t="s">
        <v>1048</v>
      </c>
      <c r="E2617">
        <v>2</v>
      </c>
      <c r="F2617">
        <f>_xlfn.XLOOKUP(Table1[[#This Row],[ProductID]],Products!A:A,Products!D:D,,0)</f>
        <v>120</v>
      </c>
      <c r="I2617">
        <v>599</v>
      </c>
      <c r="J2617">
        <v>509</v>
      </c>
      <c r="K2617" t="s">
        <v>1092</v>
      </c>
      <c r="L2617">
        <v>1018</v>
      </c>
      <c r="M2617" t="s">
        <v>1098</v>
      </c>
      <c r="N2617" t="s">
        <v>1099</v>
      </c>
      <c r="O2617">
        <f>Table1[[#This Row],[Unit_Price]]*Table1[[#This Row],[Quantity]]</f>
        <v>240</v>
      </c>
    </row>
    <row r="2618" spans="1:15" x14ac:dyDescent="0.3">
      <c r="A2618" t="s">
        <v>4428</v>
      </c>
      <c r="B2618" t="s">
        <v>1109</v>
      </c>
      <c r="C2618" t="s">
        <v>771</v>
      </c>
      <c r="D2618" t="s">
        <v>1048</v>
      </c>
      <c r="E2618">
        <v>3</v>
      </c>
      <c r="F2618">
        <f>_xlfn.XLOOKUP(Table1[[#This Row],[ProductID]],Products!A:A,Products!D:D,,0)</f>
        <v>120</v>
      </c>
      <c r="I2618">
        <v>599</v>
      </c>
      <c r="J2618">
        <v>539</v>
      </c>
      <c r="K2618" t="s">
        <v>1107</v>
      </c>
      <c r="L2618">
        <v>1617</v>
      </c>
      <c r="M2618" t="s">
        <v>1098</v>
      </c>
      <c r="N2618" t="s">
        <v>1099</v>
      </c>
      <c r="O2618">
        <f>Table1[[#This Row],[Unit_Price]]*Table1[[#This Row],[Quantity]]</f>
        <v>360</v>
      </c>
    </row>
    <row r="2619" spans="1:15" x14ac:dyDescent="0.3">
      <c r="A2619" t="s">
        <v>4429</v>
      </c>
      <c r="B2619" t="s">
        <v>1192</v>
      </c>
      <c r="C2619" t="s">
        <v>1029</v>
      </c>
      <c r="D2619" t="s">
        <v>1053</v>
      </c>
      <c r="E2619">
        <v>3</v>
      </c>
      <c r="F2619">
        <f>_xlfn.XLOOKUP(Table1[[#This Row],[ProductID]],Products!A:A,Products!D:D,,0)</f>
        <v>200</v>
      </c>
      <c r="I2619">
        <v>899</v>
      </c>
      <c r="J2619">
        <v>719</v>
      </c>
      <c r="K2619" t="s">
        <v>1097</v>
      </c>
      <c r="L2619">
        <v>2157</v>
      </c>
      <c r="M2619" t="s">
        <v>1126</v>
      </c>
      <c r="N2619" t="s">
        <v>1099</v>
      </c>
      <c r="O2619">
        <f>Table1[[#This Row],[Unit_Price]]*Table1[[#This Row],[Quantity]]</f>
        <v>600</v>
      </c>
    </row>
    <row r="2620" spans="1:15" x14ac:dyDescent="0.3">
      <c r="A2620" t="s">
        <v>4430</v>
      </c>
      <c r="B2620" t="s">
        <v>4376</v>
      </c>
      <c r="C2620" t="s">
        <v>253</v>
      </c>
      <c r="D2620" t="s">
        <v>1064</v>
      </c>
      <c r="E2620">
        <v>2</v>
      </c>
      <c r="F2620">
        <f>_xlfn.XLOOKUP(Table1[[#This Row],[ProductID]],Products!A:A,Products!D:D,,0)</f>
        <v>160</v>
      </c>
      <c r="I2620">
        <v>699</v>
      </c>
      <c r="J2620">
        <v>629</v>
      </c>
      <c r="K2620" t="s">
        <v>1107</v>
      </c>
      <c r="L2620">
        <v>1258</v>
      </c>
      <c r="M2620" t="s">
        <v>1093</v>
      </c>
      <c r="N2620" t="s">
        <v>1094</v>
      </c>
      <c r="O2620">
        <f>Table1[[#This Row],[Unit_Price]]*Table1[[#This Row],[Quantity]]</f>
        <v>320</v>
      </c>
    </row>
    <row r="2621" spans="1:15" x14ac:dyDescent="0.3">
      <c r="A2621" t="s">
        <v>4431</v>
      </c>
      <c r="B2621" t="s">
        <v>1816</v>
      </c>
      <c r="C2621" t="s">
        <v>449</v>
      </c>
      <c r="D2621" t="s">
        <v>1078</v>
      </c>
      <c r="E2621">
        <v>1</v>
      </c>
      <c r="F2621">
        <f>_xlfn.XLOOKUP(Table1[[#This Row],[ProductID]],Products!A:A,Products!D:D,,0)</f>
        <v>80</v>
      </c>
      <c r="I2621">
        <v>499</v>
      </c>
      <c r="J2621">
        <v>499</v>
      </c>
      <c r="K2621" t="s">
        <v>1102</v>
      </c>
      <c r="L2621">
        <v>499</v>
      </c>
      <c r="M2621" t="s">
        <v>1098</v>
      </c>
      <c r="N2621" t="s">
        <v>1099</v>
      </c>
      <c r="O2621">
        <f>Table1[[#This Row],[Unit_Price]]*Table1[[#This Row],[Quantity]]</f>
        <v>80</v>
      </c>
    </row>
    <row r="2622" spans="1:15" x14ac:dyDescent="0.3">
      <c r="A2622" t="s">
        <v>4432</v>
      </c>
      <c r="B2622" t="s">
        <v>1636</v>
      </c>
      <c r="C2622" t="s">
        <v>703</v>
      </c>
      <c r="D2622" t="s">
        <v>1078</v>
      </c>
      <c r="E2622">
        <v>2</v>
      </c>
      <c r="F2622">
        <f>_xlfn.XLOOKUP(Table1[[#This Row],[ProductID]],Products!A:A,Products!D:D,,0)</f>
        <v>80</v>
      </c>
      <c r="I2622">
        <v>499</v>
      </c>
      <c r="J2622">
        <v>424</v>
      </c>
      <c r="K2622" t="s">
        <v>1092</v>
      </c>
      <c r="L2622">
        <v>848</v>
      </c>
      <c r="M2622" t="s">
        <v>1126</v>
      </c>
      <c r="N2622" t="s">
        <v>1099</v>
      </c>
      <c r="O2622">
        <f>Table1[[#This Row],[Unit_Price]]*Table1[[#This Row],[Quantity]]</f>
        <v>160</v>
      </c>
    </row>
    <row r="2623" spans="1:15" x14ac:dyDescent="0.3">
      <c r="A2623" t="s">
        <v>4433</v>
      </c>
      <c r="B2623" t="s">
        <v>2508</v>
      </c>
      <c r="C2623" t="s">
        <v>295</v>
      </c>
      <c r="D2623" t="s">
        <v>1073</v>
      </c>
      <c r="E2623">
        <v>1</v>
      </c>
      <c r="F2623">
        <f>_xlfn.XLOOKUP(Table1[[#This Row],[ProductID]],Products!A:A,Products!D:D,,0)</f>
        <v>100</v>
      </c>
      <c r="I2623">
        <v>349</v>
      </c>
      <c r="J2623">
        <v>297</v>
      </c>
      <c r="K2623" t="s">
        <v>1092</v>
      </c>
      <c r="L2623">
        <v>297</v>
      </c>
      <c r="M2623" t="s">
        <v>1093</v>
      </c>
      <c r="N2623" t="s">
        <v>1099</v>
      </c>
      <c r="O2623">
        <f>Table1[[#This Row],[Unit_Price]]*Table1[[#This Row],[Quantity]]</f>
        <v>100</v>
      </c>
    </row>
    <row r="2624" spans="1:15" x14ac:dyDescent="0.3">
      <c r="A2624" t="s">
        <v>4434</v>
      </c>
      <c r="B2624" t="s">
        <v>2265</v>
      </c>
      <c r="C2624" t="s">
        <v>257</v>
      </c>
      <c r="D2624" t="s">
        <v>1068</v>
      </c>
      <c r="E2624">
        <v>1</v>
      </c>
      <c r="F2624">
        <f>_xlfn.XLOOKUP(Table1[[#This Row],[ProductID]],Products!A:A,Products!D:D,,0)</f>
        <v>180</v>
      </c>
      <c r="I2624">
        <v>449</v>
      </c>
      <c r="J2624">
        <v>359</v>
      </c>
      <c r="K2624" t="s">
        <v>1097</v>
      </c>
      <c r="L2624">
        <v>359</v>
      </c>
      <c r="M2624" t="s">
        <v>1093</v>
      </c>
      <c r="N2624" t="s">
        <v>1099</v>
      </c>
      <c r="O2624">
        <f>Table1[[#This Row],[Unit_Price]]*Table1[[#This Row],[Quantity]]</f>
        <v>180</v>
      </c>
    </row>
    <row r="2625" spans="1:15" x14ac:dyDescent="0.3">
      <c r="A2625" t="s">
        <v>4435</v>
      </c>
      <c r="B2625" t="s">
        <v>2025</v>
      </c>
      <c r="C2625" t="s">
        <v>47</v>
      </c>
      <c r="D2625" t="s">
        <v>1053</v>
      </c>
      <c r="E2625">
        <v>1</v>
      </c>
      <c r="F2625">
        <f>_xlfn.XLOOKUP(Table1[[#This Row],[ProductID]],Products!A:A,Products!D:D,,0)</f>
        <v>200</v>
      </c>
      <c r="I2625">
        <v>899</v>
      </c>
      <c r="J2625">
        <v>809</v>
      </c>
      <c r="K2625" t="s">
        <v>1107</v>
      </c>
      <c r="L2625">
        <v>809</v>
      </c>
      <c r="M2625" t="s">
        <v>1098</v>
      </c>
      <c r="N2625" t="s">
        <v>1099</v>
      </c>
      <c r="O2625">
        <f>Table1[[#This Row],[Unit_Price]]*Table1[[#This Row],[Quantity]]</f>
        <v>200</v>
      </c>
    </row>
    <row r="2626" spans="1:15" x14ac:dyDescent="0.3">
      <c r="A2626" t="s">
        <v>4436</v>
      </c>
      <c r="B2626" t="s">
        <v>1238</v>
      </c>
      <c r="C2626" t="s">
        <v>701</v>
      </c>
      <c r="D2626" t="s">
        <v>1051</v>
      </c>
      <c r="E2626">
        <v>1</v>
      </c>
      <c r="F2626">
        <f>_xlfn.XLOOKUP(Table1[[#This Row],[ProductID]],Products!A:A,Products!D:D,,0)</f>
        <v>150</v>
      </c>
      <c r="I2626">
        <v>499</v>
      </c>
      <c r="J2626">
        <v>399</v>
      </c>
      <c r="K2626" t="s">
        <v>1097</v>
      </c>
      <c r="L2626">
        <v>399</v>
      </c>
      <c r="M2626" t="s">
        <v>1093</v>
      </c>
      <c r="N2626" t="s">
        <v>1099</v>
      </c>
      <c r="O2626">
        <f>Table1[[#This Row],[Unit_Price]]*Table1[[#This Row],[Quantity]]</f>
        <v>150</v>
      </c>
    </row>
    <row r="2627" spans="1:15" x14ac:dyDescent="0.3">
      <c r="A2627" t="s">
        <v>4437</v>
      </c>
      <c r="B2627" t="s">
        <v>1298</v>
      </c>
      <c r="C2627" t="s">
        <v>126</v>
      </c>
      <c r="D2627" t="s">
        <v>1051</v>
      </c>
      <c r="E2627">
        <v>1</v>
      </c>
      <c r="F2627">
        <f>_xlfn.XLOOKUP(Table1[[#This Row],[ProductID]],Products!A:A,Products!D:D,,0)</f>
        <v>150</v>
      </c>
      <c r="I2627">
        <v>499</v>
      </c>
      <c r="J2627">
        <v>449</v>
      </c>
      <c r="K2627" t="s">
        <v>1107</v>
      </c>
      <c r="L2627">
        <v>449</v>
      </c>
      <c r="M2627" t="s">
        <v>1118</v>
      </c>
      <c r="N2627" t="s">
        <v>1099</v>
      </c>
      <c r="O2627">
        <f>Table1[[#This Row],[Unit_Price]]*Table1[[#This Row],[Quantity]]</f>
        <v>150</v>
      </c>
    </row>
    <row r="2628" spans="1:15" x14ac:dyDescent="0.3">
      <c r="A2628" t="s">
        <v>4438</v>
      </c>
      <c r="B2628" t="s">
        <v>2135</v>
      </c>
      <c r="C2628" t="s">
        <v>485</v>
      </c>
      <c r="D2628" t="s">
        <v>1053</v>
      </c>
      <c r="E2628">
        <v>1</v>
      </c>
      <c r="F2628">
        <f>_xlfn.XLOOKUP(Table1[[#This Row],[ProductID]],Products!A:A,Products!D:D,,0)</f>
        <v>200</v>
      </c>
      <c r="I2628">
        <v>899</v>
      </c>
      <c r="J2628">
        <v>899</v>
      </c>
      <c r="K2628" t="s">
        <v>1102</v>
      </c>
      <c r="L2628">
        <v>899</v>
      </c>
      <c r="M2628" t="s">
        <v>1093</v>
      </c>
      <c r="N2628" t="s">
        <v>1094</v>
      </c>
      <c r="O2628">
        <f>Table1[[#This Row],[Unit_Price]]*Table1[[#This Row],[Quantity]]</f>
        <v>200</v>
      </c>
    </row>
    <row r="2629" spans="1:15" x14ac:dyDescent="0.3">
      <c r="A2629" t="s">
        <v>4439</v>
      </c>
      <c r="B2629" t="s">
        <v>2438</v>
      </c>
      <c r="C2629" t="s">
        <v>757</v>
      </c>
      <c r="D2629" t="s">
        <v>1075</v>
      </c>
      <c r="E2629">
        <v>4</v>
      </c>
      <c r="F2629">
        <f>_xlfn.XLOOKUP(Table1[[#This Row],[ProductID]],Products!A:A,Products!D:D,,0)</f>
        <v>80</v>
      </c>
      <c r="I2629">
        <v>499</v>
      </c>
      <c r="J2629">
        <v>499</v>
      </c>
      <c r="K2629" t="s">
        <v>1102</v>
      </c>
      <c r="L2629">
        <v>1996</v>
      </c>
      <c r="M2629" t="s">
        <v>1098</v>
      </c>
      <c r="N2629" t="s">
        <v>1099</v>
      </c>
      <c r="O2629">
        <f>Table1[[#This Row],[Unit_Price]]*Table1[[#This Row],[Quantity]]</f>
        <v>320</v>
      </c>
    </row>
    <row r="2630" spans="1:15" x14ac:dyDescent="0.3">
      <c r="A2630" t="s">
        <v>4440</v>
      </c>
      <c r="B2630" t="s">
        <v>1648</v>
      </c>
      <c r="C2630" t="s">
        <v>769</v>
      </c>
      <c r="D2630" t="s">
        <v>1066</v>
      </c>
      <c r="E2630">
        <v>1</v>
      </c>
      <c r="F2630">
        <f>_xlfn.XLOOKUP(Table1[[#This Row],[ProductID]],Products!A:A,Products!D:D,,0)</f>
        <v>140</v>
      </c>
      <c r="I2630">
        <v>499</v>
      </c>
      <c r="J2630">
        <v>449</v>
      </c>
      <c r="K2630" t="s">
        <v>1107</v>
      </c>
      <c r="L2630">
        <v>449</v>
      </c>
      <c r="M2630" t="s">
        <v>1093</v>
      </c>
      <c r="N2630" t="s">
        <v>1099</v>
      </c>
      <c r="O2630">
        <f>Table1[[#This Row],[Unit_Price]]*Table1[[#This Row],[Quantity]]</f>
        <v>140</v>
      </c>
    </row>
    <row r="2631" spans="1:15" x14ac:dyDescent="0.3">
      <c r="A2631" t="s">
        <v>4441</v>
      </c>
      <c r="B2631" t="s">
        <v>1386</v>
      </c>
      <c r="C2631" t="s">
        <v>158</v>
      </c>
      <c r="D2631" t="s">
        <v>1062</v>
      </c>
      <c r="E2631">
        <v>2</v>
      </c>
      <c r="F2631">
        <f>_xlfn.XLOOKUP(Table1[[#This Row],[ProductID]],Products!A:A,Products!D:D,,0)</f>
        <v>95</v>
      </c>
      <c r="I2631">
        <v>349</v>
      </c>
      <c r="J2631">
        <v>314</v>
      </c>
      <c r="K2631" t="s">
        <v>1107</v>
      </c>
      <c r="L2631">
        <v>628</v>
      </c>
      <c r="M2631" t="s">
        <v>1098</v>
      </c>
      <c r="N2631" t="s">
        <v>1099</v>
      </c>
      <c r="O2631">
        <f>Table1[[#This Row],[Unit_Price]]*Table1[[#This Row],[Quantity]]</f>
        <v>190</v>
      </c>
    </row>
    <row r="2632" spans="1:15" x14ac:dyDescent="0.3">
      <c r="A2632" t="s">
        <v>4442</v>
      </c>
      <c r="B2632" t="s">
        <v>1668</v>
      </c>
      <c r="C2632" t="s">
        <v>893</v>
      </c>
      <c r="D2632" t="s">
        <v>1071</v>
      </c>
      <c r="E2632">
        <v>2</v>
      </c>
      <c r="F2632">
        <f>_xlfn.XLOOKUP(Table1[[#This Row],[ProductID]],Products!A:A,Products!D:D,,0)</f>
        <v>125</v>
      </c>
      <c r="I2632">
        <v>399</v>
      </c>
      <c r="J2632">
        <v>319</v>
      </c>
      <c r="K2632" t="s">
        <v>1097</v>
      </c>
      <c r="L2632">
        <v>638</v>
      </c>
      <c r="M2632" t="s">
        <v>1098</v>
      </c>
      <c r="N2632" t="s">
        <v>1099</v>
      </c>
      <c r="O2632">
        <f>Table1[[#This Row],[Unit_Price]]*Table1[[#This Row],[Quantity]]</f>
        <v>250</v>
      </c>
    </row>
    <row r="2633" spans="1:15" x14ac:dyDescent="0.3">
      <c r="A2633" t="s">
        <v>4443</v>
      </c>
      <c r="B2633" t="s">
        <v>2535</v>
      </c>
      <c r="C2633" t="s">
        <v>1013</v>
      </c>
      <c r="D2633" t="s">
        <v>1062</v>
      </c>
      <c r="E2633">
        <v>2</v>
      </c>
      <c r="F2633">
        <f>_xlfn.XLOOKUP(Table1[[#This Row],[ProductID]],Products!A:A,Products!D:D,,0)</f>
        <v>95</v>
      </c>
      <c r="I2633">
        <v>349</v>
      </c>
      <c r="J2633">
        <v>279</v>
      </c>
      <c r="K2633" t="s">
        <v>1097</v>
      </c>
      <c r="L2633">
        <v>558</v>
      </c>
      <c r="M2633" t="s">
        <v>1093</v>
      </c>
      <c r="N2633" t="s">
        <v>1099</v>
      </c>
      <c r="O2633">
        <f>Table1[[#This Row],[Unit_Price]]*Table1[[#This Row],[Quantity]]</f>
        <v>190</v>
      </c>
    </row>
    <row r="2634" spans="1:15" x14ac:dyDescent="0.3">
      <c r="A2634" t="s">
        <v>4444</v>
      </c>
      <c r="B2634" t="s">
        <v>1275</v>
      </c>
      <c r="C2634" t="s">
        <v>687</v>
      </c>
      <c r="D2634" t="s">
        <v>1059</v>
      </c>
      <c r="E2634">
        <v>2</v>
      </c>
      <c r="F2634">
        <f>_xlfn.XLOOKUP(Table1[[#This Row],[ProductID]],Products!A:A,Products!D:D,,0)</f>
        <v>110</v>
      </c>
      <c r="I2634">
        <v>399</v>
      </c>
      <c r="J2634">
        <v>359</v>
      </c>
      <c r="K2634" t="s">
        <v>1107</v>
      </c>
      <c r="L2634">
        <v>718</v>
      </c>
      <c r="M2634" t="s">
        <v>1126</v>
      </c>
      <c r="N2634" t="s">
        <v>1099</v>
      </c>
      <c r="O2634">
        <f>Table1[[#This Row],[Unit_Price]]*Table1[[#This Row],[Quantity]]</f>
        <v>220</v>
      </c>
    </row>
    <row r="2635" spans="1:15" x14ac:dyDescent="0.3">
      <c r="A2635" t="s">
        <v>4445</v>
      </c>
      <c r="B2635" t="s">
        <v>2222</v>
      </c>
      <c r="C2635" t="s">
        <v>989</v>
      </c>
      <c r="D2635" t="s">
        <v>1078</v>
      </c>
      <c r="E2635">
        <v>2</v>
      </c>
      <c r="F2635">
        <f>_xlfn.XLOOKUP(Table1[[#This Row],[ProductID]],Products!A:A,Products!D:D,,0)</f>
        <v>80</v>
      </c>
      <c r="I2635">
        <v>499</v>
      </c>
      <c r="J2635">
        <v>449</v>
      </c>
      <c r="K2635" t="s">
        <v>1107</v>
      </c>
      <c r="L2635">
        <v>898</v>
      </c>
      <c r="M2635" t="s">
        <v>1093</v>
      </c>
      <c r="N2635" t="s">
        <v>1099</v>
      </c>
      <c r="O2635">
        <f>Table1[[#This Row],[Unit_Price]]*Table1[[#This Row],[Quantity]]</f>
        <v>160</v>
      </c>
    </row>
    <row r="2636" spans="1:15" x14ac:dyDescent="0.3">
      <c r="A2636" t="s">
        <v>4446</v>
      </c>
      <c r="B2636" t="s">
        <v>2549</v>
      </c>
      <c r="C2636" t="s">
        <v>705</v>
      </c>
      <c r="D2636" t="s">
        <v>1068</v>
      </c>
      <c r="E2636">
        <v>1</v>
      </c>
      <c r="F2636">
        <f>_xlfn.XLOOKUP(Table1[[#This Row],[ProductID]],Products!A:A,Products!D:D,,0)</f>
        <v>180</v>
      </c>
      <c r="I2636">
        <v>449</v>
      </c>
      <c r="J2636">
        <v>359</v>
      </c>
      <c r="K2636" t="s">
        <v>1097</v>
      </c>
      <c r="L2636">
        <v>359</v>
      </c>
      <c r="M2636" t="s">
        <v>1098</v>
      </c>
      <c r="N2636" t="s">
        <v>1099</v>
      </c>
      <c r="O2636">
        <f>Table1[[#This Row],[Unit_Price]]*Table1[[#This Row],[Quantity]]</f>
        <v>180</v>
      </c>
    </row>
    <row r="2637" spans="1:15" x14ac:dyDescent="0.3">
      <c r="A2637" t="s">
        <v>4447</v>
      </c>
      <c r="B2637" t="s">
        <v>1772</v>
      </c>
      <c r="C2637" t="s">
        <v>154</v>
      </c>
      <c r="D2637" t="s">
        <v>1078</v>
      </c>
      <c r="E2637">
        <v>1</v>
      </c>
      <c r="F2637">
        <f>_xlfn.XLOOKUP(Table1[[#This Row],[ProductID]],Products!A:A,Products!D:D,,0)</f>
        <v>80</v>
      </c>
      <c r="I2637">
        <v>499</v>
      </c>
      <c r="J2637">
        <v>499</v>
      </c>
      <c r="K2637" t="s">
        <v>1102</v>
      </c>
      <c r="L2637">
        <v>499</v>
      </c>
      <c r="M2637" t="s">
        <v>1098</v>
      </c>
      <c r="N2637" t="s">
        <v>1099</v>
      </c>
      <c r="O2637">
        <f>Table1[[#This Row],[Unit_Price]]*Table1[[#This Row],[Quantity]]</f>
        <v>80</v>
      </c>
    </row>
    <row r="2638" spans="1:15" x14ac:dyDescent="0.3">
      <c r="A2638" t="s">
        <v>4448</v>
      </c>
      <c r="B2638" t="s">
        <v>2690</v>
      </c>
      <c r="C2638" t="s">
        <v>739</v>
      </c>
      <c r="D2638" t="s">
        <v>1068</v>
      </c>
      <c r="E2638">
        <v>1</v>
      </c>
      <c r="F2638">
        <f>_xlfn.XLOOKUP(Table1[[#This Row],[ProductID]],Products!A:A,Products!D:D,,0)</f>
        <v>180</v>
      </c>
      <c r="I2638">
        <v>449</v>
      </c>
      <c r="J2638">
        <v>404</v>
      </c>
      <c r="K2638" t="s">
        <v>1107</v>
      </c>
      <c r="L2638">
        <v>404</v>
      </c>
      <c r="M2638" t="s">
        <v>1098</v>
      </c>
      <c r="N2638" t="s">
        <v>1099</v>
      </c>
      <c r="O2638">
        <f>Table1[[#This Row],[Unit_Price]]*Table1[[#This Row],[Quantity]]</f>
        <v>180</v>
      </c>
    </row>
    <row r="2639" spans="1:15" x14ac:dyDescent="0.3">
      <c r="A2639" t="s">
        <v>4449</v>
      </c>
      <c r="B2639" t="s">
        <v>2865</v>
      </c>
      <c r="C2639" t="s">
        <v>685</v>
      </c>
      <c r="D2639" t="s">
        <v>1075</v>
      </c>
      <c r="E2639">
        <v>1</v>
      </c>
      <c r="F2639">
        <f>_xlfn.XLOOKUP(Table1[[#This Row],[ProductID]],Products!A:A,Products!D:D,,0)</f>
        <v>80</v>
      </c>
      <c r="I2639">
        <v>499</v>
      </c>
      <c r="J2639">
        <v>424</v>
      </c>
      <c r="K2639" t="s">
        <v>1092</v>
      </c>
      <c r="L2639">
        <v>424</v>
      </c>
      <c r="M2639" t="s">
        <v>1098</v>
      </c>
      <c r="N2639" t="s">
        <v>1099</v>
      </c>
      <c r="O2639">
        <f>Table1[[#This Row],[Unit_Price]]*Table1[[#This Row],[Quantity]]</f>
        <v>80</v>
      </c>
    </row>
    <row r="2640" spans="1:15" x14ac:dyDescent="0.3">
      <c r="A2640" t="s">
        <v>4450</v>
      </c>
      <c r="B2640" t="s">
        <v>2206</v>
      </c>
      <c r="C2640" t="s">
        <v>18</v>
      </c>
      <c r="D2640" t="s">
        <v>1057</v>
      </c>
      <c r="E2640">
        <v>1</v>
      </c>
      <c r="F2640">
        <f>_xlfn.XLOOKUP(Table1[[#This Row],[ProductID]],Products!A:A,Products!D:D,,0)</f>
        <v>130</v>
      </c>
      <c r="I2640">
        <v>549</v>
      </c>
      <c r="J2640">
        <v>494</v>
      </c>
      <c r="K2640" t="s">
        <v>1107</v>
      </c>
      <c r="L2640">
        <v>494</v>
      </c>
      <c r="M2640" t="s">
        <v>1098</v>
      </c>
      <c r="N2640" t="s">
        <v>1099</v>
      </c>
      <c r="O2640">
        <f>Table1[[#This Row],[Unit_Price]]*Table1[[#This Row],[Quantity]]</f>
        <v>130</v>
      </c>
    </row>
    <row r="2641" spans="1:15" x14ac:dyDescent="0.3">
      <c r="A2641" t="s">
        <v>4451</v>
      </c>
      <c r="B2641" t="s">
        <v>1304</v>
      </c>
      <c r="C2641" t="s">
        <v>709</v>
      </c>
      <c r="D2641" t="s">
        <v>1075</v>
      </c>
      <c r="E2641">
        <v>3</v>
      </c>
      <c r="F2641">
        <f>_xlfn.XLOOKUP(Table1[[#This Row],[ProductID]],Products!A:A,Products!D:D,,0)</f>
        <v>80</v>
      </c>
      <c r="I2641">
        <v>499</v>
      </c>
      <c r="J2641">
        <v>499</v>
      </c>
      <c r="K2641" t="s">
        <v>1102</v>
      </c>
      <c r="L2641">
        <v>1497</v>
      </c>
      <c r="M2641" t="s">
        <v>1093</v>
      </c>
      <c r="N2641" t="s">
        <v>1094</v>
      </c>
      <c r="O2641">
        <f>Table1[[#This Row],[Unit_Price]]*Table1[[#This Row],[Quantity]]</f>
        <v>240</v>
      </c>
    </row>
    <row r="2642" spans="1:15" x14ac:dyDescent="0.3">
      <c r="A2642" t="s">
        <v>4452</v>
      </c>
      <c r="B2642" t="s">
        <v>2350</v>
      </c>
      <c r="C2642" t="s">
        <v>689</v>
      </c>
      <c r="D2642" t="s">
        <v>1068</v>
      </c>
      <c r="E2642">
        <v>1</v>
      </c>
      <c r="F2642">
        <f>_xlfn.XLOOKUP(Table1[[#This Row],[ProductID]],Products!A:A,Products!D:D,,0)</f>
        <v>180</v>
      </c>
      <c r="I2642">
        <v>449</v>
      </c>
      <c r="J2642">
        <v>382</v>
      </c>
      <c r="K2642" t="s">
        <v>1092</v>
      </c>
      <c r="L2642">
        <v>382</v>
      </c>
      <c r="M2642" t="s">
        <v>1098</v>
      </c>
      <c r="N2642" t="s">
        <v>1099</v>
      </c>
      <c r="O2642">
        <f>Table1[[#This Row],[Unit_Price]]*Table1[[#This Row],[Quantity]]</f>
        <v>180</v>
      </c>
    </row>
    <row r="2643" spans="1:15" x14ac:dyDescent="0.3">
      <c r="A2643" t="s">
        <v>4453</v>
      </c>
      <c r="B2643" t="s">
        <v>2862</v>
      </c>
      <c r="C2643" t="s">
        <v>247</v>
      </c>
      <c r="D2643" t="s">
        <v>1066</v>
      </c>
      <c r="E2643">
        <v>2</v>
      </c>
      <c r="F2643">
        <f>_xlfn.XLOOKUP(Table1[[#This Row],[ProductID]],Products!A:A,Products!D:D,,0)</f>
        <v>140</v>
      </c>
      <c r="I2643">
        <v>499</v>
      </c>
      <c r="J2643">
        <v>424</v>
      </c>
      <c r="K2643" t="s">
        <v>1092</v>
      </c>
      <c r="L2643">
        <v>848</v>
      </c>
      <c r="M2643" t="s">
        <v>1098</v>
      </c>
      <c r="N2643" t="s">
        <v>1099</v>
      </c>
      <c r="O2643">
        <f>Table1[[#This Row],[Unit_Price]]*Table1[[#This Row],[Quantity]]</f>
        <v>280</v>
      </c>
    </row>
    <row r="2644" spans="1:15" x14ac:dyDescent="0.3">
      <c r="A2644" t="s">
        <v>4454</v>
      </c>
      <c r="B2644" t="s">
        <v>1168</v>
      </c>
      <c r="C2644" t="s">
        <v>309</v>
      </c>
      <c r="D2644" t="s">
        <v>1055</v>
      </c>
      <c r="E2644">
        <v>4</v>
      </c>
      <c r="F2644">
        <f>_xlfn.XLOOKUP(Table1[[#This Row],[ProductID]],Products!A:A,Products!D:D,,0)</f>
        <v>75</v>
      </c>
      <c r="I2644">
        <v>299</v>
      </c>
      <c r="J2644">
        <v>239</v>
      </c>
      <c r="K2644" t="s">
        <v>1097</v>
      </c>
      <c r="L2644">
        <v>956</v>
      </c>
      <c r="M2644" t="s">
        <v>1098</v>
      </c>
      <c r="N2644" t="s">
        <v>1099</v>
      </c>
      <c r="O2644">
        <f>Table1[[#This Row],[Unit_Price]]*Table1[[#This Row],[Quantity]]</f>
        <v>300</v>
      </c>
    </row>
    <row r="2645" spans="1:15" x14ac:dyDescent="0.3">
      <c r="A2645" t="s">
        <v>4455</v>
      </c>
      <c r="B2645" t="s">
        <v>1434</v>
      </c>
      <c r="C2645" t="s">
        <v>599</v>
      </c>
      <c r="D2645" t="s">
        <v>1064</v>
      </c>
      <c r="E2645">
        <v>2</v>
      </c>
      <c r="F2645">
        <f>_xlfn.XLOOKUP(Table1[[#This Row],[ProductID]],Products!A:A,Products!D:D,,0)</f>
        <v>160</v>
      </c>
      <c r="I2645">
        <v>699</v>
      </c>
      <c r="J2645">
        <v>594</v>
      </c>
      <c r="K2645" t="s">
        <v>1092</v>
      </c>
      <c r="L2645">
        <v>1188</v>
      </c>
      <c r="M2645" t="s">
        <v>1126</v>
      </c>
      <c r="N2645" t="s">
        <v>1099</v>
      </c>
      <c r="O2645">
        <f>Table1[[#This Row],[Unit_Price]]*Table1[[#This Row],[Quantity]]</f>
        <v>320</v>
      </c>
    </row>
    <row r="2646" spans="1:15" x14ac:dyDescent="0.3">
      <c r="A2646" t="s">
        <v>4456</v>
      </c>
      <c r="B2646" t="s">
        <v>1379</v>
      </c>
      <c r="C2646" t="s">
        <v>543</v>
      </c>
      <c r="D2646" t="s">
        <v>1062</v>
      </c>
      <c r="E2646">
        <v>1</v>
      </c>
      <c r="F2646">
        <f>_xlfn.XLOOKUP(Table1[[#This Row],[ProductID]],Products!A:A,Products!D:D,,0)</f>
        <v>95</v>
      </c>
      <c r="I2646">
        <v>349</v>
      </c>
      <c r="J2646">
        <v>297</v>
      </c>
      <c r="K2646" t="s">
        <v>1092</v>
      </c>
      <c r="L2646">
        <v>297</v>
      </c>
      <c r="M2646" t="s">
        <v>1126</v>
      </c>
      <c r="N2646" t="s">
        <v>1099</v>
      </c>
      <c r="O2646">
        <f>Table1[[#This Row],[Unit_Price]]*Table1[[#This Row],[Quantity]]</f>
        <v>95</v>
      </c>
    </row>
    <row r="2647" spans="1:15" x14ac:dyDescent="0.3">
      <c r="A2647" t="s">
        <v>4457</v>
      </c>
      <c r="B2647" t="s">
        <v>1158</v>
      </c>
      <c r="C2647" t="s">
        <v>138</v>
      </c>
      <c r="D2647" t="s">
        <v>1055</v>
      </c>
      <c r="E2647">
        <v>2</v>
      </c>
      <c r="F2647">
        <f>_xlfn.XLOOKUP(Table1[[#This Row],[ProductID]],Products!A:A,Products!D:D,,0)</f>
        <v>75</v>
      </c>
      <c r="I2647">
        <v>299</v>
      </c>
      <c r="J2647">
        <v>299</v>
      </c>
      <c r="K2647" t="s">
        <v>1102</v>
      </c>
      <c r="L2647">
        <v>598</v>
      </c>
      <c r="M2647" t="s">
        <v>1093</v>
      </c>
      <c r="N2647" t="s">
        <v>1099</v>
      </c>
      <c r="O2647">
        <f>Table1[[#This Row],[Unit_Price]]*Table1[[#This Row],[Quantity]]</f>
        <v>150</v>
      </c>
    </row>
    <row r="2648" spans="1:15" x14ac:dyDescent="0.3">
      <c r="A2648" t="s">
        <v>4458</v>
      </c>
      <c r="B2648" t="s">
        <v>2541</v>
      </c>
      <c r="C2648" t="s">
        <v>130</v>
      </c>
      <c r="D2648" t="s">
        <v>1066</v>
      </c>
      <c r="E2648">
        <v>1</v>
      </c>
      <c r="F2648">
        <f>_xlfn.XLOOKUP(Table1[[#This Row],[ProductID]],Products!A:A,Products!D:D,,0)</f>
        <v>140</v>
      </c>
      <c r="I2648">
        <v>499</v>
      </c>
      <c r="J2648">
        <v>449</v>
      </c>
      <c r="K2648" t="s">
        <v>1107</v>
      </c>
      <c r="L2648">
        <v>449</v>
      </c>
      <c r="M2648" t="s">
        <v>1118</v>
      </c>
      <c r="N2648" t="s">
        <v>1099</v>
      </c>
      <c r="O2648">
        <f>Table1[[#This Row],[Unit_Price]]*Table1[[#This Row],[Quantity]]</f>
        <v>140</v>
      </c>
    </row>
    <row r="2649" spans="1:15" x14ac:dyDescent="0.3">
      <c r="A2649" t="s">
        <v>4459</v>
      </c>
      <c r="B2649" t="s">
        <v>1438</v>
      </c>
      <c r="C2649" t="s">
        <v>587</v>
      </c>
      <c r="D2649" t="s">
        <v>1053</v>
      </c>
      <c r="E2649">
        <v>1</v>
      </c>
      <c r="F2649">
        <f>_xlfn.XLOOKUP(Table1[[#This Row],[ProductID]],Products!A:A,Products!D:D,,0)</f>
        <v>200</v>
      </c>
      <c r="I2649">
        <v>899</v>
      </c>
      <c r="J2649">
        <v>899</v>
      </c>
      <c r="K2649" t="s">
        <v>1102</v>
      </c>
      <c r="L2649">
        <v>899</v>
      </c>
      <c r="M2649" t="s">
        <v>1093</v>
      </c>
      <c r="N2649" t="s">
        <v>1099</v>
      </c>
      <c r="O2649">
        <f>Table1[[#This Row],[Unit_Price]]*Table1[[#This Row],[Quantity]]</f>
        <v>200</v>
      </c>
    </row>
    <row r="2650" spans="1:15" x14ac:dyDescent="0.3">
      <c r="A2650" t="s">
        <v>4460</v>
      </c>
      <c r="B2650" t="s">
        <v>1250</v>
      </c>
      <c r="C2650" t="s">
        <v>863</v>
      </c>
      <c r="D2650" t="s">
        <v>1048</v>
      </c>
      <c r="E2650">
        <v>2</v>
      </c>
      <c r="F2650">
        <f>_xlfn.XLOOKUP(Table1[[#This Row],[ProductID]],Products!A:A,Products!D:D,,0)</f>
        <v>120</v>
      </c>
      <c r="I2650">
        <v>599</v>
      </c>
      <c r="J2650">
        <v>479</v>
      </c>
      <c r="K2650" t="s">
        <v>1097</v>
      </c>
      <c r="L2650">
        <v>958</v>
      </c>
      <c r="M2650" t="s">
        <v>1098</v>
      </c>
      <c r="N2650" t="s">
        <v>1099</v>
      </c>
      <c r="O2650">
        <f>Table1[[#This Row],[Unit_Price]]*Table1[[#This Row],[Quantity]]</f>
        <v>240</v>
      </c>
    </row>
    <row r="2651" spans="1:15" x14ac:dyDescent="0.3">
      <c r="A2651" t="s">
        <v>4461</v>
      </c>
      <c r="B2651" t="s">
        <v>1636</v>
      </c>
      <c r="C2651" t="s">
        <v>1013</v>
      </c>
      <c r="D2651" t="s">
        <v>1068</v>
      </c>
      <c r="E2651">
        <v>1</v>
      </c>
      <c r="F2651">
        <f>_xlfn.XLOOKUP(Table1[[#This Row],[ProductID]],Products!A:A,Products!D:D,,0)</f>
        <v>180</v>
      </c>
      <c r="I2651">
        <v>449</v>
      </c>
      <c r="J2651">
        <v>359</v>
      </c>
      <c r="K2651" t="s">
        <v>1097</v>
      </c>
      <c r="L2651">
        <v>359</v>
      </c>
      <c r="M2651" t="s">
        <v>1098</v>
      </c>
      <c r="N2651" t="s">
        <v>1099</v>
      </c>
      <c r="O2651">
        <f>Table1[[#This Row],[Unit_Price]]*Table1[[#This Row],[Quantity]]</f>
        <v>180</v>
      </c>
    </row>
    <row r="2652" spans="1:15" x14ac:dyDescent="0.3">
      <c r="A2652" t="s">
        <v>4462</v>
      </c>
      <c r="B2652" t="s">
        <v>1905</v>
      </c>
      <c r="C2652" t="s">
        <v>279</v>
      </c>
      <c r="D2652" t="s">
        <v>1075</v>
      </c>
      <c r="E2652">
        <v>1</v>
      </c>
      <c r="F2652">
        <f>_xlfn.XLOOKUP(Table1[[#This Row],[ProductID]],Products!A:A,Products!D:D,,0)</f>
        <v>80</v>
      </c>
      <c r="I2652">
        <v>499</v>
      </c>
      <c r="J2652">
        <v>449</v>
      </c>
      <c r="K2652" t="s">
        <v>1107</v>
      </c>
      <c r="L2652">
        <v>449</v>
      </c>
      <c r="M2652" t="s">
        <v>1098</v>
      </c>
      <c r="N2652" t="s">
        <v>1099</v>
      </c>
      <c r="O2652">
        <f>Table1[[#This Row],[Unit_Price]]*Table1[[#This Row],[Quantity]]</f>
        <v>80</v>
      </c>
    </row>
    <row r="2653" spans="1:15" x14ac:dyDescent="0.3">
      <c r="A2653" t="s">
        <v>4463</v>
      </c>
      <c r="B2653" t="s">
        <v>3206</v>
      </c>
      <c r="C2653" t="s">
        <v>437</v>
      </c>
      <c r="D2653" t="s">
        <v>1078</v>
      </c>
      <c r="E2653">
        <v>1</v>
      </c>
      <c r="F2653">
        <f>_xlfn.XLOOKUP(Table1[[#This Row],[ProductID]],Products!A:A,Products!D:D,,0)</f>
        <v>80</v>
      </c>
      <c r="I2653">
        <v>499</v>
      </c>
      <c r="J2653">
        <v>449</v>
      </c>
      <c r="K2653" t="s">
        <v>1107</v>
      </c>
      <c r="L2653">
        <v>449</v>
      </c>
      <c r="M2653" t="s">
        <v>1093</v>
      </c>
      <c r="N2653" t="s">
        <v>1094</v>
      </c>
      <c r="O2653">
        <f>Table1[[#This Row],[Unit_Price]]*Table1[[#This Row],[Quantity]]</f>
        <v>80</v>
      </c>
    </row>
    <row r="2654" spans="1:15" x14ac:dyDescent="0.3">
      <c r="A2654" t="s">
        <v>4464</v>
      </c>
      <c r="B2654" t="s">
        <v>1918</v>
      </c>
      <c r="C2654" t="s">
        <v>329</v>
      </c>
      <c r="D2654" t="s">
        <v>1048</v>
      </c>
      <c r="E2654">
        <v>1</v>
      </c>
      <c r="F2654">
        <f>_xlfn.XLOOKUP(Table1[[#This Row],[ProductID]],Products!A:A,Products!D:D,,0)</f>
        <v>120</v>
      </c>
      <c r="I2654">
        <v>599</v>
      </c>
      <c r="J2654">
        <v>479</v>
      </c>
      <c r="K2654" t="s">
        <v>1097</v>
      </c>
      <c r="L2654">
        <v>479</v>
      </c>
      <c r="M2654" t="s">
        <v>1093</v>
      </c>
      <c r="N2654" t="s">
        <v>1099</v>
      </c>
      <c r="O2654">
        <f>Table1[[#This Row],[Unit_Price]]*Table1[[#This Row],[Quantity]]</f>
        <v>120</v>
      </c>
    </row>
    <row r="2655" spans="1:15" x14ac:dyDescent="0.3">
      <c r="A2655" t="s">
        <v>4465</v>
      </c>
      <c r="B2655" t="s">
        <v>1935</v>
      </c>
      <c r="C2655" t="s">
        <v>567</v>
      </c>
      <c r="D2655" t="s">
        <v>1068</v>
      </c>
      <c r="E2655">
        <v>2</v>
      </c>
      <c r="F2655">
        <f>_xlfn.XLOOKUP(Table1[[#This Row],[ProductID]],Products!A:A,Products!D:D,,0)</f>
        <v>180</v>
      </c>
      <c r="I2655">
        <v>449</v>
      </c>
      <c r="J2655">
        <v>449</v>
      </c>
      <c r="K2655" t="s">
        <v>1102</v>
      </c>
      <c r="L2655">
        <v>898</v>
      </c>
      <c r="M2655" t="s">
        <v>1098</v>
      </c>
      <c r="N2655" t="s">
        <v>1099</v>
      </c>
      <c r="O2655">
        <f>Table1[[#This Row],[Unit_Price]]*Table1[[#This Row],[Quantity]]</f>
        <v>360</v>
      </c>
    </row>
    <row r="2656" spans="1:15" x14ac:dyDescent="0.3">
      <c r="A2656" t="s">
        <v>4466</v>
      </c>
      <c r="B2656" t="s">
        <v>2444</v>
      </c>
      <c r="C2656" t="s">
        <v>915</v>
      </c>
      <c r="D2656" t="s">
        <v>1048</v>
      </c>
      <c r="E2656">
        <v>4</v>
      </c>
      <c r="F2656">
        <f>_xlfn.XLOOKUP(Table1[[#This Row],[ProductID]],Products!A:A,Products!D:D,,0)</f>
        <v>120</v>
      </c>
      <c r="I2656">
        <v>599</v>
      </c>
      <c r="J2656">
        <v>539</v>
      </c>
      <c r="K2656" t="s">
        <v>1107</v>
      </c>
      <c r="L2656">
        <v>2156</v>
      </c>
      <c r="M2656" t="s">
        <v>1093</v>
      </c>
      <c r="N2656" t="s">
        <v>1099</v>
      </c>
      <c r="O2656">
        <f>Table1[[#This Row],[Unit_Price]]*Table1[[#This Row],[Quantity]]</f>
        <v>480</v>
      </c>
    </row>
    <row r="2657" spans="1:15" x14ac:dyDescent="0.3">
      <c r="A2657" t="s">
        <v>4467</v>
      </c>
      <c r="B2657" t="s">
        <v>2167</v>
      </c>
      <c r="C2657" t="s">
        <v>697</v>
      </c>
      <c r="D2657" t="s">
        <v>1057</v>
      </c>
      <c r="E2657">
        <v>1</v>
      </c>
      <c r="F2657">
        <f>_xlfn.XLOOKUP(Table1[[#This Row],[ProductID]],Products!A:A,Products!D:D,,0)</f>
        <v>130</v>
      </c>
      <c r="I2657">
        <v>549</v>
      </c>
      <c r="J2657">
        <v>439</v>
      </c>
      <c r="K2657" t="s">
        <v>1097</v>
      </c>
      <c r="L2657">
        <v>439</v>
      </c>
      <c r="M2657" t="s">
        <v>1098</v>
      </c>
      <c r="N2657" t="s">
        <v>1099</v>
      </c>
      <c r="O2657">
        <f>Table1[[#This Row],[Unit_Price]]*Table1[[#This Row],[Quantity]]</f>
        <v>130</v>
      </c>
    </row>
    <row r="2658" spans="1:15" x14ac:dyDescent="0.3">
      <c r="A2658" t="s">
        <v>4468</v>
      </c>
      <c r="B2658" t="s">
        <v>2832</v>
      </c>
      <c r="C2658" t="s">
        <v>839</v>
      </c>
      <c r="D2658" t="s">
        <v>1055</v>
      </c>
      <c r="E2658">
        <v>2</v>
      </c>
      <c r="F2658">
        <f>_xlfn.XLOOKUP(Table1[[#This Row],[ProductID]],Products!A:A,Products!D:D,,0)</f>
        <v>75</v>
      </c>
      <c r="I2658">
        <v>299</v>
      </c>
      <c r="J2658">
        <v>269</v>
      </c>
      <c r="K2658" t="s">
        <v>1107</v>
      </c>
      <c r="L2658">
        <v>538</v>
      </c>
      <c r="M2658" t="s">
        <v>1093</v>
      </c>
      <c r="N2658" t="s">
        <v>1099</v>
      </c>
      <c r="O2658">
        <f>Table1[[#This Row],[Unit_Price]]*Table1[[#This Row],[Quantity]]</f>
        <v>150</v>
      </c>
    </row>
    <row r="2659" spans="1:15" x14ac:dyDescent="0.3">
      <c r="A2659" t="s">
        <v>4469</v>
      </c>
      <c r="B2659" t="s">
        <v>1459</v>
      </c>
      <c r="C2659" t="s">
        <v>197</v>
      </c>
      <c r="D2659" t="s">
        <v>1062</v>
      </c>
      <c r="E2659">
        <v>1</v>
      </c>
      <c r="F2659">
        <f>_xlfn.XLOOKUP(Table1[[#This Row],[ProductID]],Products!A:A,Products!D:D,,0)</f>
        <v>95</v>
      </c>
      <c r="I2659">
        <v>349</v>
      </c>
      <c r="J2659">
        <v>314</v>
      </c>
      <c r="K2659" t="s">
        <v>1107</v>
      </c>
      <c r="L2659">
        <v>314</v>
      </c>
      <c r="M2659" t="s">
        <v>1093</v>
      </c>
      <c r="N2659" t="s">
        <v>1094</v>
      </c>
      <c r="O2659">
        <f>Table1[[#This Row],[Unit_Price]]*Table1[[#This Row],[Quantity]]</f>
        <v>95</v>
      </c>
    </row>
    <row r="2660" spans="1:15" x14ac:dyDescent="0.3">
      <c r="A2660" t="s">
        <v>4470</v>
      </c>
      <c r="B2660" t="s">
        <v>3526</v>
      </c>
      <c r="C2660" t="s">
        <v>130</v>
      </c>
      <c r="D2660" t="s">
        <v>1057</v>
      </c>
      <c r="E2660">
        <v>1</v>
      </c>
      <c r="F2660">
        <f>_xlfn.XLOOKUP(Table1[[#This Row],[ProductID]],Products!A:A,Products!D:D,,0)</f>
        <v>130</v>
      </c>
      <c r="I2660">
        <v>549</v>
      </c>
      <c r="J2660">
        <v>467</v>
      </c>
      <c r="K2660" t="s">
        <v>1092</v>
      </c>
      <c r="L2660">
        <v>467</v>
      </c>
      <c r="M2660" t="s">
        <v>1126</v>
      </c>
      <c r="N2660" t="s">
        <v>1099</v>
      </c>
      <c r="O2660">
        <f>Table1[[#This Row],[Unit_Price]]*Table1[[#This Row],[Quantity]]</f>
        <v>130</v>
      </c>
    </row>
    <row r="2661" spans="1:15" x14ac:dyDescent="0.3">
      <c r="A2661" t="s">
        <v>4471</v>
      </c>
      <c r="B2661" t="s">
        <v>1626</v>
      </c>
      <c r="C2661" t="s">
        <v>47</v>
      </c>
      <c r="D2661" t="s">
        <v>1068</v>
      </c>
      <c r="E2661">
        <v>1</v>
      </c>
      <c r="F2661">
        <f>_xlfn.XLOOKUP(Table1[[#This Row],[ProductID]],Products!A:A,Products!D:D,,0)</f>
        <v>180</v>
      </c>
      <c r="I2661">
        <v>449</v>
      </c>
      <c r="J2661">
        <v>382</v>
      </c>
      <c r="K2661" t="s">
        <v>1092</v>
      </c>
      <c r="L2661">
        <v>382</v>
      </c>
      <c r="M2661" t="s">
        <v>1098</v>
      </c>
      <c r="N2661" t="s">
        <v>1099</v>
      </c>
      <c r="O2661">
        <f>Table1[[#This Row],[Unit_Price]]*Table1[[#This Row],[Quantity]]</f>
        <v>180</v>
      </c>
    </row>
    <row r="2662" spans="1:15" x14ac:dyDescent="0.3">
      <c r="A2662" t="s">
        <v>4472</v>
      </c>
      <c r="B2662" t="s">
        <v>3272</v>
      </c>
      <c r="C2662" t="s">
        <v>785</v>
      </c>
      <c r="D2662" t="s">
        <v>1059</v>
      </c>
      <c r="E2662">
        <v>1</v>
      </c>
      <c r="F2662">
        <f>_xlfn.XLOOKUP(Table1[[#This Row],[ProductID]],Products!A:A,Products!D:D,,0)</f>
        <v>110</v>
      </c>
      <c r="I2662">
        <v>399</v>
      </c>
      <c r="J2662">
        <v>399</v>
      </c>
      <c r="K2662" t="s">
        <v>1102</v>
      </c>
      <c r="L2662">
        <v>399</v>
      </c>
      <c r="M2662" t="s">
        <v>1098</v>
      </c>
      <c r="N2662" t="s">
        <v>1099</v>
      </c>
      <c r="O2662">
        <f>Table1[[#This Row],[Unit_Price]]*Table1[[#This Row],[Quantity]]</f>
        <v>110</v>
      </c>
    </row>
    <row r="2663" spans="1:15" x14ac:dyDescent="0.3">
      <c r="A2663" t="s">
        <v>4473</v>
      </c>
      <c r="B2663" t="s">
        <v>1281</v>
      </c>
      <c r="C2663" t="s">
        <v>217</v>
      </c>
      <c r="D2663" t="s">
        <v>1075</v>
      </c>
      <c r="E2663">
        <v>2</v>
      </c>
      <c r="F2663">
        <f>_xlfn.XLOOKUP(Table1[[#This Row],[ProductID]],Products!A:A,Products!D:D,,0)</f>
        <v>80</v>
      </c>
      <c r="I2663">
        <v>499</v>
      </c>
      <c r="J2663">
        <v>399</v>
      </c>
      <c r="K2663" t="s">
        <v>1097</v>
      </c>
      <c r="L2663">
        <v>798</v>
      </c>
      <c r="M2663" t="s">
        <v>1093</v>
      </c>
      <c r="N2663" t="s">
        <v>1099</v>
      </c>
      <c r="O2663">
        <f>Table1[[#This Row],[Unit_Price]]*Table1[[#This Row],[Quantity]]</f>
        <v>160</v>
      </c>
    </row>
    <row r="2664" spans="1:15" x14ac:dyDescent="0.3">
      <c r="A2664" t="s">
        <v>4474</v>
      </c>
      <c r="B2664" t="s">
        <v>2469</v>
      </c>
      <c r="C2664" t="s">
        <v>799</v>
      </c>
      <c r="D2664" t="s">
        <v>1071</v>
      </c>
      <c r="E2664">
        <v>2</v>
      </c>
      <c r="F2664">
        <f>_xlfn.XLOOKUP(Table1[[#This Row],[ProductID]],Products!A:A,Products!D:D,,0)</f>
        <v>125</v>
      </c>
      <c r="I2664">
        <v>399</v>
      </c>
      <c r="J2664">
        <v>339</v>
      </c>
      <c r="K2664" t="s">
        <v>1092</v>
      </c>
      <c r="L2664">
        <v>678</v>
      </c>
      <c r="M2664" t="s">
        <v>1093</v>
      </c>
      <c r="N2664" t="s">
        <v>1123</v>
      </c>
      <c r="O2664">
        <f>Table1[[#This Row],[Unit_Price]]*Table1[[#This Row],[Quantity]]</f>
        <v>250</v>
      </c>
    </row>
    <row r="2665" spans="1:15" x14ac:dyDescent="0.3">
      <c r="A2665" t="s">
        <v>4475</v>
      </c>
      <c r="B2665" t="s">
        <v>1207</v>
      </c>
      <c r="C2665" t="s">
        <v>395</v>
      </c>
      <c r="D2665" t="s">
        <v>1064</v>
      </c>
      <c r="E2665">
        <v>4</v>
      </c>
      <c r="F2665">
        <f>_xlfn.XLOOKUP(Table1[[#This Row],[ProductID]],Products!A:A,Products!D:D,,0)</f>
        <v>160</v>
      </c>
      <c r="I2665">
        <v>699</v>
      </c>
      <c r="J2665">
        <v>699</v>
      </c>
      <c r="K2665" t="s">
        <v>1102</v>
      </c>
      <c r="L2665">
        <v>2796</v>
      </c>
      <c r="M2665" t="s">
        <v>1093</v>
      </c>
      <c r="N2665" t="s">
        <v>1099</v>
      </c>
      <c r="O2665">
        <f>Table1[[#This Row],[Unit_Price]]*Table1[[#This Row],[Quantity]]</f>
        <v>640</v>
      </c>
    </row>
    <row r="2666" spans="1:15" x14ac:dyDescent="0.3">
      <c r="A2666" t="s">
        <v>4476</v>
      </c>
      <c r="B2666" t="s">
        <v>1813</v>
      </c>
      <c r="C2666" t="s">
        <v>657</v>
      </c>
      <c r="D2666" t="s">
        <v>1078</v>
      </c>
      <c r="E2666">
        <v>1</v>
      </c>
      <c r="F2666">
        <f>_xlfn.XLOOKUP(Table1[[#This Row],[ProductID]],Products!A:A,Products!D:D,,0)</f>
        <v>80</v>
      </c>
      <c r="I2666">
        <v>499</v>
      </c>
      <c r="J2666">
        <v>499</v>
      </c>
      <c r="K2666" t="s">
        <v>1102</v>
      </c>
      <c r="L2666">
        <v>499</v>
      </c>
      <c r="M2666" t="s">
        <v>1098</v>
      </c>
      <c r="N2666" t="s">
        <v>1099</v>
      </c>
      <c r="O2666">
        <f>Table1[[#This Row],[Unit_Price]]*Table1[[#This Row],[Quantity]]</f>
        <v>80</v>
      </c>
    </row>
    <row r="2667" spans="1:15" x14ac:dyDescent="0.3">
      <c r="A2667" t="s">
        <v>4477</v>
      </c>
      <c r="B2667" t="s">
        <v>3145</v>
      </c>
      <c r="C2667" t="s">
        <v>873</v>
      </c>
      <c r="D2667" t="s">
        <v>1064</v>
      </c>
      <c r="E2667">
        <v>1</v>
      </c>
      <c r="F2667">
        <f>_xlfn.XLOOKUP(Table1[[#This Row],[ProductID]],Products!A:A,Products!D:D,,0)</f>
        <v>160</v>
      </c>
      <c r="I2667">
        <v>699</v>
      </c>
      <c r="J2667">
        <v>594</v>
      </c>
      <c r="K2667" t="s">
        <v>1092</v>
      </c>
      <c r="L2667">
        <v>594</v>
      </c>
      <c r="M2667" t="s">
        <v>1093</v>
      </c>
      <c r="N2667" t="s">
        <v>1099</v>
      </c>
      <c r="O2667">
        <f>Table1[[#This Row],[Unit_Price]]*Table1[[#This Row],[Quantity]]</f>
        <v>160</v>
      </c>
    </row>
    <row r="2668" spans="1:15" x14ac:dyDescent="0.3">
      <c r="A2668" t="s">
        <v>4478</v>
      </c>
      <c r="B2668" t="s">
        <v>2275</v>
      </c>
      <c r="C2668" t="s">
        <v>995</v>
      </c>
      <c r="D2668" t="s">
        <v>1068</v>
      </c>
      <c r="E2668">
        <v>1</v>
      </c>
      <c r="F2668">
        <f>_xlfn.XLOOKUP(Table1[[#This Row],[ProductID]],Products!A:A,Products!D:D,,0)</f>
        <v>180</v>
      </c>
      <c r="I2668">
        <v>449</v>
      </c>
      <c r="J2668">
        <v>359</v>
      </c>
      <c r="K2668" t="s">
        <v>1097</v>
      </c>
      <c r="L2668">
        <v>359</v>
      </c>
      <c r="M2668" t="s">
        <v>1098</v>
      </c>
      <c r="N2668" t="s">
        <v>1099</v>
      </c>
      <c r="O2668">
        <f>Table1[[#This Row],[Unit_Price]]*Table1[[#This Row],[Quantity]]</f>
        <v>180</v>
      </c>
    </row>
    <row r="2669" spans="1:15" x14ac:dyDescent="0.3">
      <c r="A2669" t="s">
        <v>4479</v>
      </c>
      <c r="B2669" t="s">
        <v>2654</v>
      </c>
      <c r="C2669" t="s">
        <v>112</v>
      </c>
      <c r="D2669" t="s">
        <v>1080</v>
      </c>
      <c r="E2669">
        <v>1</v>
      </c>
      <c r="F2669">
        <f>_xlfn.XLOOKUP(Table1[[#This Row],[ProductID]],Products!A:A,Products!D:D,,0)</f>
        <v>45</v>
      </c>
      <c r="I2669">
        <v>249</v>
      </c>
      <c r="J2669">
        <v>199</v>
      </c>
      <c r="K2669" t="s">
        <v>1097</v>
      </c>
      <c r="L2669">
        <v>199</v>
      </c>
      <c r="M2669" t="s">
        <v>1093</v>
      </c>
      <c r="N2669" t="s">
        <v>1123</v>
      </c>
      <c r="O2669">
        <f>Table1[[#This Row],[Unit_Price]]*Table1[[#This Row],[Quantity]]</f>
        <v>45</v>
      </c>
    </row>
    <row r="2670" spans="1:15" x14ac:dyDescent="0.3">
      <c r="A2670" t="s">
        <v>4480</v>
      </c>
      <c r="B2670" t="s">
        <v>2001</v>
      </c>
      <c r="C2670" t="s">
        <v>627</v>
      </c>
      <c r="D2670" t="s">
        <v>1064</v>
      </c>
      <c r="E2670">
        <v>2</v>
      </c>
      <c r="F2670">
        <f>_xlfn.XLOOKUP(Table1[[#This Row],[ProductID]],Products!A:A,Products!D:D,,0)</f>
        <v>160</v>
      </c>
      <c r="I2670">
        <v>699</v>
      </c>
      <c r="J2670">
        <v>559</v>
      </c>
      <c r="K2670" t="s">
        <v>1097</v>
      </c>
      <c r="L2670">
        <v>1118</v>
      </c>
      <c r="M2670" t="s">
        <v>1098</v>
      </c>
      <c r="N2670" t="s">
        <v>1099</v>
      </c>
      <c r="O2670">
        <f>Table1[[#This Row],[Unit_Price]]*Table1[[#This Row],[Quantity]]</f>
        <v>320</v>
      </c>
    </row>
    <row r="2671" spans="1:15" x14ac:dyDescent="0.3">
      <c r="A2671" t="s">
        <v>4481</v>
      </c>
      <c r="B2671" t="s">
        <v>2287</v>
      </c>
      <c r="C2671" t="s">
        <v>849</v>
      </c>
      <c r="D2671" t="s">
        <v>1068</v>
      </c>
      <c r="E2671">
        <v>2</v>
      </c>
      <c r="F2671">
        <f>_xlfn.XLOOKUP(Table1[[#This Row],[ProductID]],Products!A:A,Products!D:D,,0)</f>
        <v>180</v>
      </c>
      <c r="I2671">
        <v>449</v>
      </c>
      <c r="J2671">
        <v>449</v>
      </c>
      <c r="K2671" t="s">
        <v>1102</v>
      </c>
      <c r="L2671">
        <v>898</v>
      </c>
      <c r="M2671" t="s">
        <v>1098</v>
      </c>
      <c r="N2671" t="s">
        <v>1099</v>
      </c>
      <c r="O2671">
        <f>Table1[[#This Row],[Unit_Price]]*Table1[[#This Row],[Quantity]]</f>
        <v>360</v>
      </c>
    </row>
    <row r="2672" spans="1:15" x14ac:dyDescent="0.3">
      <c r="A2672" t="s">
        <v>4482</v>
      </c>
      <c r="B2672" t="s">
        <v>1420</v>
      </c>
      <c r="C2672" t="s">
        <v>855</v>
      </c>
      <c r="D2672" t="s">
        <v>1078</v>
      </c>
      <c r="E2672">
        <v>4</v>
      </c>
      <c r="F2672">
        <f>_xlfn.XLOOKUP(Table1[[#This Row],[ProductID]],Products!A:A,Products!D:D,,0)</f>
        <v>80</v>
      </c>
      <c r="I2672">
        <v>499</v>
      </c>
      <c r="J2672">
        <v>399</v>
      </c>
      <c r="K2672" t="s">
        <v>1097</v>
      </c>
      <c r="L2672">
        <v>1596</v>
      </c>
      <c r="M2672" t="s">
        <v>1098</v>
      </c>
      <c r="N2672" t="s">
        <v>1099</v>
      </c>
      <c r="O2672">
        <f>Table1[[#This Row],[Unit_Price]]*Table1[[#This Row],[Quantity]]</f>
        <v>320</v>
      </c>
    </row>
    <row r="2673" spans="1:15" x14ac:dyDescent="0.3">
      <c r="A2673" t="s">
        <v>4483</v>
      </c>
      <c r="B2673" t="s">
        <v>2617</v>
      </c>
      <c r="C2673" t="s">
        <v>177</v>
      </c>
      <c r="D2673" t="s">
        <v>1068</v>
      </c>
      <c r="E2673">
        <v>2</v>
      </c>
      <c r="F2673">
        <f>_xlfn.XLOOKUP(Table1[[#This Row],[ProductID]],Products!A:A,Products!D:D,,0)</f>
        <v>180</v>
      </c>
      <c r="I2673">
        <v>449</v>
      </c>
      <c r="J2673">
        <v>404</v>
      </c>
      <c r="K2673" t="s">
        <v>1107</v>
      </c>
      <c r="L2673">
        <v>808</v>
      </c>
      <c r="M2673" t="s">
        <v>1098</v>
      </c>
      <c r="N2673" t="s">
        <v>1099</v>
      </c>
      <c r="O2673">
        <f>Table1[[#This Row],[Unit_Price]]*Table1[[#This Row],[Quantity]]</f>
        <v>360</v>
      </c>
    </row>
    <row r="2674" spans="1:15" x14ac:dyDescent="0.3">
      <c r="A2674" t="s">
        <v>4484</v>
      </c>
      <c r="B2674" t="s">
        <v>1898</v>
      </c>
      <c r="C2674" t="s">
        <v>289</v>
      </c>
      <c r="D2674" t="s">
        <v>1062</v>
      </c>
      <c r="E2674">
        <v>1</v>
      </c>
      <c r="F2674">
        <f>_xlfn.XLOOKUP(Table1[[#This Row],[ProductID]],Products!A:A,Products!D:D,,0)</f>
        <v>95</v>
      </c>
      <c r="I2674">
        <v>349</v>
      </c>
      <c r="J2674">
        <v>349</v>
      </c>
      <c r="K2674" t="s">
        <v>1102</v>
      </c>
      <c r="L2674">
        <v>349</v>
      </c>
      <c r="M2674" t="s">
        <v>1098</v>
      </c>
      <c r="N2674" t="s">
        <v>1099</v>
      </c>
      <c r="O2674">
        <f>Table1[[#This Row],[Unit_Price]]*Table1[[#This Row],[Quantity]]</f>
        <v>95</v>
      </c>
    </row>
    <row r="2675" spans="1:15" x14ac:dyDescent="0.3">
      <c r="A2675" t="s">
        <v>4485</v>
      </c>
      <c r="B2675" t="s">
        <v>1505</v>
      </c>
      <c r="C2675" t="s">
        <v>539</v>
      </c>
      <c r="D2675" t="s">
        <v>1048</v>
      </c>
      <c r="E2675">
        <v>1</v>
      </c>
      <c r="F2675">
        <f>_xlfn.XLOOKUP(Table1[[#This Row],[ProductID]],Products!A:A,Products!D:D,,0)</f>
        <v>120</v>
      </c>
      <c r="I2675">
        <v>599</v>
      </c>
      <c r="J2675">
        <v>599</v>
      </c>
      <c r="K2675" t="s">
        <v>1102</v>
      </c>
      <c r="L2675">
        <v>599</v>
      </c>
      <c r="M2675" t="s">
        <v>1098</v>
      </c>
      <c r="N2675" t="s">
        <v>1099</v>
      </c>
      <c r="O2675">
        <f>Table1[[#This Row],[Unit_Price]]*Table1[[#This Row],[Quantity]]</f>
        <v>120</v>
      </c>
    </row>
    <row r="2676" spans="1:15" x14ac:dyDescent="0.3">
      <c r="A2676" t="s">
        <v>4486</v>
      </c>
      <c r="B2676" t="s">
        <v>1174</v>
      </c>
      <c r="C2676" t="s">
        <v>543</v>
      </c>
      <c r="D2676" t="s">
        <v>1073</v>
      </c>
      <c r="E2676">
        <v>4</v>
      </c>
      <c r="F2676">
        <f>_xlfn.XLOOKUP(Table1[[#This Row],[ProductID]],Products!A:A,Products!D:D,,0)</f>
        <v>100</v>
      </c>
      <c r="I2676">
        <v>349</v>
      </c>
      <c r="J2676">
        <v>314</v>
      </c>
      <c r="K2676" t="s">
        <v>1107</v>
      </c>
      <c r="L2676">
        <v>1256</v>
      </c>
      <c r="M2676" t="s">
        <v>1093</v>
      </c>
      <c r="N2676" t="s">
        <v>1099</v>
      </c>
      <c r="O2676">
        <f>Table1[[#This Row],[Unit_Price]]*Table1[[#This Row],[Quantity]]</f>
        <v>400</v>
      </c>
    </row>
    <row r="2677" spans="1:15" x14ac:dyDescent="0.3">
      <c r="A2677" t="s">
        <v>4487</v>
      </c>
      <c r="B2677" t="s">
        <v>2312</v>
      </c>
      <c r="C2677" t="s">
        <v>251</v>
      </c>
      <c r="D2677" t="s">
        <v>1057</v>
      </c>
      <c r="E2677">
        <v>1</v>
      </c>
      <c r="F2677">
        <f>_xlfn.XLOOKUP(Table1[[#This Row],[ProductID]],Products!A:A,Products!D:D,,0)</f>
        <v>130</v>
      </c>
      <c r="I2677">
        <v>549</v>
      </c>
      <c r="J2677">
        <v>467</v>
      </c>
      <c r="K2677" t="s">
        <v>1092</v>
      </c>
      <c r="L2677">
        <v>467</v>
      </c>
      <c r="M2677" t="s">
        <v>1098</v>
      </c>
      <c r="N2677" t="s">
        <v>1099</v>
      </c>
      <c r="O2677">
        <f>Table1[[#This Row],[Unit_Price]]*Table1[[#This Row],[Quantity]]</f>
        <v>130</v>
      </c>
    </row>
    <row r="2678" spans="1:15" x14ac:dyDescent="0.3">
      <c r="A2678" t="s">
        <v>4488</v>
      </c>
      <c r="B2678" t="s">
        <v>2822</v>
      </c>
      <c r="C2678" t="s">
        <v>169</v>
      </c>
      <c r="D2678" t="s">
        <v>1068</v>
      </c>
      <c r="E2678">
        <v>3</v>
      </c>
      <c r="F2678">
        <f>_xlfn.XLOOKUP(Table1[[#This Row],[ProductID]],Products!A:A,Products!D:D,,0)</f>
        <v>180</v>
      </c>
      <c r="I2678">
        <v>449</v>
      </c>
      <c r="J2678">
        <v>382</v>
      </c>
      <c r="K2678" t="s">
        <v>1092</v>
      </c>
      <c r="L2678">
        <v>1146</v>
      </c>
      <c r="M2678" t="s">
        <v>1098</v>
      </c>
      <c r="N2678" t="s">
        <v>1099</v>
      </c>
      <c r="O2678">
        <f>Table1[[#This Row],[Unit_Price]]*Table1[[#This Row],[Quantity]]</f>
        <v>540</v>
      </c>
    </row>
    <row r="2679" spans="1:15" x14ac:dyDescent="0.3">
      <c r="A2679" t="s">
        <v>4489</v>
      </c>
      <c r="B2679" t="s">
        <v>2628</v>
      </c>
      <c r="C2679" t="s">
        <v>87</v>
      </c>
      <c r="D2679" t="s">
        <v>1078</v>
      </c>
      <c r="E2679">
        <v>4</v>
      </c>
      <c r="F2679">
        <f>_xlfn.XLOOKUP(Table1[[#This Row],[ProductID]],Products!A:A,Products!D:D,,0)</f>
        <v>80</v>
      </c>
      <c r="I2679">
        <v>499</v>
      </c>
      <c r="J2679">
        <v>499</v>
      </c>
      <c r="K2679" t="s">
        <v>1102</v>
      </c>
      <c r="L2679">
        <v>1996</v>
      </c>
      <c r="M2679" t="s">
        <v>1093</v>
      </c>
      <c r="N2679" t="s">
        <v>1094</v>
      </c>
      <c r="O2679">
        <f>Table1[[#This Row],[Unit_Price]]*Table1[[#This Row],[Quantity]]</f>
        <v>320</v>
      </c>
    </row>
    <row r="2680" spans="1:15" x14ac:dyDescent="0.3">
      <c r="A2680" t="s">
        <v>4490</v>
      </c>
      <c r="B2680" t="s">
        <v>2847</v>
      </c>
      <c r="C2680" t="s">
        <v>913</v>
      </c>
      <c r="D2680" t="s">
        <v>1064</v>
      </c>
      <c r="E2680">
        <v>1</v>
      </c>
      <c r="F2680">
        <f>_xlfn.XLOOKUP(Table1[[#This Row],[ProductID]],Products!A:A,Products!D:D,,0)</f>
        <v>160</v>
      </c>
      <c r="I2680">
        <v>699</v>
      </c>
      <c r="J2680">
        <v>699</v>
      </c>
      <c r="K2680" t="s">
        <v>1102</v>
      </c>
      <c r="L2680">
        <v>699</v>
      </c>
      <c r="M2680" t="s">
        <v>1093</v>
      </c>
      <c r="N2680" t="s">
        <v>1099</v>
      </c>
      <c r="O2680">
        <f>Table1[[#This Row],[Unit_Price]]*Table1[[#This Row],[Quantity]]</f>
        <v>160</v>
      </c>
    </row>
    <row r="2681" spans="1:15" x14ac:dyDescent="0.3">
      <c r="A2681" t="s">
        <v>4491</v>
      </c>
      <c r="B2681" t="s">
        <v>3567</v>
      </c>
      <c r="C2681" t="s">
        <v>1005</v>
      </c>
      <c r="D2681" t="s">
        <v>1059</v>
      </c>
      <c r="E2681">
        <v>3</v>
      </c>
      <c r="F2681">
        <f>_xlfn.XLOOKUP(Table1[[#This Row],[ProductID]],Products!A:A,Products!D:D,,0)</f>
        <v>110</v>
      </c>
      <c r="I2681">
        <v>399</v>
      </c>
      <c r="J2681">
        <v>339</v>
      </c>
      <c r="K2681" t="s">
        <v>1092</v>
      </c>
      <c r="L2681">
        <v>1017</v>
      </c>
      <c r="M2681" t="s">
        <v>1098</v>
      </c>
      <c r="N2681" t="s">
        <v>1099</v>
      </c>
      <c r="O2681">
        <f>Table1[[#This Row],[Unit_Price]]*Table1[[#This Row],[Quantity]]</f>
        <v>330</v>
      </c>
    </row>
    <row r="2682" spans="1:15" x14ac:dyDescent="0.3">
      <c r="A2682" t="s">
        <v>4492</v>
      </c>
      <c r="B2682" t="s">
        <v>1626</v>
      </c>
      <c r="C2682" t="s">
        <v>559</v>
      </c>
      <c r="D2682" t="s">
        <v>1057</v>
      </c>
      <c r="E2682">
        <v>4</v>
      </c>
      <c r="F2682">
        <f>_xlfn.XLOOKUP(Table1[[#This Row],[ProductID]],Products!A:A,Products!D:D,,0)</f>
        <v>130</v>
      </c>
      <c r="I2682">
        <v>549</v>
      </c>
      <c r="J2682">
        <v>494</v>
      </c>
      <c r="K2682" t="s">
        <v>1107</v>
      </c>
      <c r="L2682">
        <v>1976</v>
      </c>
      <c r="M2682" t="s">
        <v>1098</v>
      </c>
      <c r="N2682" t="s">
        <v>1099</v>
      </c>
      <c r="O2682">
        <f>Table1[[#This Row],[Unit_Price]]*Table1[[#This Row],[Quantity]]</f>
        <v>520</v>
      </c>
    </row>
    <row r="2683" spans="1:15" x14ac:dyDescent="0.3">
      <c r="A2683" t="s">
        <v>4493</v>
      </c>
      <c r="B2683" t="s">
        <v>3096</v>
      </c>
      <c r="C2683" t="s">
        <v>599</v>
      </c>
      <c r="D2683" t="s">
        <v>1051</v>
      </c>
      <c r="E2683">
        <v>1</v>
      </c>
      <c r="F2683">
        <f>_xlfn.XLOOKUP(Table1[[#This Row],[ProductID]],Products!A:A,Products!D:D,,0)</f>
        <v>150</v>
      </c>
      <c r="I2683">
        <v>499</v>
      </c>
      <c r="J2683">
        <v>399</v>
      </c>
      <c r="K2683" t="s">
        <v>1097</v>
      </c>
      <c r="L2683">
        <v>399</v>
      </c>
      <c r="M2683" t="s">
        <v>1098</v>
      </c>
      <c r="N2683" t="s">
        <v>1099</v>
      </c>
      <c r="O2683">
        <f>Table1[[#This Row],[Unit_Price]]*Table1[[#This Row],[Quantity]]</f>
        <v>150</v>
      </c>
    </row>
    <row r="2684" spans="1:15" x14ac:dyDescent="0.3">
      <c r="A2684" t="s">
        <v>4494</v>
      </c>
      <c r="B2684" t="s">
        <v>2924</v>
      </c>
      <c r="C2684" t="s">
        <v>461</v>
      </c>
      <c r="D2684" t="s">
        <v>1066</v>
      </c>
      <c r="E2684">
        <v>2</v>
      </c>
      <c r="F2684">
        <f>_xlfn.XLOOKUP(Table1[[#This Row],[ProductID]],Products!A:A,Products!D:D,,0)</f>
        <v>140</v>
      </c>
      <c r="I2684">
        <v>499</v>
      </c>
      <c r="J2684">
        <v>424</v>
      </c>
      <c r="K2684" t="s">
        <v>1092</v>
      </c>
      <c r="L2684">
        <v>848</v>
      </c>
      <c r="M2684" t="s">
        <v>1126</v>
      </c>
      <c r="N2684" t="s">
        <v>1099</v>
      </c>
      <c r="O2684">
        <f>Table1[[#This Row],[Unit_Price]]*Table1[[#This Row],[Quantity]]</f>
        <v>280</v>
      </c>
    </row>
    <row r="2685" spans="1:15" x14ac:dyDescent="0.3">
      <c r="A2685" t="s">
        <v>4495</v>
      </c>
      <c r="B2685" t="s">
        <v>1459</v>
      </c>
      <c r="C2685" t="s">
        <v>755</v>
      </c>
      <c r="D2685" t="s">
        <v>1051</v>
      </c>
      <c r="E2685">
        <v>1</v>
      </c>
      <c r="F2685">
        <f>_xlfn.XLOOKUP(Table1[[#This Row],[ProductID]],Products!A:A,Products!D:D,,0)</f>
        <v>150</v>
      </c>
      <c r="I2685">
        <v>499</v>
      </c>
      <c r="J2685">
        <v>399</v>
      </c>
      <c r="K2685" t="s">
        <v>1097</v>
      </c>
      <c r="L2685">
        <v>399</v>
      </c>
      <c r="M2685" t="s">
        <v>1093</v>
      </c>
      <c r="N2685" t="s">
        <v>1094</v>
      </c>
      <c r="O2685">
        <f>Table1[[#This Row],[Unit_Price]]*Table1[[#This Row],[Quantity]]</f>
        <v>150</v>
      </c>
    </row>
    <row r="2686" spans="1:15" x14ac:dyDescent="0.3">
      <c r="A2686" t="s">
        <v>4496</v>
      </c>
      <c r="B2686" t="s">
        <v>3495</v>
      </c>
      <c r="C2686" t="s">
        <v>737</v>
      </c>
      <c r="D2686" t="s">
        <v>1078</v>
      </c>
      <c r="E2686">
        <v>3</v>
      </c>
      <c r="F2686">
        <f>_xlfn.XLOOKUP(Table1[[#This Row],[ProductID]],Products!A:A,Products!D:D,,0)</f>
        <v>80</v>
      </c>
      <c r="I2686">
        <v>499</v>
      </c>
      <c r="J2686">
        <v>449</v>
      </c>
      <c r="K2686" t="s">
        <v>1107</v>
      </c>
      <c r="L2686">
        <v>1347</v>
      </c>
      <c r="M2686" t="s">
        <v>1098</v>
      </c>
      <c r="N2686" t="s">
        <v>1099</v>
      </c>
      <c r="O2686">
        <f>Table1[[#This Row],[Unit_Price]]*Table1[[#This Row],[Quantity]]</f>
        <v>240</v>
      </c>
    </row>
    <row r="2687" spans="1:15" x14ac:dyDescent="0.3">
      <c r="A2687" t="s">
        <v>4497</v>
      </c>
      <c r="B2687" t="s">
        <v>1493</v>
      </c>
      <c r="C2687" t="s">
        <v>83</v>
      </c>
      <c r="D2687" t="s">
        <v>1064</v>
      </c>
      <c r="E2687">
        <v>2</v>
      </c>
      <c r="F2687">
        <f>_xlfn.XLOOKUP(Table1[[#This Row],[ProductID]],Products!A:A,Products!D:D,,0)</f>
        <v>160</v>
      </c>
      <c r="I2687">
        <v>699</v>
      </c>
      <c r="J2687">
        <v>629</v>
      </c>
      <c r="K2687" t="s">
        <v>1107</v>
      </c>
      <c r="L2687">
        <v>1258</v>
      </c>
      <c r="M2687" t="s">
        <v>1093</v>
      </c>
      <c r="N2687" t="s">
        <v>1099</v>
      </c>
      <c r="O2687">
        <f>Table1[[#This Row],[Unit_Price]]*Table1[[#This Row],[Quantity]]</f>
        <v>320</v>
      </c>
    </row>
    <row r="2688" spans="1:15" x14ac:dyDescent="0.3">
      <c r="A2688" t="s">
        <v>4498</v>
      </c>
      <c r="B2688" t="s">
        <v>2333</v>
      </c>
      <c r="C2688" t="s">
        <v>627</v>
      </c>
      <c r="D2688" t="s">
        <v>1068</v>
      </c>
      <c r="E2688">
        <v>3</v>
      </c>
      <c r="F2688">
        <f>_xlfn.XLOOKUP(Table1[[#This Row],[ProductID]],Products!A:A,Products!D:D,,0)</f>
        <v>180</v>
      </c>
      <c r="I2688">
        <v>449</v>
      </c>
      <c r="J2688">
        <v>359</v>
      </c>
      <c r="K2688" t="s">
        <v>1097</v>
      </c>
      <c r="L2688">
        <v>1077</v>
      </c>
      <c r="M2688" t="s">
        <v>1093</v>
      </c>
      <c r="N2688" t="s">
        <v>1094</v>
      </c>
      <c r="O2688">
        <f>Table1[[#This Row],[Unit_Price]]*Table1[[#This Row],[Quantity]]</f>
        <v>540</v>
      </c>
    </row>
    <row r="2689" spans="1:15" x14ac:dyDescent="0.3">
      <c r="A2689" t="s">
        <v>4499</v>
      </c>
      <c r="B2689" t="s">
        <v>1929</v>
      </c>
      <c r="C2689" t="s">
        <v>413</v>
      </c>
      <c r="D2689" t="s">
        <v>1055</v>
      </c>
      <c r="E2689">
        <v>1</v>
      </c>
      <c r="F2689">
        <f>_xlfn.XLOOKUP(Table1[[#This Row],[ProductID]],Products!A:A,Products!D:D,,0)</f>
        <v>75</v>
      </c>
      <c r="I2689">
        <v>299</v>
      </c>
      <c r="J2689">
        <v>239</v>
      </c>
      <c r="K2689" t="s">
        <v>1097</v>
      </c>
      <c r="L2689">
        <v>239</v>
      </c>
      <c r="M2689" t="s">
        <v>1093</v>
      </c>
      <c r="N2689" t="s">
        <v>1094</v>
      </c>
      <c r="O2689">
        <f>Table1[[#This Row],[Unit_Price]]*Table1[[#This Row],[Quantity]]</f>
        <v>75</v>
      </c>
    </row>
    <row r="2690" spans="1:15" x14ac:dyDescent="0.3">
      <c r="A2690" t="s">
        <v>4500</v>
      </c>
      <c r="B2690" t="s">
        <v>4501</v>
      </c>
      <c r="C2690" t="s">
        <v>321</v>
      </c>
      <c r="D2690" t="s">
        <v>1055</v>
      </c>
      <c r="E2690">
        <v>1</v>
      </c>
      <c r="F2690">
        <f>_xlfn.XLOOKUP(Table1[[#This Row],[ProductID]],Products!A:A,Products!D:D,,0)</f>
        <v>75</v>
      </c>
      <c r="I2690">
        <v>299</v>
      </c>
      <c r="J2690">
        <v>299</v>
      </c>
      <c r="K2690" t="s">
        <v>1102</v>
      </c>
      <c r="L2690">
        <v>299</v>
      </c>
      <c r="M2690" t="s">
        <v>1098</v>
      </c>
      <c r="N2690" t="s">
        <v>1099</v>
      </c>
      <c r="O2690">
        <f>Table1[[#This Row],[Unit_Price]]*Table1[[#This Row],[Quantity]]</f>
        <v>75</v>
      </c>
    </row>
    <row r="2691" spans="1:15" x14ac:dyDescent="0.3">
      <c r="A2691" t="s">
        <v>4502</v>
      </c>
      <c r="B2691" t="s">
        <v>2668</v>
      </c>
      <c r="C2691" t="s">
        <v>801</v>
      </c>
      <c r="D2691" t="s">
        <v>1071</v>
      </c>
      <c r="E2691">
        <v>2</v>
      </c>
      <c r="F2691">
        <f>_xlfn.XLOOKUP(Table1[[#This Row],[ProductID]],Products!A:A,Products!D:D,,0)</f>
        <v>125</v>
      </c>
      <c r="I2691">
        <v>399</v>
      </c>
      <c r="J2691">
        <v>399</v>
      </c>
      <c r="K2691" t="s">
        <v>1102</v>
      </c>
      <c r="L2691">
        <v>798</v>
      </c>
      <c r="M2691" t="s">
        <v>1098</v>
      </c>
      <c r="N2691" t="s">
        <v>1099</v>
      </c>
      <c r="O2691">
        <f>Table1[[#This Row],[Unit_Price]]*Table1[[#This Row],[Quantity]]</f>
        <v>250</v>
      </c>
    </row>
    <row r="2692" spans="1:15" x14ac:dyDescent="0.3">
      <c r="A2692" t="s">
        <v>4503</v>
      </c>
      <c r="B2692" t="s">
        <v>3032</v>
      </c>
      <c r="C2692" t="s">
        <v>130</v>
      </c>
      <c r="D2692" t="s">
        <v>1053</v>
      </c>
      <c r="E2692">
        <v>1</v>
      </c>
      <c r="F2692">
        <f>_xlfn.XLOOKUP(Table1[[#This Row],[ProductID]],Products!A:A,Products!D:D,,0)</f>
        <v>200</v>
      </c>
      <c r="I2692">
        <v>899</v>
      </c>
      <c r="J2692">
        <v>809</v>
      </c>
      <c r="K2692" t="s">
        <v>1107</v>
      </c>
      <c r="L2692">
        <v>809</v>
      </c>
      <c r="M2692" t="s">
        <v>1093</v>
      </c>
      <c r="N2692" t="s">
        <v>1099</v>
      </c>
      <c r="O2692">
        <f>Table1[[#This Row],[Unit_Price]]*Table1[[#This Row],[Quantity]]</f>
        <v>200</v>
      </c>
    </row>
    <row r="2693" spans="1:15" x14ac:dyDescent="0.3">
      <c r="A2693" t="s">
        <v>4504</v>
      </c>
      <c r="B2693" t="s">
        <v>3086</v>
      </c>
      <c r="C2693" t="s">
        <v>793</v>
      </c>
      <c r="D2693" t="s">
        <v>1078</v>
      </c>
      <c r="E2693">
        <v>1</v>
      </c>
      <c r="F2693">
        <f>_xlfn.XLOOKUP(Table1[[#This Row],[ProductID]],Products!A:A,Products!D:D,,0)</f>
        <v>80</v>
      </c>
      <c r="I2693">
        <v>499</v>
      </c>
      <c r="J2693">
        <v>449</v>
      </c>
      <c r="K2693" t="s">
        <v>1107</v>
      </c>
      <c r="L2693">
        <v>449</v>
      </c>
      <c r="M2693" t="s">
        <v>1093</v>
      </c>
      <c r="N2693" t="s">
        <v>1099</v>
      </c>
      <c r="O2693">
        <f>Table1[[#This Row],[Unit_Price]]*Table1[[#This Row],[Quantity]]</f>
        <v>80</v>
      </c>
    </row>
    <row r="2694" spans="1:15" x14ac:dyDescent="0.3">
      <c r="A2694" t="s">
        <v>4505</v>
      </c>
      <c r="B2694" t="s">
        <v>3415</v>
      </c>
      <c r="C2694" t="s">
        <v>52</v>
      </c>
      <c r="D2694" t="s">
        <v>1059</v>
      </c>
      <c r="E2694">
        <v>1</v>
      </c>
      <c r="F2694">
        <f>_xlfn.XLOOKUP(Table1[[#This Row],[ProductID]],Products!A:A,Products!D:D,,0)</f>
        <v>110</v>
      </c>
      <c r="I2694">
        <v>399</v>
      </c>
      <c r="J2694">
        <v>359</v>
      </c>
      <c r="K2694" t="s">
        <v>1107</v>
      </c>
      <c r="L2694">
        <v>359</v>
      </c>
      <c r="M2694" t="s">
        <v>1093</v>
      </c>
      <c r="N2694" t="s">
        <v>1099</v>
      </c>
      <c r="O2694">
        <f>Table1[[#This Row],[Unit_Price]]*Table1[[#This Row],[Quantity]]</f>
        <v>110</v>
      </c>
    </row>
    <row r="2695" spans="1:15" x14ac:dyDescent="0.3">
      <c r="A2695" t="s">
        <v>4506</v>
      </c>
      <c r="B2695" t="s">
        <v>1865</v>
      </c>
      <c r="C2695" t="s">
        <v>695</v>
      </c>
      <c r="D2695" t="s">
        <v>1048</v>
      </c>
      <c r="E2695">
        <v>1</v>
      </c>
      <c r="F2695">
        <f>_xlfn.XLOOKUP(Table1[[#This Row],[ProductID]],Products!A:A,Products!D:D,,0)</f>
        <v>120</v>
      </c>
      <c r="I2695">
        <v>599</v>
      </c>
      <c r="J2695">
        <v>539</v>
      </c>
      <c r="K2695" t="s">
        <v>1107</v>
      </c>
      <c r="L2695">
        <v>539</v>
      </c>
      <c r="M2695" t="s">
        <v>1098</v>
      </c>
      <c r="N2695" t="s">
        <v>1099</v>
      </c>
      <c r="O2695">
        <f>Table1[[#This Row],[Unit_Price]]*Table1[[#This Row],[Quantity]]</f>
        <v>120</v>
      </c>
    </row>
    <row r="2696" spans="1:15" x14ac:dyDescent="0.3">
      <c r="A2696" t="s">
        <v>4507</v>
      </c>
      <c r="B2696" t="s">
        <v>3135</v>
      </c>
      <c r="C2696" t="s">
        <v>29</v>
      </c>
      <c r="D2696" t="s">
        <v>1048</v>
      </c>
      <c r="E2696">
        <v>1</v>
      </c>
      <c r="F2696">
        <f>_xlfn.XLOOKUP(Table1[[#This Row],[ProductID]],Products!A:A,Products!D:D,,0)</f>
        <v>120</v>
      </c>
      <c r="I2696">
        <v>599</v>
      </c>
      <c r="J2696">
        <v>479</v>
      </c>
      <c r="K2696" t="s">
        <v>1097</v>
      </c>
      <c r="L2696">
        <v>479</v>
      </c>
      <c r="M2696" t="s">
        <v>1093</v>
      </c>
      <c r="N2696" t="s">
        <v>1094</v>
      </c>
      <c r="O2696">
        <f>Table1[[#This Row],[Unit_Price]]*Table1[[#This Row],[Quantity]]</f>
        <v>120</v>
      </c>
    </row>
    <row r="2697" spans="1:15" x14ac:dyDescent="0.3">
      <c r="A2697" t="s">
        <v>4508</v>
      </c>
      <c r="B2697" t="s">
        <v>2477</v>
      </c>
      <c r="C2697" t="s">
        <v>315</v>
      </c>
      <c r="D2697" t="s">
        <v>1064</v>
      </c>
      <c r="E2697">
        <v>1</v>
      </c>
      <c r="F2697">
        <f>_xlfn.XLOOKUP(Table1[[#This Row],[ProductID]],Products!A:A,Products!D:D,,0)</f>
        <v>160</v>
      </c>
      <c r="I2697">
        <v>699</v>
      </c>
      <c r="J2697">
        <v>629</v>
      </c>
      <c r="K2697" t="s">
        <v>1107</v>
      </c>
      <c r="L2697">
        <v>629</v>
      </c>
      <c r="M2697" t="s">
        <v>1093</v>
      </c>
      <c r="N2697" t="s">
        <v>1123</v>
      </c>
      <c r="O2697">
        <f>Table1[[#This Row],[Unit_Price]]*Table1[[#This Row],[Quantity]]</f>
        <v>160</v>
      </c>
    </row>
    <row r="2698" spans="1:15" x14ac:dyDescent="0.3">
      <c r="A2698" t="s">
        <v>4509</v>
      </c>
      <c r="B2698" t="s">
        <v>2674</v>
      </c>
      <c r="C2698" t="s">
        <v>573</v>
      </c>
      <c r="D2698" t="s">
        <v>1073</v>
      </c>
      <c r="E2698">
        <v>2</v>
      </c>
      <c r="F2698">
        <f>_xlfn.XLOOKUP(Table1[[#This Row],[ProductID]],Products!A:A,Products!D:D,,0)</f>
        <v>100</v>
      </c>
      <c r="I2698">
        <v>349</v>
      </c>
      <c r="J2698">
        <v>314</v>
      </c>
      <c r="K2698" t="s">
        <v>1107</v>
      </c>
      <c r="L2698">
        <v>628</v>
      </c>
      <c r="M2698" t="s">
        <v>1093</v>
      </c>
      <c r="N2698" t="s">
        <v>1099</v>
      </c>
      <c r="O2698">
        <f>Table1[[#This Row],[Unit_Price]]*Table1[[#This Row],[Quantity]]</f>
        <v>200</v>
      </c>
    </row>
    <row r="2699" spans="1:15" x14ac:dyDescent="0.3">
      <c r="A2699" t="s">
        <v>4510</v>
      </c>
      <c r="B2699" t="s">
        <v>4511</v>
      </c>
      <c r="C2699" t="s">
        <v>993</v>
      </c>
      <c r="D2699" t="s">
        <v>1057</v>
      </c>
      <c r="E2699">
        <v>1</v>
      </c>
      <c r="F2699">
        <f>_xlfn.XLOOKUP(Table1[[#This Row],[ProductID]],Products!A:A,Products!D:D,,0)</f>
        <v>130</v>
      </c>
      <c r="I2699">
        <v>549</v>
      </c>
      <c r="J2699">
        <v>549</v>
      </c>
      <c r="K2699" t="s">
        <v>1102</v>
      </c>
      <c r="L2699">
        <v>549</v>
      </c>
      <c r="M2699" t="s">
        <v>1098</v>
      </c>
      <c r="N2699" t="s">
        <v>1099</v>
      </c>
      <c r="O2699">
        <f>Table1[[#This Row],[Unit_Price]]*Table1[[#This Row],[Quantity]]</f>
        <v>130</v>
      </c>
    </row>
    <row r="2700" spans="1:15" x14ac:dyDescent="0.3">
      <c r="A2700" t="s">
        <v>4512</v>
      </c>
      <c r="B2700" t="s">
        <v>3902</v>
      </c>
      <c r="C2700" t="s">
        <v>581</v>
      </c>
      <c r="D2700" t="s">
        <v>1059</v>
      </c>
      <c r="E2700">
        <v>1</v>
      </c>
      <c r="F2700">
        <f>_xlfn.XLOOKUP(Table1[[#This Row],[ProductID]],Products!A:A,Products!D:D,,0)</f>
        <v>110</v>
      </c>
      <c r="I2700">
        <v>399</v>
      </c>
      <c r="J2700">
        <v>399</v>
      </c>
      <c r="K2700" t="s">
        <v>1102</v>
      </c>
      <c r="L2700">
        <v>399</v>
      </c>
      <c r="M2700" t="s">
        <v>1093</v>
      </c>
      <c r="N2700" t="s">
        <v>1094</v>
      </c>
      <c r="O2700">
        <f>Table1[[#This Row],[Unit_Price]]*Table1[[#This Row],[Quantity]]</f>
        <v>110</v>
      </c>
    </row>
    <row r="2701" spans="1:15" x14ac:dyDescent="0.3">
      <c r="A2701" t="s">
        <v>4513</v>
      </c>
      <c r="B2701" t="s">
        <v>2529</v>
      </c>
      <c r="C2701" t="s">
        <v>977</v>
      </c>
      <c r="D2701" t="s">
        <v>1066</v>
      </c>
      <c r="E2701">
        <v>1</v>
      </c>
      <c r="F2701">
        <f>_xlfn.XLOOKUP(Table1[[#This Row],[ProductID]],Products!A:A,Products!D:D,,0)</f>
        <v>140</v>
      </c>
      <c r="I2701">
        <v>499</v>
      </c>
      <c r="J2701">
        <v>499</v>
      </c>
      <c r="K2701" t="s">
        <v>1102</v>
      </c>
      <c r="L2701">
        <v>499</v>
      </c>
      <c r="M2701" t="s">
        <v>1098</v>
      </c>
      <c r="N2701" t="s">
        <v>1099</v>
      </c>
      <c r="O2701">
        <f>Table1[[#This Row],[Unit_Price]]*Table1[[#This Row],[Quantity]]</f>
        <v>140</v>
      </c>
    </row>
    <row r="2702" spans="1:15" x14ac:dyDescent="0.3">
      <c r="A2702" t="s">
        <v>4514</v>
      </c>
      <c r="B2702" t="s">
        <v>1449</v>
      </c>
      <c r="C2702" t="s">
        <v>491</v>
      </c>
      <c r="D2702" t="s">
        <v>1075</v>
      </c>
      <c r="E2702">
        <v>1</v>
      </c>
      <c r="F2702">
        <f>_xlfn.XLOOKUP(Table1[[#This Row],[ProductID]],Products!A:A,Products!D:D,,0)</f>
        <v>80</v>
      </c>
      <c r="I2702">
        <v>499</v>
      </c>
      <c r="J2702">
        <v>399</v>
      </c>
      <c r="K2702" t="s">
        <v>1097</v>
      </c>
      <c r="L2702">
        <v>399</v>
      </c>
      <c r="M2702" t="s">
        <v>1093</v>
      </c>
      <c r="N2702" t="s">
        <v>1099</v>
      </c>
      <c r="O2702">
        <f>Table1[[#This Row],[Unit_Price]]*Table1[[#This Row],[Quantity]]</f>
        <v>80</v>
      </c>
    </row>
    <row r="2703" spans="1:15" x14ac:dyDescent="0.3">
      <c r="A2703" t="s">
        <v>4515</v>
      </c>
      <c r="B2703" t="s">
        <v>1441</v>
      </c>
      <c r="C2703" t="s">
        <v>753</v>
      </c>
      <c r="D2703" t="s">
        <v>1051</v>
      </c>
      <c r="E2703">
        <v>1</v>
      </c>
      <c r="F2703">
        <f>_xlfn.XLOOKUP(Table1[[#This Row],[ProductID]],Products!A:A,Products!D:D,,0)</f>
        <v>150</v>
      </c>
      <c r="I2703">
        <v>499</v>
      </c>
      <c r="J2703">
        <v>399</v>
      </c>
      <c r="K2703" t="s">
        <v>1097</v>
      </c>
      <c r="L2703">
        <v>399</v>
      </c>
      <c r="M2703" t="s">
        <v>1093</v>
      </c>
      <c r="N2703" t="s">
        <v>1099</v>
      </c>
      <c r="O2703">
        <f>Table1[[#This Row],[Unit_Price]]*Table1[[#This Row],[Quantity]]</f>
        <v>150</v>
      </c>
    </row>
    <row r="2704" spans="1:15" x14ac:dyDescent="0.3">
      <c r="A2704" t="s">
        <v>4516</v>
      </c>
      <c r="B2704" t="s">
        <v>2198</v>
      </c>
      <c r="C2704" t="s">
        <v>865</v>
      </c>
      <c r="D2704" t="s">
        <v>1064</v>
      </c>
      <c r="E2704">
        <v>1</v>
      </c>
      <c r="F2704">
        <f>_xlfn.XLOOKUP(Table1[[#This Row],[ProductID]],Products!A:A,Products!D:D,,0)</f>
        <v>160</v>
      </c>
      <c r="I2704">
        <v>699</v>
      </c>
      <c r="J2704">
        <v>629</v>
      </c>
      <c r="K2704" t="s">
        <v>1107</v>
      </c>
      <c r="L2704">
        <v>629</v>
      </c>
      <c r="M2704" t="s">
        <v>1098</v>
      </c>
      <c r="N2704" t="s">
        <v>1099</v>
      </c>
      <c r="O2704">
        <f>Table1[[#This Row],[Unit_Price]]*Table1[[#This Row],[Quantity]]</f>
        <v>160</v>
      </c>
    </row>
    <row r="2705" spans="1:15" x14ac:dyDescent="0.3">
      <c r="A2705" t="s">
        <v>4517</v>
      </c>
      <c r="B2705" t="s">
        <v>1619</v>
      </c>
      <c r="C2705" t="s">
        <v>901</v>
      </c>
      <c r="D2705" t="s">
        <v>1075</v>
      </c>
      <c r="E2705">
        <v>1</v>
      </c>
      <c r="F2705">
        <f>_xlfn.XLOOKUP(Table1[[#This Row],[ProductID]],Products!A:A,Products!D:D,,0)</f>
        <v>80</v>
      </c>
      <c r="I2705">
        <v>499</v>
      </c>
      <c r="J2705">
        <v>449</v>
      </c>
      <c r="K2705" t="s">
        <v>1107</v>
      </c>
      <c r="L2705">
        <v>449</v>
      </c>
      <c r="M2705" t="s">
        <v>1098</v>
      </c>
      <c r="N2705" t="s">
        <v>1099</v>
      </c>
      <c r="O2705">
        <f>Table1[[#This Row],[Unit_Price]]*Table1[[#This Row],[Quantity]]</f>
        <v>80</v>
      </c>
    </row>
    <row r="2706" spans="1:15" x14ac:dyDescent="0.3">
      <c r="A2706" t="s">
        <v>4518</v>
      </c>
      <c r="B2706" t="s">
        <v>2624</v>
      </c>
      <c r="C2706" t="s">
        <v>339</v>
      </c>
      <c r="D2706" t="s">
        <v>1064</v>
      </c>
      <c r="E2706">
        <v>2</v>
      </c>
      <c r="F2706">
        <f>_xlfn.XLOOKUP(Table1[[#This Row],[ProductID]],Products!A:A,Products!D:D,,0)</f>
        <v>160</v>
      </c>
      <c r="I2706">
        <v>699</v>
      </c>
      <c r="J2706">
        <v>594</v>
      </c>
      <c r="K2706" t="s">
        <v>1092</v>
      </c>
      <c r="L2706">
        <v>1188</v>
      </c>
      <c r="M2706" t="s">
        <v>1098</v>
      </c>
      <c r="N2706" t="s">
        <v>1099</v>
      </c>
      <c r="O2706">
        <f>Table1[[#This Row],[Unit_Price]]*Table1[[#This Row],[Quantity]]</f>
        <v>320</v>
      </c>
    </row>
    <row r="2707" spans="1:15" x14ac:dyDescent="0.3">
      <c r="A2707" t="s">
        <v>4519</v>
      </c>
      <c r="B2707" t="s">
        <v>2695</v>
      </c>
      <c r="C2707" t="s">
        <v>263</v>
      </c>
      <c r="D2707" t="s">
        <v>1051</v>
      </c>
      <c r="E2707">
        <v>1</v>
      </c>
      <c r="F2707">
        <f>_xlfn.XLOOKUP(Table1[[#This Row],[ProductID]],Products!A:A,Products!D:D,,0)</f>
        <v>150</v>
      </c>
      <c r="I2707">
        <v>499</v>
      </c>
      <c r="J2707">
        <v>499</v>
      </c>
      <c r="K2707" t="s">
        <v>1102</v>
      </c>
      <c r="L2707">
        <v>499</v>
      </c>
      <c r="M2707" t="s">
        <v>1126</v>
      </c>
      <c r="N2707" t="s">
        <v>1099</v>
      </c>
      <c r="O2707">
        <f>Table1[[#This Row],[Unit_Price]]*Table1[[#This Row],[Quantity]]</f>
        <v>150</v>
      </c>
    </row>
    <row r="2708" spans="1:15" x14ac:dyDescent="0.3">
      <c r="A2708" t="s">
        <v>4520</v>
      </c>
      <c r="B2708" t="s">
        <v>2004</v>
      </c>
      <c r="C2708" t="s">
        <v>871</v>
      </c>
      <c r="D2708" t="s">
        <v>1068</v>
      </c>
      <c r="E2708">
        <v>1</v>
      </c>
      <c r="F2708">
        <f>_xlfn.XLOOKUP(Table1[[#This Row],[ProductID]],Products!A:A,Products!D:D,,0)</f>
        <v>180</v>
      </c>
      <c r="I2708">
        <v>449</v>
      </c>
      <c r="J2708">
        <v>404</v>
      </c>
      <c r="K2708" t="s">
        <v>1107</v>
      </c>
      <c r="L2708">
        <v>404</v>
      </c>
      <c r="M2708" t="s">
        <v>1098</v>
      </c>
      <c r="N2708" t="s">
        <v>1099</v>
      </c>
      <c r="O2708">
        <f>Table1[[#This Row],[Unit_Price]]*Table1[[#This Row],[Quantity]]</f>
        <v>180</v>
      </c>
    </row>
    <row r="2709" spans="1:15" x14ac:dyDescent="0.3">
      <c r="A2709" t="s">
        <v>4521</v>
      </c>
      <c r="B2709" t="s">
        <v>1355</v>
      </c>
      <c r="C2709" t="s">
        <v>827</v>
      </c>
      <c r="D2709" t="s">
        <v>1051</v>
      </c>
      <c r="E2709">
        <v>1</v>
      </c>
      <c r="F2709">
        <f>_xlfn.XLOOKUP(Table1[[#This Row],[ProductID]],Products!A:A,Products!D:D,,0)</f>
        <v>150</v>
      </c>
      <c r="I2709">
        <v>499</v>
      </c>
      <c r="J2709">
        <v>449</v>
      </c>
      <c r="K2709" t="s">
        <v>1107</v>
      </c>
      <c r="L2709">
        <v>449</v>
      </c>
      <c r="M2709" t="s">
        <v>1093</v>
      </c>
      <c r="N2709" t="s">
        <v>1099</v>
      </c>
      <c r="O2709">
        <f>Table1[[#This Row],[Unit_Price]]*Table1[[#This Row],[Quantity]]</f>
        <v>150</v>
      </c>
    </row>
    <row r="2710" spans="1:15" x14ac:dyDescent="0.3">
      <c r="A2710" t="s">
        <v>4522</v>
      </c>
      <c r="B2710" t="s">
        <v>2690</v>
      </c>
      <c r="C2710" t="s">
        <v>735</v>
      </c>
      <c r="D2710" t="s">
        <v>1068</v>
      </c>
      <c r="E2710">
        <v>2</v>
      </c>
      <c r="F2710">
        <f>_xlfn.XLOOKUP(Table1[[#This Row],[ProductID]],Products!A:A,Products!D:D,,0)</f>
        <v>180</v>
      </c>
      <c r="I2710">
        <v>449</v>
      </c>
      <c r="J2710">
        <v>359</v>
      </c>
      <c r="K2710" t="s">
        <v>1097</v>
      </c>
      <c r="L2710">
        <v>718</v>
      </c>
      <c r="M2710" t="s">
        <v>1098</v>
      </c>
      <c r="N2710" t="s">
        <v>1099</v>
      </c>
      <c r="O2710">
        <f>Table1[[#This Row],[Unit_Price]]*Table1[[#This Row],[Quantity]]</f>
        <v>360</v>
      </c>
    </row>
    <row r="2711" spans="1:15" x14ac:dyDescent="0.3">
      <c r="A2711" t="s">
        <v>4523</v>
      </c>
      <c r="B2711" t="s">
        <v>2112</v>
      </c>
      <c r="C2711" t="s">
        <v>235</v>
      </c>
      <c r="D2711" t="s">
        <v>1064</v>
      </c>
      <c r="E2711">
        <v>3</v>
      </c>
      <c r="F2711">
        <f>_xlfn.XLOOKUP(Table1[[#This Row],[ProductID]],Products!A:A,Products!D:D,,0)</f>
        <v>160</v>
      </c>
      <c r="I2711">
        <v>699</v>
      </c>
      <c r="J2711">
        <v>699</v>
      </c>
      <c r="K2711" t="s">
        <v>1102</v>
      </c>
      <c r="L2711">
        <v>2097</v>
      </c>
      <c r="M2711" t="s">
        <v>1098</v>
      </c>
      <c r="N2711" t="s">
        <v>1099</v>
      </c>
      <c r="O2711">
        <f>Table1[[#This Row],[Unit_Price]]*Table1[[#This Row],[Quantity]]</f>
        <v>480</v>
      </c>
    </row>
    <row r="2712" spans="1:15" x14ac:dyDescent="0.3">
      <c r="A2712" t="s">
        <v>4524</v>
      </c>
      <c r="B2712" t="s">
        <v>2333</v>
      </c>
      <c r="C2712" t="s">
        <v>343</v>
      </c>
      <c r="D2712" t="s">
        <v>1051</v>
      </c>
      <c r="E2712">
        <v>1</v>
      </c>
      <c r="F2712">
        <f>_xlfn.XLOOKUP(Table1[[#This Row],[ProductID]],Products!A:A,Products!D:D,,0)</f>
        <v>150</v>
      </c>
      <c r="I2712">
        <v>499</v>
      </c>
      <c r="J2712">
        <v>449</v>
      </c>
      <c r="K2712" t="s">
        <v>1107</v>
      </c>
      <c r="L2712">
        <v>449</v>
      </c>
      <c r="M2712" t="s">
        <v>1126</v>
      </c>
      <c r="N2712" t="s">
        <v>1099</v>
      </c>
      <c r="O2712">
        <f>Table1[[#This Row],[Unit_Price]]*Table1[[#This Row],[Quantity]]</f>
        <v>150</v>
      </c>
    </row>
    <row r="2713" spans="1:15" x14ac:dyDescent="0.3">
      <c r="A2713" t="s">
        <v>4525</v>
      </c>
      <c r="B2713" t="s">
        <v>1106</v>
      </c>
      <c r="C2713" t="s">
        <v>727</v>
      </c>
      <c r="D2713" t="s">
        <v>1048</v>
      </c>
      <c r="E2713">
        <v>3</v>
      </c>
      <c r="F2713">
        <f>_xlfn.XLOOKUP(Table1[[#This Row],[ProductID]],Products!A:A,Products!D:D,,0)</f>
        <v>120</v>
      </c>
      <c r="I2713">
        <v>599</v>
      </c>
      <c r="J2713">
        <v>479</v>
      </c>
      <c r="K2713" t="s">
        <v>1097</v>
      </c>
      <c r="L2713">
        <v>1437</v>
      </c>
      <c r="M2713" t="s">
        <v>1098</v>
      </c>
      <c r="N2713" t="s">
        <v>1099</v>
      </c>
      <c r="O2713">
        <f>Table1[[#This Row],[Unit_Price]]*Table1[[#This Row],[Quantity]]</f>
        <v>360</v>
      </c>
    </row>
    <row r="2714" spans="1:15" x14ac:dyDescent="0.3">
      <c r="A2714" t="s">
        <v>4526</v>
      </c>
      <c r="B2714" t="s">
        <v>1935</v>
      </c>
      <c r="C2714" t="s">
        <v>669</v>
      </c>
      <c r="D2714" t="s">
        <v>1080</v>
      </c>
      <c r="E2714">
        <v>1</v>
      </c>
      <c r="F2714">
        <f>_xlfn.XLOOKUP(Table1[[#This Row],[ProductID]],Products!A:A,Products!D:D,,0)</f>
        <v>45</v>
      </c>
      <c r="I2714">
        <v>249</v>
      </c>
      <c r="J2714">
        <v>212</v>
      </c>
      <c r="K2714" t="s">
        <v>1092</v>
      </c>
      <c r="L2714">
        <v>212</v>
      </c>
      <c r="M2714" t="s">
        <v>1098</v>
      </c>
      <c r="N2714" t="s">
        <v>1099</v>
      </c>
      <c r="O2714">
        <f>Table1[[#This Row],[Unit_Price]]*Table1[[#This Row],[Quantity]]</f>
        <v>45</v>
      </c>
    </row>
    <row r="2715" spans="1:15" x14ac:dyDescent="0.3">
      <c r="A2715" t="s">
        <v>4527</v>
      </c>
      <c r="B2715" t="s">
        <v>3865</v>
      </c>
      <c r="C2715" t="s">
        <v>835</v>
      </c>
      <c r="D2715" t="s">
        <v>1059</v>
      </c>
      <c r="E2715">
        <v>1</v>
      </c>
      <c r="F2715">
        <f>_xlfn.XLOOKUP(Table1[[#This Row],[ProductID]],Products!A:A,Products!D:D,,0)</f>
        <v>110</v>
      </c>
      <c r="I2715">
        <v>399</v>
      </c>
      <c r="J2715">
        <v>359</v>
      </c>
      <c r="K2715" t="s">
        <v>1107</v>
      </c>
      <c r="L2715">
        <v>359</v>
      </c>
      <c r="M2715" t="s">
        <v>1098</v>
      </c>
      <c r="N2715" t="s">
        <v>1099</v>
      </c>
      <c r="O2715">
        <f>Table1[[#This Row],[Unit_Price]]*Table1[[#This Row],[Quantity]]</f>
        <v>110</v>
      </c>
    </row>
    <row r="2716" spans="1:15" x14ac:dyDescent="0.3">
      <c r="A2716" t="s">
        <v>4528</v>
      </c>
      <c r="B2716" t="s">
        <v>1509</v>
      </c>
      <c r="C2716" t="s">
        <v>677</v>
      </c>
      <c r="D2716" t="s">
        <v>1068</v>
      </c>
      <c r="E2716">
        <v>2</v>
      </c>
      <c r="F2716">
        <f>_xlfn.XLOOKUP(Table1[[#This Row],[ProductID]],Products!A:A,Products!D:D,,0)</f>
        <v>180</v>
      </c>
      <c r="I2716">
        <v>449</v>
      </c>
      <c r="J2716">
        <v>382</v>
      </c>
      <c r="K2716" t="s">
        <v>1092</v>
      </c>
      <c r="L2716">
        <v>764</v>
      </c>
      <c r="M2716" t="s">
        <v>1098</v>
      </c>
      <c r="N2716" t="s">
        <v>1099</v>
      </c>
      <c r="O2716">
        <f>Table1[[#This Row],[Unit_Price]]*Table1[[#This Row],[Quantity]]</f>
        <v>360</v>
      </c>
    </row>
    <row r="2717" spans="1:15" x14ac:dyDescent="0.3">
      <c r="A2717" t="s">
        <v>4529</v>
      </c>
      <c r="B2717" t="s">
        <v>1730</v>
      </c>
      <c r="C2717" t="s">
        <v>751</v>
      </c>
      <c r="D2717" t="s">
        <v>1048</v>
      </c>
      <c r="E2717">
        <v>3</v>
      </c>
      <c r="F2717">
        <f>_xlfn.XLOOKUP(Table1[[#This Row],[ProductID]],Products!A:A,Products!D:D,,0)</f>
        <v>120</v>
      </c>
      <c r="I2717">
        <v>599</v>
      </c>
      <c r="J2717">
        <v>599</v>
      </c>
      <c r="K2717" t="s">
        <v>1102</v>
      </c>
      <c r="L2717">
        <v>1797</v>
      </c>
      <c r="M2717" t="s">
        <v>1098</v>
      </c>
      <c r="N2717" t="s">
        <v>1099</v>
      </c>
      <c r="O2717">
        <f>Table1[[#This Row],[Unit_Price]]*Table1[[#This Row],[Quantity]]</f>
        <v>360</v>
      </c>
    </row>
    <row r="2718" spans="1:15" x14ac:dyDescent="0.3">
      <c r="A2718" t="s">
        <v>4530</v>
      </c>
      <c r="B2718" t="s">
        <v>1117</v>
      </c>
      <c r="C2718" t="s">
        <v>143</v>
      </c>
      <c r="D2718" t="s">
        <v>1080</v>
      </c>
      <c r="E2718">
        <v>1</v>
      </c>
      <c r="F2718">
        <f>_xlfn.XLOOKUP(Table1[[#This Row],[ProductID]],Products!A:A,Products!D:D,,0)</f>
        <v>45</v>
      </c>
      <c r="I2718">
        <v>249</v>
      </c>
      <c r="J2718">
        <v>199</v>
      </c>
      <c r="K2718" t="s">
        <v>1097</v>
      </c>
      <c r="L2718">
        <v>199</v>
      </c>
      <c r="M2718" t="s">
        <v>1093</v>
      </c>
      <c r="N2718" t="s">
        <v>1094</v>
      </c>
      <c r="O2718">
        <f>Table1[[#This Row],[Unit_Price]]*Table1[[#This Row],[Quantity]]</f>
        <v>45</v>
      </c>
    </row>
    <row r="2719" spans="1:15" x14ac:dyDescent="0.3">
      <c r="A2719" t="s">
        <v>4531</v>
      </c>
      <c r="B2719" t="s">
        <v>1537</v>
      </c>
      <c r="C2719" t="s">
        <v>545</v>
      </c>
      <c r="D2719" t="s">
        <v>1051</v>
      </c>
      <c r="E2719">
        <v>4</v>
      </c>
      <c r="F2719">
        <f>_xlfn.XLOOKUP(Table1[[#This Row],[ProductID]],Products!A:A,Products!D:D,,0)</f>
        <v>150</v>
      </c>
      <c r="I2719">
        <v>499</v>
      </c>
      <c r="J2719">
        <v>449</v>
      </c>
      <c r="K2719" t="s">
        <v>1107</v>
      </c>
      <c r="L2719">
        <v>1796</v>
      </c>
      <c r="M2719" t="s">
        <v>1098</v>
      </c>
      <c r="N2719" t="s">
        <v>1099</v>
      </c>
      <c r="O2719">
        <f>Table1[[#This Row],[Unit_Price]]*Table1[[#This Row],[Quantity]]</f>
        <v>600</v>
      </c>
    </row>
    <row r="2720" spans="1:15" x14ac:dyDescent="0.3">
      <c r="A2720" t="s">
        <v>4532</v>
      </c>
      <c r="B2720" t="s">
        <v>3041</v>
      </c>
      <c r="C2720" t="s">
        <v>955</v>
      </c>
      <c r="D2720" t="s">
        <v>1073</v>
      </c>
      <c r="E2720">
        <v>2</v>
      </c>
      <c r="F2720">
        <f>_xlfn.XLOOKUP(Table1[[#This Row],[ProductID]],Products!A:A,Products!D:D,,0)</f>
        <v>100</v>
      </c>
      <c r="I2720">
        <v>349</v>
      </c>
      <c r="J2720">
        <v>297</v>
      </c>
      <c r="K2720" t="s">
        <v>1092</v>
      </c>
      <c r="L2720">
        <v>594</v>
      </c>
      <c r="M2720" t="s">
        <v>1093</v>
      </c>
      <c r="N2720" t="s">
        <v>1099</v>
      </c>
      <c r="O2720">
        <f>Table1[[#This Row],[Unit_Price]]*Table1[[#This Row],[Quantity]]</f>
        <v>200</v>
      </c>
    </row>
    <row r="2721" spans="1:15" x14ac:dyDescent="0.3">
      <c r="A2721" t="s">
        <v>4533</v>
      </c>
      <c r="B2721" t="s">
        <v>1120</v>
      </c>
      <c r="C2721" t="s">
        <v>112</v>
      </c>
      <c r="D2721" t="s">
        <v>1071</v>
      </c>
      <c r="E2721">
        <v>1</v>
      </c>
      <c r="F2721">
        <f>_xlfn.XLOOKUP(Table1[[#This Row],[ProductID]],Products!A:A,Products!D:D,,0)</f>
        <v>125</v>
      </c>
      <c r="I2721">
        <v>399</v>
      </c>
      <c r="J2721">
        <v>319</v>
      </c>
      <c r="K2721" t="s">
        <v>1097</v>
      </c>
      <c r="L2721">
        <v>319</v>
      </c>
      <c r="M2721" t="s">
        <v>1098</v>
      </c>
      <c r="N2721" t="s">
        <v>1123</v>
      </c>
      <c r="O2721">
        <f>Table1[[#This Row],[Unit_Price]]*Table1[[#This Row],[Quantity]]</f>
        <v>125</v>
      </c>
    </row>
    <row r="2722" spans="1:15" x14ac:dyDescent="0.3">
      <c r="A2722" t="s">
        <v>4534</v>
      </c>
      <c r="B2722" t="s">
        <v>1174</v>
      </c>
      <c r="C2722" t="s">
        <v>355</v>
      </c>
      <c r="D2722" t="s">
        <v>1062</v>
      </c>
      <c r="E2722">
        <v>2</v>
      </c>
      <c r="F2722">
        <f>_xlfn.XLOOKUP(Table1[[#This Row],[ProductID]],Products!A:A,Products!D:D,,0)</f>
        <v>95</v>
      </c>
      <c r="I2722">
        <v>349</v>
      </c>
      <c r="J2722">
        <v>314</v>
      </c>
      <c r="K2722" t="s">
        <v>1107</v>
      </c>
      <c r="L2722">
        <v>628</v>
      </c>
      <c r="M2722" t="s">
        <v>1093</v>
      </c>
      <c r="N2722" t="s">
        <v>1099</v>
      </c>
      <c r="O2722">
        <f>Table1[[#This Row],[Unit_Price]]*Table1[[#This Row],[Quantity]]</f>
        <v>190</v>
      </c>
    </row>
    <row r="2723" spans="1:15" x14ac:dyDescent="0.3">
      <c r="A2723" t="s">
        <v>4535</v>
      </c>
      <c r="B2723" t="s">
        <v>2078</v>
      </c>
      <c r="C2723" t="s">
        <v>106</v>
      </c>
      <c r="D2723" t="s">
        <v>1055</v>
      </c>
      <c r="E2723">
        <v>1</v>
      </c>
      <c r="F2723">
        <f>_xlfn.XLOOKUP(Table1[[#This Row],[ProductID]],Products!A:A,Products!D:D,,0)</f>
        <v>75</v>
      </c>
      <c r="I2723">
        <v>299</v>
      </c>
      <c r="J2723">
        <v>254</v>
      </c>
      <c r="K2723" t="s">
        <v>1092</v>
      </c>
      <c r="L2723">
        <v>254</v>
      </c>
      <c r="M2723" t="s">
        <v>1098</v>
      </c>
      <c r="N2723" t="s">
        <v>1099</v>
      </c>
      <c r="O2723">
        <f>Table1[[#This Row],[Unit_Price]]*Table1[[#This Row],[Quantity]]</f>
        <v>75</v>
      </c>
    </row>
    <row r="2724" spans="1:15" x14ac:dyDescent="0.3">
      <c r="A2724" t="s">
        <v>4536</v>
      </c>
      <c r="B2724" t="s">
        <v>1509</v>
      </c>
      <c r="C2724" t="s">
        <v>1029</v>
      </c>
      <c r="D2724" t="s">
        <v>1071</v>
      </c>
      <c r="E2724">
        <v>1</v>
      </c>
      <c r="F2724">
        <f>_xlfn.XLOOKUP(Table1[[#This Row],[ProductID]],Products!A:A,Products!D:D,,0)</f>
        <v>125</v>
      </c>
      <c r="I2724">
        <v>399</v>
      </c>
      <c r="J2724">
        <v>359</v>
      </c>
      <c r="K2724" t="s">
        <v>1107</v>
      </c>
      <c r="L2724">
        <v>359</v>
      </c>
      <c r="M2724" t="s">
        <v>1098</v>
      </c>
      <c r="N2724" t="s">
        <v>1099</v>
      </c>
      <c r="O2724">
        <f>Table1[[#This Row],[Unit_Price]]*Table1[[#This Row],[Quantity]]</f>
        <v>125</v>
      </c>
    </row>
    <row r="2725" spans="1:15" x14ac:dyDescent="0.3">
      <c r="A2725" t="s">
        <v>4537</v>
      </c>
      <c r="B2725" t="s">
        <v>1597</v>
      </c>
      <c r="C2725" t="s">
        <v>895</v>
      </c>
      <c r="D2725" t="s">
        <v>1055</v>
      </c>
      <c r="E2725">
        <v>1</v>
      </c>
      <c r="F2725">
        <f>_xlfn.XLOOKUP(Table1[[#This Row],[ProductID]],Products!A:A,Products!D:D,,0)</f>
        <v>75</v>
      </c>
      <c r="I2725">
        <v>299</v>
      </c>
      <c r="J2725">
        <v>269</v>
      </c>
      <c r="K2725" t="s">
        <v>1107</v>
      </c>
      <c r="L2725">
        <v>269</v>
      </c>
      <c r="M2725" t="s">
        <v>1098</v>
      </c>
      <c r="N2725" t="s">
        <v>1099</v>
      </c>
      <c r="O2725">
        <f>Table1[[#This Row],[Unit_Price]]*Table1[[#This Row],[Quantity]]</f>
        <v>75</v>
      </c>
    </row>
    <row r="2726" spans="1:15" x14ac:dyDescent="0.3">
      <c r="A2726" t="s">
        <v>4538</v>
      </c>
      <c r="B2726" t="s">
        <v>2167</v>
      </c>
      <c r="C2726" t="s">
        <v>1005</v>
      </c>
      <c r="D2726" t="s">
        <v>1057</v>
      </c>
      <c r="E2726">
        <v>1</v>
      </c>
      <c r="F2726">
        <f>_xlfn.XLOOKUP(Table1[[#This Row],[ProductID]],Products!A:A,Products!D:D,,0)</f>
        <v>130</v>
      </c>
      <c r="I2726">
        <v>549</v>
      </c>
      <c r="J2726">
        <v>549</v>
      </c>
      <c r="K2726" t="s">
        <v>1102</v>
      </c>
      <c r="L2726">
        <v>549</v>
      </c>
      <c r="M2726" t="s">
        <v>1093</v>
      </c>
      <c r="N2726" t="s">
        <v>1099</v>
      </c>
      <c r="O2726">
        <f>Table1[[#This Row],[Unit_Price]]*Table1[[#This Row],[Quantity]]</f>
        <v>130</v>
      </c>
    </row>
    <row r="2727" spans="1:15" x14ac:dyDescent="0.3">
      <c r="A2727" t="s">
        <v>4539</v>
      </c>
      <c r="B2727" t="s">
        <v>3435</v>
      </c>
      <c r="C2727" t="s">
        <v>889</v>
      </c>
      <c r="D2727" t="s">
        <v>1051</v>
      </c>
      <c r="E2727">
        <v>1</v>
      </c>
      <c r="F2727">
        <f>_xlfn.XLOOKUP(Table1[[#This Row],[ProductID]],Products!A:A,Products!D:D,,0)</f>
        <v>150</v>
      </c>
      <c r="I2727">
        <v>499</v>
      </c>
      <c r="J2727">
        <v>399</v>
      </c>
      <c r="K2727" t="s">
        <v>1097</v>
      </c>
      <c r="L2727">
        <v>399</v>
      </c>
      <c r="M2727" t="s">
        <v>1093</v>
      </c>
      <c r="N2727" t="s">
        <v>1094</v>
      </c>
      <c r="O2727">
        <f>Table1[[#This Row],[Unit_Price]]*Table1[[#This Row],[Quantity]]</f>
        <v>150</v>
      </c>
    </row>
    <row r="2728" spans="1:15" x14ac:dyDescent="0.3">
      <c r="A2728" t="s">
        <v>4540</v>
      </c>
      <c r="B2728" t="s">
        <v>2535</v>
      </c>
      <c r="C2728" t="s">
        <v>549</v>
      </c>
      <c r="D2728" t="s">
        <v>1066</v>
      </c>
      <c r="E2728">
        <v>1</v>
      </c>
      <c r="F2728">
        <f>_xlfn.XLOOKUP(Table1[[#This Row],[ProductID]],Products!A:A,Products!D:D,,0)</f>
        <v>140</v>
      </c>
      <c r="I2728">
        <v>499</v>
      </c>
      <c r="J2728">
        <v>449</v>
      </c>
      <c r="K2728" t="s">
        <v>1107</v>
      </c>
      <c r="L2728">
        <v>449</v>
      </c>
      <c r="M2728" t="s">
        <v>1098</v>
      </c>
      <c r="N2728" t="s">
        <v>1123</v>
      </c>
      <c r="O2728">
        <f>Table1[[#This Row],[Unit_Price]]*Table1[[#This Row],[Quantity]]</f>
        <v>140</v>
      </c>
    </row>
    <row r="2729" spans="1:15" x14ac:dyDescent="0.3">
      <c r="A2729" t="s">
        <v>4541</v>
      </c>
      <c r="B2729" t="s">
        <v>1270</v>
      </c>
      <c r="C2729" t="s">
        <v>217</v>
      </c>
      <c r="D2729" t="s">
        <v>1051</v>
      </c>
      <c r="E2729">
        <v>1</v>
      </c>
      <c r="F2729">
        <f>_xlfn.XLOOKUP(Table1[[#This Row],[ProductID]],Products!A:A,Products!D:D,,0)</f>
        <v>150</v>
      </c>
      <c r="I2729">
        <v>499</v>
      </c>
      <c r="J2729">
        <v>449</v>
      </c>
      <c r="K2729" t="s">
        <v>1107</v>
      </c>
      <c r="L2729">
        <v>449</v>
      </c>
      <c r="M2729" t="s">
        <v>1098</v>
      </c>
      <c r="N2729" t="s">
        <v>1099</v>
      </c>
      <c r="O2729">
        <f>Table1[[#This Row],[Unit_Price]]*Table1[[#This Row],[Quantity]]</f>
        <v>150</v>
      </c>
    </row>
    <row r="2730" spans="1:15" x14ac:dyDescent="0.3">
      <c r="A2730" t="s">
        <v>4542</v>
      </c>
      <c r="B2730" t="s">
        <v>1698</v>
      </c>
      <c r="C2730" t="s">
        <v>883</v>
      </c>
      <c r="D2730" t="s">
        <v>1055</v>
      </c>
      <c r="E2730">
        <v>2</v>
      </c>
      <c r="F2730">
        <f>_xlfn.XLOOKUP(Table1[[#This Row],[ProductID]],Products!A:A,Products!D:D,,0)</f>
        <v>75</v>
      </c>
      <c r="I2730">
        <v>299</v>
      </c>
      <c r="J2730">
        <v>299</v>
      </c>
      <c r="K2730" t="s">
        <v>1102</v>
      </c>
      <c r="L2730">
        <v>598</v>
      </c>
      <c r="M2730" t="s">
        <v>1093</v>
      </c>
      <c r="N2730" t="s">
        <v>1099</v>
      </c>
      <c r="O2730">
        <f>Table1[[#This Row],[Unit_Price]]*Table1[[#This Row],[Quantity]]</f>
        <v>150</v>
      </c>
    </row>
    <row r="2731" spans="1:15" x14ac:dyDescent="0.3">
      <c r="A2731" t="s">
        <v>4543</v>
      </c>
      <c r="B2731" t="s">
        <v>3077</v>
      </c>
      <c r="C2731" t="s">
        <v>395</v>
      </c>
      <c r="D2731" t="s">
        <v>1055</v>
      </c>
      <c r="E2731">
        <v>2</v>
      </c>
      <c r="F2731">
        <f>_xlfn.XLOOKUP(Table1[[#This Row],[ProductID]],Products!A:A,Products!D:D,,0)</f>
        <v>75</v>
      </c>
      <c r="I2731">
        <v>299</v>
      </c>
      <c r="J2731">
        <v>254</v>
      </c>
      <c r="K2731" t="s">
        <v>1092</v>
      </c>
      <c r="L2731">
        <v>508</v>
      </c>
      <c r="M2731" t="s">
        <v>1098</v>
      </c>
      <c r="N2731" t="s">
        <v>1099</v>
      </c>
      <c r="O2731">
        <f>Table1[[#This Row],[Unit_Price]]*Table1[[#This Row],[Quantity]]</f>
        <v>150</v>
      </c>
    </row>
    <row r="2732" spans="1:15" x14ac:dyDescent="0.3">
      <c r="A2732" t="s">
        <v>4544</v>
      </c>
      <c r="B2732" t="s">
        <v>1855</v>
      </c>
      <c r="C2732" t="s">
        <v>313</v>
      </c>
      <c r="D2732" t="s">
        <v>1064</v>
      </c>
      <c r="E2732">
        <v>2</v>
      </c>
      <c r="F2732">
        <f>_xlfn.XLOOKUP(Table1[[#This Row],[ProductID]],Products!A:A,Products!D:D,,0)</f>
        <v>160</v>
      </c>
      <c r="I2732">
        <v>699</v>
      </c>
      <c r="J2732">
        <v>699</v>
      </c>
      <c r="K2732" t="s">
        <v>1102</v>
      </c>
      <c r="L2732">
        <v>1398</v>
      </c>
      <c r="M2732" t="s">
        <v>1093</v>
      </c>
      <c r="N2732" t="s">
        <v>1094</v>
      </c>
      <c r="O2732">
        <f>Table1[[#This Row],[Unit_Price]]*Table1[[#This Row],[Quantity]]</f>
        <v>320</v>
      </c>
    </row>
    <row r="2733" spans="1:15" x14ac:dyDescent="0.3">
      <c r="A2733" t="s">
        <v>4545</v>
      </c>
      <c r="B2733" t="s">
        <v>2285</v>
      </c>
      <c r="C2733" t="s">
        <v>601</v>
      </c>
      <c r="D2733" t="s">
        <v>1057</v>
      </c>
      <c r="E2733">
        <v>1</v>
      </c>
      <c r="F2733">
        <f>_xlfn.XLOOKUP(Table1[[#This Row],[ProductID]],Products!A:A,Products!D:D,,0)</f>
        <v>130</v>
      </c>
      <c r="I2733">
        <v>549</v>
      </c>
      <c r="J2733">
        <v>494</v>
      </c>
      <c r="K2733" t="s">
        <v>1107</v>
      </c>
      <c r="L2733">
        <v>494</v>
      </c>
      <c r="M2733" t="s">
        <v>1093</v>
      </c>
      <c r="N2733" t="s">
        <v>1099</v>
      </c>
      <c r="O2733">
        <f>Table1[[#This Row],[Unit_Price]]*Table1[[#This Row],[Quantity]]</f>
        <v>130</v>
      </c>
    </row>
    <row r="2734" spans="1:15" x14ac:dyDescent="0.3">
      <c r="A2734" t="s">
        <v>4546</v>
      </c>
      <c r="B2734" t="s">
        <v>1115</v>
      </c>
      <c r="C2734" t="s">
        <v>851</v>
      </c>
      <c r="D2734" t="s">
        <v>1073</v>
      </c>
      <c r="E2734">
        <v>1</v>
      </c>
      <c r="F2734">
        <f>_xlfn.XLOOKUP(Table1[[#This Row],[ProductID]],Products!A:A,Products!D:D,,0)</f>
        <v>100</v>
      </c>
      <c r="I2734">
        <v>349</v>
      </c>
      <c r="J2734">
        <v>349</v>
      </c>
      <c r="K2734" t="s">
        <v>1102</v>
      </c>
      <c r="L2734">
        <v>349</v>
      </c>
      <c r="M2734" t="s">
        <v>1098</v>
      </c>
      <c r="N2734" t="s">
        <v>1099</v>
      </c>
      <c r="O2734">
        <f>Table1[[#This Row],[Unit_Price]]*Table1[[#This Row],[Quantity]]</f>
        <v>100</v>
      </c>
    </row>
    <row r="2735" spans="1:15" x14ac:dyDescent="0.3">
      <c r="A2735" t="s">
        <v>4547</v>
      </c>
      <c r="B2735" t="s">
        <v>1254</v>
      </c>
      <c r="C2735" t="s">
        <v>863</v>
      </c>
      <c r="D2735" t="s">
        <v>1048</v>
      </c>
      <c r="E2735">
        <v>1</v>
      </c>
      <c r="F2735">
        <f>_xlfn.XLOOKUP(Table1[[#This Row],[ProductID]],Products!A:A,Products!D:D,,0)</f>
        <v>120</v>
      </c>
      <c r="I2735">
        <v>599</v>
      </c>
      <c r="J2735">
        <v>539</v>
      </c>
      <c r="K2735" t="s">
        <v>1107</v>
      </c>
      <c r="L2735">
        <v>539</v>
      </c>
      <c r="M2735" t="s">
        <v>1098</v>
      </c>
      <c r="N2735" t="s">
        <v>1099</v>
      </c>
      <c r="O2735">
        <f>Table1[[#This Row],[Unit_Price]]*Table1[[#This Row],[Quantity]]</f>
        <v>120</v>
      </c>
    </row>
    <row r="2736" spans="1:15" x14ac:dyDescent="0.3">
      <c r="A2736" t="s">
        <v>4548</v>
      </c>
      <c r="B2736" t="s">
        <v>3448</v>
      </c>
      <c r="C2736" t="s">
        <v>481</v>
      </c>
      <c r="D2736" t="s">
        <v>1068</v>
      </c>
      <c r="E2736">
        <v>2</v>
      </c>
      <c r="F2736">
        <f>_xlfn.XLOOKUP(Table1[[#This Row],[ProductID]],Products!A:A,Products!D:D,,0)</f>
        <v>180</v>
      </c>
      <c r="I2736">
        <v>449</v>
      </c>
      <c r="J2736">
        <v>359</v>
      </c>
      <c r="K2736" t="s">
        <v>1097</v>
      </c>
      <c r="L2736">
        <v>718</v>
      </c>
      <c r="M2736" t="s">
        <v>1098</v>
      </c>
      <c r="N2736" t="s">
        <v>1099</v>
      </c>
      <c r="O2736">
        <f>Table1[[#This Row],[Unit_Price]]*Table1[[#This Row],[Quantity]]</f>
        <v>360</v>
      </c>
    </row>
    <row r="2737" spans="1:15" x14ac:dyDescent="0.3">
      <c r="A2737" t="s">
        <v>4549</v>
      </c>
      <c r="B2737" t="s">
        <v>2963</v>
      </c>
      <c r="C2737" t="s">
        <v>245</v>
      </c>
      <c r="D2737" t="s">
        <v>1048</v>
      </c>
      <c r="E2737">
        <v>2</v>
      </c>
      <c r="F2737">
        <f>_xlfn.XLOOKUP(Table1[[#This Row],[ProductID]],Products!A:A,Products!D:D,,0)</f>
        <v>120</v>
      </c>
      <c r="I2737">
        <v>599</v>
      </c>
      <c r="J2737">
        <v>539</v>
      </c>
      <c r="K2737" t="s">
        <v>1107</v>
      </c>
      <c r="L2737">
        <v>1078</v>
      </c>
      <c r="M2737" t="s">
        <v>1093</v>
      </c>
      <c r="N2737" t="s">
        <v>1099</v>
      </c>
      <c r="O2737">
        <f>Table1[[#This Row],[Unit_Price]]*Table1[[#This Row],[Quantity]]</f>
        <v>240</v>
      </c>
    </row>
    <row r="2738" spans="1:15" x14ac:dyDescent="0.3">
      <c r="A2738" t="s">
        <v>4550</v>
      </c>
      <c r="B2738" t="s">
        <v>2754</v>
      </c>
      <c r="C2738" t="s">
        <v>981</v>
      </c>
      <c r="D2738" t="s">
        <v>1057</v>
      </c>
      <c r="E2738">
        <v>1</v>
      </c>
      <c r="F2738">
        <f>_xlfn.XLOOKUP(Table1[[#This Row],[ProductID]],Products!A:A,Products!D:D,,0)</f>
        <v>130</v>
      </c>
      <c r="I2738">
        <v>549</v>
      </c>
      <c r="J2738">
        <v>467</v>
      </c>
      <c r="K2738" t="s">
        <v>1092</v>
      </c>
      <c r="L2738">
        <v>467</v>
      </c>
      <c r="M2738" t="s">
        <v>1098</v>
      </c>
      <c r="N2738" t="s">
        <v>1099</v>
      </c>
      <c r="O2738">
        <f>Table1[[#This Row],[Unit_Price]]*Table1[[#This Row],[Quantity]]</f>
        <v>130</v>
      </c>
    </row>
    <row r="2739" spans="1:15" x14ac:dyDescent="0.3">
      <c r="A2739" t="s">
        <v>4551</v>
      </c>
      <c r="B2739" t="s">
        <v>1913</v>
      </c>
      <c r="C2739" t="s">
        <v>869</v>
      </c>
      <c r="D2739" t="s">
        <v>1080</v>
      </c>
      <c r="E2739">
        <v>1</v>
      </c>
      <c r="F2739">
        <f>_xlfn.XLOOKUP(Table1[[#This Row],[ProductID]],Products!A:A,Products!D:D,,0)</f>
        <v>45</v>
      </c>
      <c r="I2739">
        <v>249</v>
      </c>
      <c r="J2739">
        <v>212</v>
      </c>
      <c r="K2739" t="s">
        <v>1092</v>
      </c>
      <c r="L2739">
        <v>212</v>
      </c>
      <c r="M2739" t="s">
        <v>1098</v>
      </c>
      <c r="N2739" t="s">
        <v>1099</v>
      </c>
      <c r="O2739">
        <f>Table1[[#This Row],[Unit_Price]]*Table1[[#This Row],[Quantity]]</f>
        <v>45</v>
      </c>
    </row>
    <row r="2740" spans="1:15" x14ac:dyDescent="0.3">
      <c r="A2740" t="s">
        <v>4552</v>
      </c>
      <c r="B2740" t="s">
        <v>2847</v>
      </c>
      <c r="C2740" t="s">
        <v>787</v>
      </c>
      <c r="D2740" t="s">
        <v>1068</v>
      </c>
      <c r="E2740">
        <v>1</v>
      </c>
      <c r="F2740">
        <f>_xlfn.XLOOKUP(Table1[[#This Row],[ProductID]],Products!A:A,Products!D:D,,0)</f>
        <v>180</v>
      </c>
      <c r="I2740">
        <v>449</v>
      </c>
      <c r="J2740">
        <v>359</v>
      </c>
      <c r="K2740" t="s">
        <v>1097</v>
      </c>
      <c r="L2740">
        <v>359</v>
      </c>
      <c r="M2740" t="s">
        <v>1098</v>
      </c>
      <c r="N2740" t="s">
        <v>1099</v>
      </c>
      <c r="O2740">
        <f>Table1[[#This Row],[Unit_Price]]*Table1[[#This Row],[Quantity]]</f>
        <v>180</v>
      </c>
    </row>
    <row r="2741" spans="1:15" x14ac:dyDescent="0.3">
      <c r="A2741" t="s">
        <v>4553</v>
      </c>
      <c r="B2741" t="s">
        <v>1859</v>
      </c>
      <c r="C2741" t="s">
        <v>501</v>
      </c>
      <c r="D2741" t="s">
        <v>1071</v>
      </c>
      <c r="E2741">
        <v>1</v>
      </c>
      <c r="F2741">
        <f>_xlfn.XLOOKUP(Table1[[#This Row],[ProductID]],Products!A:A,Products!D:D,,0)</f>
        <v>125</v>
      </c>
      <c r="I2741">
        <v>399</v>
      </c>
      <c r="J2741">
        <v>319</v>
      </c>
      <c r="K2741" t="s">
        <v>1097</v>
      </c>
      <c r="L2741">
        <v>319</v>
      </c>
      <c r="M2741" t="s">
        <v>1098</v>
      </c>
      <c r="N2741" t="s">
        <v>1099</v>
      </c>
      <c r="O2741">
        <f>Table1[[#This Row],[Unit_Price]]*Table1[[#This Row],[Quantity]]</f>
        <v>125</v>
      </c>
    </row>
    <row r="2742" spans="1:15" x14ac:dyDescent="0.3">
      <c r="A2742" t="s">
        <v>4554</v>
      </c>
      <c r="B2742" t="s">
        <v>1292</v>
      </c>
      <c r="C2742" t="s">
        <v>729</v>
      </c>
      <c r="D2742" t="s">
        <v>1075</v>
      </c>
      <c r="E2742">
        <v>1</v>
      </c>
      <c r="F2742">
        <f>_xlfn.XLOOKUP(Table1[[#This Row],[ProductID]],Products!A:A,Products!D:D,,0)</f>
        <v>80</v>
      </c>
      <c r="I2742">
        <v>499</v>
      </c>
      <c r="J2742">
        <v>449</v>
      </c>
      <c r="K2742" t="s">
        <v>1107</v>
      </c>
      <c r="L2742">
        <v>449</v>
      </c>
      <c r="M2742" t="s">
        <v>1098</v>
      </c>
      <c r="N2742" t="s">
        <v>1099</v>
      </c>
      <c r="O2742">
        <f>Table1[[#This Row],[Unit_Price]]*Table1[[#This Row],[Quantity]]</f>
        <v>80</v>
      </c>
    </row>
    <row r="2743" spans="1:15" x14ac:dyDescent="0.3">
      <c r="A2743" t="s">
        <v>4555</v>
      </c>
      <c r="B2743" t="s">
        <v>1686</v>
      </c>
      <c r="C2743" t="s">
        <v>375</v>
      </c>
      <c r="D2743" t="s">
        <v>1073</v>
      </c>
      <c r="E2743">
        <v>2</v>
      </c>
      <c r="F2743">
        <f>_xlfn.XLOOKUP(Table1[[#This Row],[ProductID]],Products!A:A,Products!D:D,,0)</f>
        <v>100</v>
      </c>
      <c r="I2743">
        <v>349</v>
      </c>
      <c r="J2743">
        <v>314</v>
      </c>
      <c r="K2743" t="s">
        <v>1107</v>
      </c>
      <c r="L2743">
        <v>628</v>
      </c>
      <c r="M2743" t="s">
        <v>1098</v>
      </c>
      <c r="N2743" t="s">
        <v>1099</v>
      </c>
      <c r="O2743">
        <f>Table1[[#This Row],[Unit_Price]]*Table1[[#This Row],[Quantity]]</f>
        <v>200</v>
      </c>
    </row>
    <row r="2744" spans="1:15" x14ac:dyDescent="0.3">
      <c r="A2744" t="s">
        <v>4556</v>
      </c>
      <c r="B2744" t="s">
        <v>3607</v>
      </c>
      <c r="C2744" t="s">
        <v>325</v>
      </c>
      <c r="D2744" t="s">
        <v>1059</v>
      </c>
      <c r="E2744">
        <v>1</v>
      </c>
      <c r="F2744">
        <f>_xlfn.XLOOKUP(Table1[[#This Row],[ProductID]],Products!A:A,Products!D:D,,0)</f>
        <v>110</v>
      </c>
      <c r="I2744">
        <v>399</v>
      </c>
      <c r="J2744">
        <v>319</v>
      </c>
      <c r="K2744" t="s">
        <v>1097</v>
      </c>
      <c r="L2744">
        <v>319</v>
      </c>
      <c r="M2744" t="s">
        <v>1098</v>
      </c>
      <c r="N2744" t="s">
        <v>1123</v>
      </c>
      <c r="O2744">
        <f>Table1[[#This Row],[Unit_Price]]*Table1[[#This Row],[Quantity]]</f>
        <v>110</v>
      </c>
    </row>
    <row r="2745" spans="1:15" x14ac:dyDescent="0.3">
      <c r="A2745" t="s">
        <v>4557</v>
      </c>
      <c r="B2745" t="s">
        <v>2628</v>
      </c>
      <c r="C2745" t="s">
        <v>789</v>
      </c>
      <c r="D2745" t="s">
        <v>1078</v>
      </c>
      <c r="E2745">
        <v>1</v>
      </c>
      <c r="F2745">
        <f>_xlfn.XLOOKUP(Table1[[#This Row],[ProductID]],Products!A:A,Products!D:D,,0)</f>
        <v>80</v>
      </c>
      <c r="I2745">
        <v>499</v>
      </c>
      <c r="J2745">
        <v>499</v>
      </c>
      <c r="K2745" t="s">
        <v>1102</v>
      </c>
      <c r="L2745">
        <v>499</v>
      </c>
      <c r="M2745" t="s">
        <v>1093</v>
      </c>
      <c r="N2745" t="s">
        <v>1094</v>
      </c>
      <c r="O2745">
        <f>Table1[[#This Row],[Unit_Price]]*Table1[[#This Row],[Quantity]]</f>
        <v>80</v>
      </c>
    </row>
    <row r="2746" spans="1:15" x14ac:dyDescent="0.3">
      <c r="A2746" t="s">
        <v>4558</v>
      </c>
      <c r="B2746" t="s">
        <v>1416</v>
      </c>
      <c r="C2746" t="s">
        <v>231</v>
      </c>
      <c r="D2746" t="s">
        <v>1055</v>
      </c>
      <c r="E2746">
        <v>1</v>
      </c>
      <c r="F2746">
        <f>_xlfn.XLOOKUP(Table1[[#This Row],[ProductID]],Products!A:A,Products!D:D,,0)</f>
        <v>75</v>
      </c>
      <c r="I2746">
        <v>299</v>
      </c>
      <c r="J2746">
        <v>254</v>
      </c>
      <c r="K2746" t="s">
        <v>1092</v>
      </c>
      <c r="L2746">
        <v>254</v>
      </c>
      <c r="M2746" t="s">
        <v>1126</v>
      </c>
      <c r="N2746" t="s">
        <v>1099</v>
      </c>
      <c r="O2746">
        <f>Table1[[#This Row],[Unit_Price]]*Table1[[#This Row],[Quantity]]</f>
        <v>75</v>
      </c>
    </row>
    <row r="2747" spans="1:15" x14ac:dyDescent="0.3">
      <c r="A2747" t="s">
        <v>4559</v>
      </c>
      <c r="B2747" t="s">
        <v>2760</v>
      </c>
      <c r="C2747" t="s">
        <v>567</v>
      </c>
      <c r="D2747" t="s">
        <v>1068</v>
      </c>
      <c r="E2747">
        <v>1</v>
      </c>
      <c r="F2747">
        <f>_xlfn.XLOOKUP(Table1[[#This Row],[ProductID]],Products!A:A,Products!D:D,,0)</f>
        <v>180</v>
      </c>
      <c r="I2747">
        <v>449</v>
      </c>
      <c r="J2747">
        <v>449</v>
      </c>
      <c r="K2747" t="s">
        <v>1102</v>
      </c>
      <c r="L2747">
        <v>449</v>
      </c>
      <c r="M2747" t="s">
        <v>1118</v>
      </c>
      <c r="N2747" t="s">
        <v>1099</v>
      </c>
      <c r="O2747">
        <f>Table1[[#This Row],[Unit_Price]]*Table1[[#This Row],[Quantity]]</f>
        <v>180</v>
      </c>
    </row>
    <row r="2748" spans="1:15" x14ac:dyDescent="0.3">
      <c r="A2748" t="s">
        <v>4560</v>
      </c>
      <c r="B2748" t="s">
        <v>1572</v>
      </c>
      <c r="C2748" t="s">
        <v>415</v>
      </c>
      <c r="D2748" t="s">
        <v>1048</v>
      </c>
      <c r="E2748">
        <v>1</v>
      </c>
      <c r="F2748">
        <f>_xlfn.XLOOKUP(Table1[[#This Row],[ProductID]],Products!A:A,Products!D:D,,0)</f>
        <v>120</v>
      </c>
      <c r="I2748">
        <v>599</v>
      </c>
      <c r="J2748">
        <v>539</v>
      </c>
      <c r="K2748" t="s">
        <v>1107</v>
      </c>
      <c r="L2748">
        <v>539</v>
      </c>
      <c r="M2748" t="s">
        <v>1126</v>
      </c>
      <c r="N2748" t="s">
        <v>1094</v>
      </c>
      <c r="O2748">
        <f>Table1[[#This Row],[Unit_Price]]*Table1[[#This Row],[Quantity]]</f>
        <v>120</v>
      </c>
    </row>
    <row r="2749" spans="1:15" x14ac:dyDescent="0.3">
      <c r="A2749" t="s">
        <v>4561</v>
      </c>
      <c r="B2749" t="s">
        <v>1132</v>
      </c>
      <c r="C2749" t="s">
        <v>591</v>
      </c>
      <c r="D2749" t="s">
        <v>1053</v>
      </c>
      <c r="E2749">
        <v>1</v>
      </c>
      <c r="F2749">
        <f>_xlfn.XLOOKUP(Table1[[#This Row],[ProductID]],Products!A:A,Products!D:D,,0)</f>
        <v>200</v>
      </c>
      <c r="I2749">
        <v>899</v>
      </c>
      <c r="J2749">
        <v>719</v>
      </c>
      <c r="K2749" t="s">
        <v>1097</v>
      </c>
      <c r="L2749">
        <v>719</v>
      </c>
      <c r="M2749" t="s">
        <v>1098</v>
      </c>
      <c r="N2749" t="s">
        <v>1099</v>
      </c>
      <c r="O2749">
        <f>Table1[[#This Row],[Unit_Price]]*Table1[[#This Row],[Quantity]]</f>
        <v>200</v>
      </c>
    </row>
    <row r="2750" spans="1:15" x14ac:dyDescent="0.3">
      <c r="A2750" t="s">
        <v>4562</v>
      </c>
      <c r="B2750" t="s">
        <v>2008</v>
      </c>
      <c r="C2750" t="s">
        <v>191</v>
      </c>
      <c r="D2750" t="s">
        <v>1071</v>
      </c>
      <c r="E2750">
        <v>3</v>
      </c>
      <c r="F2750">
        <f>_xlfn.XLOOKUP(Table1[[#This Row],[ProductID]],Products!A:A,Products!D:D,,0)</f>
        <v>125</v>
      </c>
      <c r="I2750">
        <v>399</v>
      </c>
      <c r="J2750">
        <v>399</v>
      </c>
      <c r="K2750" t="s">
        <v>1102</v>
      </c>
      <c r="L2750">
        <v>1197</v>
      </c>
      <c r="M2750" t="s">
        <v>1098</v>
      </c>
      <c r="N2750" t="s">
        <v>1123</v>
      </c>
      <c r="O2750">
        <f>Table1[[#This Row],[Unit_Price]]*Table1[[#This Row],[Quantity]]</f>
        <v>375</v>
      </c>
    </row>
    <row r="2751" spans="1:15" x14ac:dyDescent="0.3">
      <c r="A2751" t="s">
        <v>4563</v>
      </c>
      <c r="B2751" t="s">
        <v>1990</v>
      </c>
      <c r="C2751" t="s">
        <v>883</v>
      </c>
      <c r="D2751" t="s">
        <v>1055</v>
      </c>
      <c r="E2751">
        <v>1</v>
      </c>
      <c r="F2751">
        <f>_xlfn.XLOOKUP(Table1[[#This Row],[ProductID]],Products!A:A,Products!D:D,,0)</f>
        <v>75</v>
      </c>
      <c r="I2751">
        <v>299</v>
      </c>
      <c r="J2751">
        <v>254</v>
      </c>
      <c r="K2751" t="s">
        <v>1092</v>
      </c>
      <c r="L2751">
        <v>254</v>
      </c>
      <c r="M2751" t="s">
        <v>1093</v>
      </c>
      <c r="N2751" t="s">
        <v>1094</v>
      </c>
      <c r="O2751">
        <f>Table1[[#This Row],[Unit_Price]]*Table1[[#This Row],[Quantity]]</f>
        <v>75</v>
      </c>
    </row>
    <row r="2752" spans="1:15" x14ac:dyDescent="0.3">
      <c r="A2752" t="s">
        <v>4564</v>
      </c>
      <c r="B2752" t="s">
        <v>4565</v>
      </c>
      <c r="C2752" t="s">
        <v>969</v>
      </c>
      <c r="D2752" t="s">
        <v>1057</v>
      </c>
      <c r="E2752">
        <v>3</v>
      </c>
      <c r="F2752">
        <f>_xlfn.XLOOKUP(Table1[[#This Row],[ProductID]],Products!A:A,Products!D:D,,0)</f>
        <v>130</v>
      </c>
      <c r="I2752">
        <v>549</v>
      </c>
      <c r="J2752">
        <v>439</v>
      </c>
      <c r="K2752" t="s">
        <v>1097</v>
      </c>
      <c r="L2752">
        <v>1317</v>
      </c>
      <c r="M2752" t="s">
        <v>1098</v>
      </c>
      <c r="N2752" t="s">
        <v>1099</v>
      </c>
      <c r="O2752">
        <f>Table1[[#This Row],[Unit_Price]]*Table1[[#This Row],[Quantity]]</f>
        <v>390</v>
      </c>
    </row>
    <row r="2753" spans="1:15" x14ac:dyDescent="0.3">
      <c r="A2753" t="s">
        <v>4566</v>
      </c>
      <c r="B2753" t="s">
        <v>3323</v>
      </c>
      <c r="C2753" t="s">
        <v>955</v>
      </c>
      <c r="D2753" t="s">
        <v>1073</v>
      </c>
      <c r="E2753">
        <v>4</v>
      </c>
      <c r="F2753">
        <f>_xlfn.XLOOKUP(Table1[[#This Row],[ProductID]],Products!A:A,Products!D:D,,0)</f>
        <v>100</v>
      </c>
      <c r="I2753">
        <v>349</v>
      </c>
      <c r="J2753">
        <v>314</v>
      </c>
      <c r="K2753" t="s">
        <v>1107</v>
      </c>
      <c r="L2753">
        <v>1256</v>
      </c>
      <c r="M2753" t="s">
        <v>1118</v>
      </c>
      <c r="N2753" t="s">
        <v>1099</v>
      </c>
      <c r="O2753">
        <f>Table1[[#This Row],[Unit_Price]]*Table1[[#This Row],[Quantity]]</f>
        <v>400</v>
      </c>
    </row>
    <row r="2754" spans="1:15" x14ac:dyDescent="0.3">
      <c r="A2754" t="s">
        <v>4567</v>
      </c>
      <c r="B2754" t="s">
        <v>3289</v>
      </c>
      <c r="C2754" t="s">
        <v>477</v>
      </c>
      <c r="D2754" t="s">
        <v>1051</v>
      </c>
      <c r="E2754">
        <v>1</v>
      </c>
      <c r="F2754">
        <f>_xlfn.XLOOKUP(Table1[[#This Row],[ProductID]],Products!A:A,Products!D:D,,0)</f>
        <v>150</v>
      </c>
      <c r="I2754">
        <v>499</v>
      </c>
      <c r="J2754">
        <v>399</v>
      </c>
      <c r="K2754" t="s">
        <v>1097</v>
      </c>
      <c r="L2754">
        <v>399</v>
      </c>
      <c r="M2754" t="s">
        <v>1098</v>
      </c>
      <c r="N2754" t="s">
        <v>1099</v>
      </c>
      <c r="O2754">
        <f>Table1[[#This Row],[Unit_Price]]*Table1[[#This Row],[Quantity]]</f>
        <v>150</v>
      </c>
    </row>
    <row r="2755" spans="1:15" x14ac:dyDescent="0.3">
      <c r="A2755" t="s">
        <v>4568</v>
      </c>
      <c r="B2755" t="s">
        <v>1329</v>
      </c>
      <c r="C2755" t="s">
        <v>591</v>
      </c>
      <c r="D2755" t="s">
        <v>1073</v>
      </c>
      <c r="E2755">
        <v>1</v>
      </c>
      <c r="F2755">
        <f>_xlfn.XLOOKUP(Table1[[#This Row],[ProductID]],Products!A:A,Products!D:D,,0)</f>
        <v>100</v>
      </c>
      <c r="I2755">
        <v>349</v>
      </c>
      <c r="J2755">
        <v>314</v>
      </c>
      <c r="K2755" t="s">
        <v>1107</v>
      </c>
      <c r="L2755">
        <v>314</v>
      </c>
      <c r="M2755" t="s">
        <v>1093</v>
      </c>
      <c r="N2755" t="s">
        <v>1099</v>
      </c>
      <c r="O2755">
        <f>Table1[[#This Row],[Unit_Price]]*Table1[[#This Row],[Quantity]]</f>
        <v>100</v>
      </c>
    </row>
    <row r="2756" spans="1:15" x14ac:dyDescent="0.3">
      <c r="A2756" t="s">
        <v>4569</v>
      </c>
      <c r="B2756" t="s">
        <v>2102</v>
      </c>
      <c r="C2756" t="s">
        <v>179</v>
      </c>
      <c r="D2756" t="s">
        <v>1068</v>
      </c>
      <c r="E2756">
        <v>2</v>
      </c>
      <c r="F2756">
        <f>_xlfn.XLOOKUP(Table1[[#This Row],[ProductID]],Products!A:A,Products!D:D,,0)</f>
        <v>180</v>
      </c>
      <c r="I2756">
        <v>449</v>
      </c>
      <c r="J2756">
        <v>449</v>
      </c>
      <c r="K2756" t="s">
        <v>1102</v>
      </c>
      <c r="L2756">
        <v>898</v>
      </c>
      <c r="M2756" t="s">
        <v>1126</v>
      </c>
      <c r="N2756" t="s">
        <v>1099</v>
      </c>
      <c r="O2756">
        <f>Table1[[#This Row],[Unit_Price]]*Table1[[#This Row],[Quantity]]</f>
        <v>360</v>
      </c>
    </row>
    <row r="2757" spans="1:15" x14ac:dyDescent="0.3">
      <c r="A2757" t="s">
        <v>4570</v>
      </c>
      <c r="B2757" t="s">
        <v>1319</v>
      </c>
      <c r="C2757" t="s">
        <v>737</v>
      </c>
      <c r="D2757" t="s">
        <v>1064</v>
      </c>
      <c r="E2757">
        <v>1</v>
      </c>
      <c r="F2757">
        <f>_xlfn.XLOOKUP(Table1[[#This Row],[ProductID]],Products!A:A,Products!D:D,,0)</f>
        <v>160</v>
      </c>
      <c r="I2757">
        <v>699</v>
      </c>
      <c r="J2757">
        <v>594</v>
      </c>
      <c r="K2757" t="s">
        <v>1092</v>
      </c>
      <c r="L2757">
        <v>594</v>
      </c>
      <c r="M2757" t="s">
        <v>1098</v>
      </c>
      <c r="N2757" t="s">
        <v>1099</v>
      </c>
      <c r="O2757">
        <f>Table1[[#This Row],[Unit_Price]]*Table1[[#This Row],[Quantity]]</f>
        <v>160</v>
      </c>
    </row>
    <row r="2758" spans="1:15" x14ac:dyDescent="0.3">
      <c r="A2758" t="s">
        <v>4571</v>
      </c>
      <c r="B2758" t="s">
        <v>1561</v>
      </c>
      <c r="C2758" t="s">
        <v>589</v>
      </c>
      <c r="D2758" t="s">
        <v>1059</v>
      </c>
      <c r="E2758">
        <v>1</v>
      </c>
      <c r="F2758">
        <f>_xlfn.XLOOKUP(Table1[[#This Row],[ProductID]],Products!A:A,Products!D:D,,0)</f>
        <v>110</v>
      </c>
      <c r="I2758">
        <v>399</v>
      </c>
      <c r="J2758">
        <v>399</v>
      </c>
      <c r="K2758" t="s">
        <v>1102</v>
      </c>
      <c r="L2758">
        <v>399</v>
      </c>
      <c r="M2758" t="s">
        <v>1093</v>
      </c>
      <c r="N2758" t="s">
        <v>1099</v>
      </c>
      <c r="O2758">
        <f>Table1[[#This Row],[Unit_Price]]*Table1[[#This Row],[Quantity]]</f>
        <v>110</v>
      </c>
    </row>
    <row r="2759" spans="1:15" x14ac:dyDescent="0.3">
      <c r="A2759" t="s">
        <v>4572</v>
      </c>
      <c r="B2759" t="s">
        <v>3032</v>
      </c>
      <c r="C2759" t="s">
        <v>431</v>
      </c>
      <c r="D2759" t="s">
        <v>1075</v>
      </c>
      <c r="E2759">
        <v>2</v>
      </c>
      <c r="F2759">
        <f>_xlfn.XLOOKUP(Table1[[#This Row],[ProductID]],Products!A:A,Products!D:D,,0)</f>
        <v>80</v>
      </c>
      <c r="I2759">
        <v>499</v>
      </c>
      <c r="J2759">
        <v>424</v>
      </c>
      <c r="K2759" t="s">
        <v>1092</v>
      </c>
      <c r="L2759">
        <v>848</v>
      </c>
      <c r="M2759" t="s">
        <v>1093</v>
      </c>
      <c r="N2759" t="s">
        <v>1094</v>
      </c>
      <c r="O2759">
        <f>Table1[[#This Row],[Unit_Price]]*Table1[[#This Row],[Quantity]]</f>
        <v>160</v>
      </c>
    </row>
    <row r="2760" spans="1:15" x14ac:dyDescent="0.3">
      <c r="A2760" t="s">
        <v>4573</v>
      </c>
      <c r="B2760" t="s">
        <v>1997</v>
      </c>
      <c r="C2760" t="s">
        <v>791</v>
      </c>
      <c r="D2760" t="s">
        <v>1075</v>
      </c>
      <c r="E2760">
        <v>2</v>
      </c>
      <c r="F2760">
        <f>_xlfn.XLOOKUP(Table1[[#This Row],[ProductID]],Products!A:A,Products!D:D,,0)</f>
        <v>80</v>
      </c>
      <c r="I2760">
        <v>499</v>
      </c>
      <c r="J2760">
        <v>424</v>
      </c>
      <c r="K2760" t="s">
        <v>1092</v>
      </c>
      <c r="L2760">
        <v>848</v>
      </c>
      <c r="M2760" t="s">
        <v>1126</v>
      </c>
      <c r="N2760" t="s">
        <v>1099</v>
      </c>
      <c r="O2760">
        <f>Table1[[#This Row],[Unit_Price]]*Table1[[#This Row],[Quantity]]</f>
        <v>160</v>
      </c>
    </row>
    <row r="2761" spans="1:15" x14ac:dyDescent="0.3">
      <c r="A2761" t="s">
        <v>4574</v>
      </c>
      <c r="B2761" t="s">
        <v>1765</v>
      </c>
      <c r="C2761" t="s">
        <v>737</v>
      </c>
      <c r="D2761" t="s">
        <v>1055</v>
      </c>
      <c r="E2761">
        <v>1</v>
      </c>
      <c r="F2761">
        <f>_xlfn.XLOOKUP(Table1[[#This Row],[ProductID]],Products!A:A,Products!D:D,,0)</f>
        <v>75</v>
      </c>
      <c r="I2761">
        <v>299</v>
      </c>
      <c r="J2761">
        <v>269</v>
      </c>
      <c r="K2761" t="s">
        <v>1107</v>
      </c>
      <c r="L2761">
        <v>269</v>
      </c>
      <c r="M2761" t="s">
        <v>1093</v>
      </c>
      <c r="N2761" t="s">
        <v>1094</v>
      </c>
      <c r="O2761">
        <f>Table1[[#This Row],[Unit_Price]]*Table1[[#This Row],[Quantity]]</f>
        <v>75</v>
      </c>
    </row>
    <row r="2762" spans="1:15" x14ac:dyDescent="0.3">
      <c r="A2762" t="s">
        <v>4575</v>
      </c>
      <c r="B2762" t="s">
        <v>1686</v>
      </c>
      <c r="C2762" t="s">
        <v>819</v>
      </c>
      <c r="D2762" t="s">
        <v>1068</v>
      </c>
      <c r="E2762">
        <v>1</v>
      </c>
      <c r="F2762">
        <f>_xlfn.XLOOKUP(Table1[[#This Row],[ProductID]],Products!A:A,Products!D:D,,0)</f>
        <v>180</v>
      </c>
      <c r="I2762">
        <v>449</v>
      </c>
      <c r="J2762">
        <v>449</v>
      </c>
      <c r="K2762" t="s">
        <v>1102</v>
      </c>
      <c r="L2762">
        <v>449</v>
      </c>
      <c r="M2762" t="s">
        <v>1093</v>
      </c>
      <c r="N2762" t="s">
        <v>1094</v>
      </c>
      <c r="O2762">
        <f>Table1[[#This Row],[Unit_Price]]*Table1[[#This Row],[Quantity]]</f>
        <v>180</v>
      </c>
    </row>
    <row r="2763" spans="1:15" x14ac:dyDescent="0.3">
      <c r="A2763" t="s">
        <v>4576</v>
      </c>
      <c r="B2763" t="s">
        <v>1221</v>
      </c>
      <c r="C2763" t="s">
        <v>203</v>
      </c>
      <c r="D2763" t="s">
        <v>1053</v>
      </c>
      <c r="E2763">
        <v>2</v>
      </c>
      <c r="F2763">
        <f>_xlfn.XLOOKUP(Table1[[#This Row],[ProductID]],Products!A:A,Products!D:D,,0)</f>
        <v>200</v>
      </c>
      <c r="I2763">
        <v>899</v>
      </c>
      <c r="J2763">
        <v>809</v>
      </c>
      <c r="K2763" t="s">
        <v>1107</v>
      </c>
      <c r="L2763">
        <v>1618</v>
      </c>
      <c r="M2763" t="s">
        <v>1093</v>
      </c>
      <c r="N2763" t="s">
        <v>1099</v>
      </c>
      <c r="O2763">
        <f>Table1[[#This Row],[Unit_Price]]*Table1[[#This Row],[Quantity]]</f>
        <v>400</v>
      </c>
    </row>
    <row r="2764" spans="1:15" x14ac:dyDescent="0.3">
      <c r="A2764" t="s">
        <v>4577</v>
      </c>
      <c r="B2764" t="s">
        <v>1570</v>
      </c>
      <c r="C2764" t="s">
        <v>249</v>
      </c>
      <c r="D2764" t="s">
        <v>1080</v>
      </c>
      <c r="E2764">
        <v>4</v>
      </c>
      <c r="F2764">
        <f>_xlfn.XLOOKUP(Table1[[#This Row],[ProductID]],Products!A:A,Products!D:D,,0)</f>
        <v>45</v>
      </c>
      <c r="I2764">
        <v>249</v>
      </c>
      <c r="J2764">
        <v>224</v>
      </c>
      <c r="K2764" t="s">
        <v>1107</v>
      </c>
      <c r="L2764">
        <v>896</v>
      </c>
      <c r="M2764" t="s">
        <v>1126</v>
      </c>
      <c r="N2764" t="s">
        <v>1099</v>
      </c>
      <c r="O2764">
        <f>Table1[[#This Row],[Unit_Price]]*Table1[[#This Row],[Quantity]]</f>
        <v>180</v>
      </c>
    </row>
    <row r="2765" spans="1:15" x14ac:dyDescent="0.3">
      <c r="A2765" t="s">
        <v>4578</v>
      </c>
      <c r="B2765" t="s">
        <v>1226</v>
      </c>
      <c r="C2765" t="s">
        <v>108</v>
      </c>
      <c r="D2765" t="s">
        <v>1075</v>
      </c>
      <c r="E2765">
        <v>1</v>
      </c>
      <c r="F2765">
        <f>_xlfn.XLOOKUP(Table1[[#This Row],[ProductID]],Products!A:A,Products!D:D,,0)</f>
        <v>80</v>
      </c>
      <c r="I2765">
        <v>499</v>
      </c>
      <c r="J2765">
        <v>499</v>
      </c>
      <c r="K2765" t="s">
        <v>1102</v>
      </c>
      <c r="L2765">
        <v>499</v>
      </c>
      <c r="M2765" t="s">
        <v>1093</v>
      </c>
      <c r="N2765" t="s">
        <v>1099</v>
      </c>
      <c r="O2765">
        <f>Table1[[#This Row],[Unit_Price]]*Table1[[#This Row],[Quantity]]</f>
        <v>80</v>
      </c>
    </row>
    <row r="2766" spans="1:15" x14ac:dyDescent="0.3">
      <c r="A2766" t="s">
        <v>4579</v>
      </c>
      <c r="B2766" t="s">
        <v>2382</v>
      </c>
      <c r="C2766" t="s">
        <v>453</v>
      </c>
      <c r="D2766" t="s">
        <v>1055</v>
      </c>
      <c r="E2766">
        <v>1</v>
      </c>
      <c r="F2766">
        <f>_xlfn.XLOOKUP(Table1[[#This Row],[ProductID]],Products!A:A,Products!D:D,,0)</f>
        <v>75</v>
      </c>
      <c r="I2766">
        <v>299</v>
      </c>
      <c r="J2766">
        <v>254</v>
      </c>
      <c r="K2766" t="s">
        <v>1092</v>
      </c>
      <c r="L2766">
        <v>254</v>
      </c>
      <c r="M2766" t="s">
        <v>1093</v>
      </c>
      <c r="N2766" t="s">
        <v>1099</v>
      </c>
      <c r="O2766">
        <f>Table1[[#This Row],[Unit_Price]]*Table1[[#This Row],[Quantity]]</f>
        <v>75</v>
      </c>
    </row>
    <row r="2767" spans="1:15" x14ac:dyDescent="0.3">
      <c r="A2767" t="s">
        <v>4580</v>
      </c>
      <c r="B2767" t="s">
        <v>1315</v>
      </c>
      <c r="C2767" t="s">
        <v>699</v>
      </c>
      <c r="D2767" t="s">
        <v>1071</v>
      </c>
      <c r="E2767">
        <v>3</v>
      </c>
      <c r="F2767">
        <f>_xlfn.XLOOKUP(Table1[[#This Row],[ProductID]],Products!A:A,Products!D:D,,0)</f>
        <v>125</v>
      </c>
      <c r="I2767">
        <v>399</v>
      </c>
      <c r="J2767">
        <v>399</v>
      </c>
      <c r="K2767" t="s">
        <v>1102</v>
      </c>
      <c r="L2767">
        <v>1197</v>
      </c>
      <c r="M2767" t="s">
        <v>1098</v>
      </c>
      <c r="N2767" t="s">
        <v>1099</v>
      </c>
      <c r="O2767">
        <f>Table1[[#This Row],[Unit_Price]]*Table1[[#This Row],[Quantity]]</f>
        <v>375</v>
      </c>
    </row>
    <row r="2768" spans="1:15" x14ac:dyDescent="0.3">
      <c r="A2768" t="s">
        <v>4581</v>
      </c>
      <c r="B2768" t="s">
        <v>1213</v>
      </c>
      <c r="C2768" t="s">
        <v>719</v>
      </c>
      <c r="D2768" t="s">
        <v>1075</v>
      </c>
      <c r="E2768">
        <v>1</v>
      </c>
      <c r="F2768">
        <f>_xlfn.XLOOKUP(Table1[[#This Row],[ProductID]],Products!A:A,Products!D:D,,0)</f>
        <v>80</v>
      </c>
      <c r="I2768">
        <v>499</v>
      </c>
      <c r="J2768">
        <v>399</v>
      </c>
      <c r="K2768" t="s">
        <v>1097</v>
      </c>
      <c r="L2768">
        <v>399</v>
      </c>
      <c r="M2768" t="s">
        <v>1093</v>
      </c>
      <c r="N2768" t="s">
        <v>1099</v>
      </c>
      <c r="O2768">
        <f>Table1[[#This Row],[Unit_Price]]*Table1[[#This Row],[Quantity]]</f>
        <v>80</v>
      </c>
    </row>
    <row r="2769" spans="1:15" x14ac:dyDescent="0.3">
      <c r="A2769" t="s">
        <v>4582</v>
      </c>
      <c r="B2769" t="s">
        <v>1396</v>
      </c>
      <c r="C2769" t="s">
        <v>799</v>
      </c>
      <c r="D2769" t="s">
        <v>1051</v>
      </c>
      <c r="E2769">
        <v>3</v>
      </c>
      <c r="F2769">
        <f>_xlfn.XLOOKUP(Table1[[#This Row],[ProductID]],Products!A:A,Products!D:D,,0)</f>
        <v>150</v>
      </c>
      <c r="I2769">
        <v>499</v>
      </c>
      <c r="J2769">
        <v>399</v>
      </c>
      <c r="K2769" t="s">
        <v>1097</v>
      </c>
      <c r="L2769">
        <v>1197</v>
      </c>
      <c r="M2769" t="s">
        <v>1126</v>
      </c>
      <c r="N2769" t="s">
        <v>1099</v>
      </c>
      <c r="O2769">
        <f>Table1[[#This Row],[Unit_Price]]*Table1[[#This Row],[Quantity]]</f>
        <v>450</v>
      </c>
    </row>
    <row r="2770" spans="1:15" x14ac:dyDescent="0.3">
      <c r="A2770" t="s">
        <v>4583</v>
      </c>
      <c r="B2770" t="s">
        <v>1459</v>
      </c>
      <c r="C2770" t="s">
        <v>261</v>
      </c>
      <c r="D2770" t="s">
        <v>1051</v>
      </c>
      <c r="E2770">
        <v>1</v>
      </c>
      <c r="F2770">
        <f>_xlfn.XLOOKUP(Table1[[#This Row],[ProductID]],Products!A:A,Products!D:D,,0)</f>
        <v>150</v>
      </c>
      <c r="I2770">
        <v>499</v>
      </c>
      <c r="J2770">
        <v>424</v>
      </c>
      <c r="K2770" t="s">
        <v>1092</v>
      </c>
      <c r="L2770">
        <v>424</v>
      </c>
      <c r="M2770" t="s">
        <v>1093</v>
      </c>
      <c r="N2770" t="s">
        <v>1099</v>
      </c>
      <c r="O2770">
        <f>Table1[[#This Row],[Unit_Price]]*Table1[[#This Row],[Quantity]]</f>
        <v>150</v>
      </c>
    </row>
    <row r="2771" spans="1:15" x14ac:dyDescent="0.3">
      <c r="A2771" t="s">
        <v>4584</v>
      </c>
      <c r="B2771" t="s">
        <v>1790</v>
      </c>
      <c r="C2771" t="s">
        <v>621</v>
      </c>
      <c r="D2771" t="s">
        <v>1078</v>
      </c>
      <c r="E2771">
        <v>2</v>
      </c>
      <c r="F2771">
        <f>_xlfn.XLOOKUP(Table1[[#This Row],[ProductID]],Products!A:A,Products!D:D,,0)</f>
        <v>80</v>
      </c>
      <c r="I2771">
        <v>499</v>
      </c>
      <c r="J2771">
        <v>499</v>
      </c>
      <c r="K2771" t="s">
        <v>1102</v>
      </c>
      <c r="L2771">
        <v>998</v>
      </c>
      <c r="M2771" t="s">
        <v>1098</v>
      </c>
      <c r="N2771" t="s">
        <v>1099</v>
      </c>
      <c r="O2771">
        <f>Table1[[#This Row],[Unit_Price]]*Table1[[#This Row],[Quantity]]</f>
        <v>160</v>
      </c>
    </row>
    <row r="2772" spans="1:15" x14ac:dyDescent="0.3">
      <c r="A2772" t="s">
        <v>4585</v>
      </c>
      <c r="B2772" t="s">
        <v>1655</v>
      </c>
      <c r="C2772" t="s">
        <v>275</v>
      </c>
      <c r="D2772" t="s">
        <v>1066</v>
      </c>
      <c r="E2772">
        <v>3</v>
      </c>
      <c r="F2772">
        <f>_xlfn.XLOOKUP(Table1[[#This Row],[ProductID]],Products!A:A,Products!D:D,,0)</f>
        <v>140</v>
      </c>
      <c r="I2772">
        <v>499</v>
      </c>
      <c r="J2772">
        <v>449</v>
      </c>
      <c r="K2772" t="s">
        <v>1107</v>
      </c>
      <c r="L2772">
        <v>1347</v>
      </c>
      <c r="M2772" t="s">
        <v>1098</v>
      </c>
      <c r="N2772" t="s">
        <v>1099</v>
      </c>
      <c r="O2772">
        <f>Table1[[#This Row],[Unit_Price]]*Table1[[#This Row],[Quantity]]</f>
        <v>420</v>
      </c>
    </row>
    <row r="2773" spans="1:15" x14ac:dyDescent="0.3">
      <c r="A2773" t="s">
        <v>4586</v>
      </c>
      <c r="B2773" t="s">
        <v>1182</v>
      </c>
      <c r="C2773" t="s">
        <v>465</v>
      </c>
      <c r="D2773" t="s">
        <v>1064</v>
      </c>
      <c r="E2773">
        <v>2</v>
      </c>
      <c r="F2773">
        <f>_xlfn.XLOOKUP(Table1[[#This Row],[ProductID]],Products!A:A,Products!D:D,,0)</f>
        <v>160</v>
      </c>
      <c r="I2773">
        <v>699</v>
      </c>
      <c r="J2773">
        <v>559</v>
      </c>
      <c r="K2773" t="s">
        <v>1097</v>
      </c>
      <c r="L2773">
        <v>1118</v>
      </c>
      <c r="M2773" t="s">
        <v>1098</v>
      </c>
      <c r="N2773" t="s">
        <v>1099</v>
      </c>
      <c r="O2773">
        <f>Table1[[#This Row],[Unit_Price]]*Table1[[#This Row],[Quantity]]</f>
        <v>320</v>
      </c>
    </row>
    <row r="2774" spans="1:15" x14ac:dyDescent="0.3">
      <c r="A2774" t="s">
        <v>4587</v>
      </c>
      <c r="B2774" t="s">
        <v>1610</v>
      </c>
      <c r="C2774" t="s">
        <v>273</v>
      </c>
      <c r="D2774" t="s">
        <v>1073</v>
      </c>
      <c r="E2774">
        <v>1</v>
      </c>
      <c r="F2774">
        <f>_xlfn.XLOOKUP(Table1[[#This Row],[ProductID]],Products!A:A,Products!D:D,,0)</f>
        <v>100</v>
      </c>
      <c r="I2774">
        <v>349</v>
      </c>
      <c r="J2774">
        <v>349</v>
      </c>
      <c r="K2774" t="s">
        <v>1102</v>
      </c>
      <c r="L2774">
        <v>349</v>
      </c>
      <c r="M2774" t="s">
        <v>1098</v>
      </c>
      <c r="N2774" t="s">
        <v>1099</v>
      </c>
      <c r="O2774">
        <f>Table1[[#This Row],[Unit_Price]]*Table1[[#This Row],[Quantity]]</f>
        <v>100</v>
      </c>
    </row>
    <row r="2775" spans="1:15" x14ac:dyDescent="0.3">
      <c r="A2775" t="s">
        <v>4588</v>
      </c>
      <c r="B2775" t="s">
        <v>2169</v>
      </c>
      <c r="C2775" t="s">
        <v>835</v>
      </c>
      <c r="D2775" t="s">
        <v>1066</v>
      </c>
      <c r="E2775">
        <v>1</v>
      </c>
      <c r="F2775">
        <f>_xlfn.XLOOKUP(Table1[[#This Row],[ProductID]],Products!A:A,Products!D:D,,0)</f>
        <v>140</v>
      </c>
      <c r="I2775">
        <v>499</v>
      </c>
      <c r="J2775">
        <v>399</v>
      </c>
      <c r="K2775" t="s">
        <v>1097</v>
      </c>
      <c r="L2775">
        <v>399</v>
      </c>
      <c r="M2775" t="s">
        <v>1126</v>
      </c>
      <c r="N2775" t="s">
        <v>1099</v>
      </c>
      <c r="O2775">
        <f>Table1[[#This Row],[Unit_Price]]*Table1[[#This Row],[Quantity]]</f>
        <v>140</v>
      </c>
    </row>
    <row r="2776" spans="1:15" x14ac:dyDescent="0.3">
      <c r="A2776" t="s">
        <v>4589</v>
      </c>
      <c r="B2776" t="s">
        <v>3865</v>
      </c>
      <c r="C2776" t="s">
        <v>331</v>
      </c>
      <c r="D2776" t="s">
        <v>1071</v>
      </c>
      <c r="E2776">
        <v>2</v>
      </c>
      <c r="F2776">
        <f>_xlfn.XLOOKUP(Table1[[#This Row],[ProductID]],Products!A:A,Products!D:D,,0)</f>
        <v>125</v>
      </c>
      <c r="I2776">
        <v>399</v>
      </c>
      <c r="J2776">
        <v>319</v>
      </c>
      <c r="K2776" t="s">
        <v>1097</v>
      </c>
      <c r="L2776">
        <v>638</v>
      </c>
      <c r="M2776" t="s">
        <v>1098</v>
      </c>
      <c r="N2776" t="s">
        <v>1099</v>
      </c>
      <c r="O2776">
        <f>Table1[[#This Row],[Unit_Price]]*Table1[[#This Row],[Quantity]]</f>
        <v>250</v>
      </c>
    </row>
    <row r="2777" spans="1:15" x14ac:dyDescent="0.3">
      <c r="A2777" t="s">
        <v>4590</v>
      </c>
      <c r="B2777" t="s">
        <v>1202</v>
      </c>
      <c r="C2777" t="s">
        <v>761</v>
      </c>
      <c r="D2777" t="s">
        <v>1071</v>
      </c>
      <c r="E2777">
        <v>1</v>
      </c>
      <c r="F2777">
        <f>_xlfn.XLOOKUP(Table1[[#This Row],[ProductID]],Products!A:A,Products!D:D,,0)</f>
        <v>125</v>
      </c>
      <c r="I2777">
        <v>399</v>
      </c>
      <c r="J2777">
        <v>339</v>
      </c>
      <c r="K2777" t="s">
        <v>1092</v>
      </c>
      <c r="L2777">
        <v>339</v>
      </c>
      <c r="M2777" t="s">
        <v>1098</v>
      </c>
      <c r="N2777" t="s">
        <v>1099</v>
      </c>
      <c r="O2777">
        <f>Table1[[#This Row],[Unit_Price]]*Table1[[#This Row],[Quantity]]</f>
        <v>125</v>
      </c>
    </row>
    <row r="2778" spans="1:15" x14ac:dyDescent="0.3">
      <c r="A2778" t="s">
        <v>4591</v>
      </c>
      <c r="B2778" t="s">
        <v>1862</v>
      </c>
      <c r="C2778" t="s">
        <v>419</v>
      </c>
      <c r="D2778" t="s">
        <v>1059</v>
      </c>
      <c r="E2778">
        <v>3</v>
      </c>
      <c r="F2778">
        <f>_xlfn.XLOOKUP(Table1[[#This Row],[ProductID]],Products!A:A,Products!D:D,,0)</f>
        <v>110</v>
      </c>
      <c r="I2778">
        <v>399</v>
      </c>
      <c r="J2778">
        <v>399</v>
      </c>
      <c r="K2778" t="s">
        <v>1102</v>
      </c>
      <c r="L2778">
        <v>1197</v>
      </c>
      <c r="M2778" t="s">
        <v>1098</v>
      </c>
      <c r="N2778" t="s">
        <v>1099</v>
      </c>
      <c r="O2778">
        <f>Table1[[#This Row],[Unit_Price]]*Table1[[#This Row],[Quantity]]</f>
        <v>330</v>
      </c>
    </row>
    <row r="2779" spans="1:15" x14ac:dyDescent="0.3">
      <c r="A2779" t="s">
        <v>4592</v>
      </c>
      <c r="B2779" t="s">
        <v>1900</v>
      </c>
      <c r="C2779" t="s">
        <v>501</v>
      </c>
      <c r="D2779" t="s">
        <v>1078</v>
      </c>
      <c r="E2779">
        <v>1</v>
      </c>
      <c r="F2779">
        <f>_xlfn.XLOOKUP(Table1[[#This Row],[ProductID]],Products!A:A,Products!D:D,,0)</f>
        <v>80</v>
      </c>
      <c r="I2779">
        <v>499</v>
      </c>
      <c r="J2779">
        <v>499</v>
      </c>
      <c r="K2779" t="s">
        <v>1102</v>
      </c>
      <c r="L2779">
        <v>499</v>
      </c>
      <c r="M2779" t="s">
        <v>1098</v>
      </c>
      <c r="N2779" t="s">
        <v>1099</v>
      </c>
      <c r="O2779">
        <f>Table1[[#This Row],[Unit_Price]]*Table1[[#This Row],[Quantity]]</f>
        <v>80</v>
      </c>
    </row>
    <row r="2780" spans="1:15" x14ac:dyDescent="0.3">
      <c r="A2780" t="s">
        <v>4593</v>
      </c>
      <c r="B2780" t="s">
        <v>3415</v>
      </c>
      <c r="C2780" t="s">
        <v>645</v>
      </c>
      <c r="D2780" t="s">
        <v>1048</v>
      </c>
      <c r="E2780">
        <v>2</v>
      </c>
      <c r="F2780">
        <f>_xlfn.XLOOKUP(Table1[[#This Row],[ProductID]],Products!A:A,Products!D:D,,0)</f>
        <v>120</v>
      </c>
      <c r="I2780">
        <v>599</v>
      </c>
      <c r="J2780">
        <v>539</v>
      </c>
      <c r="K2780" t="s">
        <v>1107</v>
      </c>
      <c r="L2780">
        <v>1078</v>
      </c>
      <c r="M2780" t="s">
        <v>1098</v>
      </c>
      <c r="N2780" t="s">
        <v>1099</v>
      </c>
      <c r="O2780">
        <f>Table1[[#This Row],[Unit_Price]]*Table1[[#This Row],[Quantity]]</f>
        <v>240</v>
      </c>
    </row>
    <row r="2781" spans="1:15" x14ac:dyDescent="0.3">
      <c r="A2781" t="s">
        <v>4594</v>
      </c>
      <c r="B2781" t="s">
        <v>3080</v>
      </c>
      <c r="C2781" t="s">
        <v>559</v>
      </c>
      <c r="D2781" t="s">
        <v>1080</v>
      </c>
      <c r="E2781">
        <v>1</v>
      </c>
      <c r="F2781">
        <f>_xlfn.XLOOKUP(Table1[[#This Row],[ProductID]],Products!A:A,Products!D:D,,0)</f>
        <v>45</v>
      </c>
      <c r="I2781">
        <v>249</v>
      </c>
      <c r="J2781">
        <v>249</v>
      </c>
      <c r="K2781" t="s">
        <v>1102</v>
      </c>
      <c r="L2781">
        <v>249</v>
      </c>
      <c r="M2781" t="s">
        <v>1093</v>
      </c>
      <c r="N2781" t="s">
        <v>1099</v>
      </c>
      <c r="O2781">
        <f>Table1[[#This Row],[Unit_Price]]*Table1[[#This Row],[Quantity]]</f>
        <v>45</v>
      </c>
    </row>
    <row r="2782" spans="1:15" x14ac:dyDescent="0.3">
      <c r="A2782" t="s">
        <v>4595</v>
      </c>
      <c r="B2782" t="s">
        <v>1364</v>
      </c>
      <c r="C2782" t="s">
        <v>927</v>
      </c>
      <c r="D2782" t="s">
        <v>1055</v>
      </c>
      <c r="E2782">
        <v>2</v>
      </c>
      <c r="F2782">
        <f>_xlfn.XLOOKUP(Table1[[#This Row],[ProductID]],Products!A:A,Products!D:D,,0)</f>
        <v>75</v>
      </c>
      <c r="I2782">
        <v>299</v>
      </c>
      <c r="J2782">
        <v>299</v>
      </c>
      <c r="K2782" t="s">
        <v>1102</v>
      </c>
      <c r="L2782">
        <v>598</v>
      </c>
      <c r="M2782" t="s">
        <v>1093</v>
      </c>
      <c r="N2782" t="s">
        <v>1099</v>
      </c>
      <c r="O2782">
        <f>Table1[[#This Row],[Unit_Price]]*Table1[[#This Row],[Quantity]]</f>
        <v>150</v>
      </c>
    </row>
    <row r="2783" spans="1:15" x14ac:dyDescent="0.3">
      <c r="A2783" t="s">
        <v>4596</v>
      </c>
      <c r="B2783" t="s">
        <v>1486</v>
      </c>
      <c r="C2783" t="s">
        <v>837</v>
      </c>
      <c r="D2783" t="s">
        <v>1059</v>
      </c>
      <c r="E2783">
        <v>1</v>
      </c>
      <c r="F2783">
        <f>_xlfn.XLOOKUP(Table1[[#This Row],[ProductID]],Products!A:A,Products!D:D,,0)</f>
        <v>110</v>
      </c>
      <c r="I2783">
        <v>399</v>
      </c>
      <c r="J2783">
        <v>359</v>
      </c>
      <c r="K2783" t="s">
        <v>1107</v>
      </c>
      <c r="L2783">
        <v>359</v>
      </c>
      <c r="M2783" t="s">
        <v>1093</v>
      </c>
      <c r="N2783" t="s">
        <v>1094</v>
      </c>
      <c r="O2783">
        <f>Table1[[#This Row],[Unit_Price]]*Table1[[#This Row],[Quantity]]</f>
        <v>110</v>
      </c>
    </row>
    <row r="2784" spans="1:15" x14ac:dyDescent="0.3">
      <c r="A2784" t="s">
        <v>4597</v>
      </c>
      <c r="B2784" t="s">
        <v>2021</v>
      </c>
      <c r="C2784" t="s">
        <v>154</v>
      </c>
      <c r="D2784" t="s">
        <v>1055</v>
      </c>
      <c r="E2784">
        <v>1</v>
      </c>
      <c r="F2784">
        <f>_xlfn.XLOOKUP(Table1[[#This Row],[ProductID]],Products!A:A,Products!D:D,,0)</f>
        <v>75</v>
      </c>
      <c r="I2784">
        <v>299</v>
      </c>
      <c r="J2784">
        <v>269</v>
      </c>
      <c r="K2784" t="s">
        <v>1107</v>
      </c>
      <c r="L2784">
        <v>269</v>
      </c>
      <c r="M2784" t="s">
        <v>1093</v>
      </c>
      <c r="N2784" t="s">
        <v>1094</v>
      </c>
      <c r="O2784">
        <f>Table1[[#This Row],[Unit_Price]]*Table1[[#This Row],[Quantity]]</f>
        <v>75</v>
      </c>
    </row>
    <row r="2785" spans="1:15" x14ac:dyDescent="0.3">
      <c r="A2785" t="s">
        <v>4598</v>
      </c>
      <c r="B2785" t="s">
        <v>1676</v>
      </c>
      <c r="C2785" t="s">
        <v>295</v>
      </c>
      <c r="D2785" t="s">
        <v>1064</v>
      </c>
      <c r="E2785">
        <v>1</v>
      </c>
      <c r="F2785">
        <f>_xlfn.XLOOKUP(Table1[[#This Row],[ProductID]],Products!A:A,Products!D:D,,0)</f>
        <v>160</v>
      </c>
      <c r="I2785">
        <v>699</v>
      </c>
      <c r="J2785">
        <v>699</v>
      </c>
      <c r="K2785" t="s">
        <v>1102</v>
      </c>
      <c r="L2785">
        <v>699</v>
      </c>
      <c r="M2785" t="s">
        <v>1098</v>
      </c>
      <c r="N2785" t="s">
        <v>1099</v>
      </c>
      <c r="O2785">
        <f>Table1[[#This Row],[Unit_Price]]*Table1[[#This Row],[Quantity]]</f>
        <v>160</v>
      </c>
    </row>
    <row r="2786" spans="1:15" x14ac:dyDescent="0.3">
      <c r="A2786" t="s">
        <v>4599</v>
      </c>
      <c r="B2786" t="s">
        <v>2403</v>
      </c>
      <c r="C2786" t="s">
        <v>389</v>
      </c>
      <c r="D2786" t="s">
        <v>1048</v>
      </c>
      <c r="E2786">
        <v>1</v>
      </c>
      <c r="F2786">
        <f>_xlfn.XLOOKUP(Table1[[#This Row],[ProductID]],Products!A:A,Products!D:D,,0)</f>
        <v>120</v>
      </c>
      <c r="I2786">
        <v>599</v>
      </c>
      <c r="J2786">
        <v>539</v>
      </c>
      <c r="K2786" t="s">
        <v>1107</v>
      </c>
      <c r="L2786">
        <v>539</v>
      </c>
      <c r="M2786" t="s">
        <v>1098</v>
      </c>
      <c r="N2786" t="s">
        <v>1099</v>
      </c>
      <c r="O2786">
        <f>Table1[[#This Row],[Unit_Price]]*Table1[[#This Row],[Quantity]]</f>
        <v>120</v>
      </c>
    </row>
    <row r="2787" spans="1:15" x14ac:dyDescent="0.3">
      <c r="A2787" t="s">
        <v>4600</v>
      </c>
      <c r="B2787" t="s">
        <v>1377</v>
      </c>
      <c r="C2787" t="s">
        <v>351</v>
      </c>
      <c r="D2787" t="s">
        <v>1075</v>
      </c>
      <c r="E2787">
        <v>1</v>
      </c>
      <c r="F2787">
        <f>_xlfn.XLOOKUP(Table1[[#This Row],[ProductID]],Products!A:A,Products!D:D,,0)</f>
        <v>80</v>
      </c>
      <c r="I2787">
        <v>499</v>
      </c>
      <c r="J2787">
        <v>399</v>
      </c>
      <c r="K2787" t="s">
        <v>1097</v>
      </c>
      <c r="L2787">
        <v>399</v>
      </c>
      <c r="M2787" t="s">
        <v>1093</v>
      </c>
      <c r="N2787" t="s">
        <v>1094</v>
      </c>
      <c r="O2787">
        <f>Table1[[#This Row],[Unit_Price]]*Table1[[#This Row],[Quantity]]</f>
        <v>80</v>
      </c>
    </row>
    <row r="2788" spans="1:15" x14ac:dyDescent="0.3">
      <c r="A2788" t="s">
        <v>4601</v>
      </c>
      <c r="B2788" t="s">
        <v>1178</v>
      </c>
      <c r="C2788" t="s">
        <v>347</v>
      </c>
      <c r="D2788" t="s">
        <v>1078</v>
      </c>
      <c r="E2788">
        <v>2</v>
      </c>
      <c r="F2788">
        <f>_xlfn.XLOOKUP(Table1[[#This Row],[ProductID]],Products!A:A,Products!D:D,,0)</f>
        <v>80</v>
      </c>
      <c r="I2788">
        <v>499</v>
      </c>
      <c r="J2788">
        <v>449</v>
      </c>
      <c r="K2788" t="s">
        <v>1107</v>
      </c>
      <c r="L2788">
        <v>898</v>
      </c>
      <c r="M2788" t="s">
        <v>1098</v>
      </c>
      <c r="N2788" t="s">
        <v>1099</v>
      </c>
      <c r="O2788">
        <f>Table1[[#This Row],[Unit_Price]]*Table1[[#This Row],[Quantity]]</f>
        <v>160</v>
      </c>
    </row>
    <row r="2789" spans="1:15" x14ac:dyDescent="0.3">
      <c r="A2789" t="s">
        <v>4602</v>
      </c>
      <c r="B2789" t="s">
        <v>3198</v>
      </c>
      <c r="C2789" t="s">
        <v>911</v>
      </c>
      <c r="D2789" t="s">
        <v>1078</v>
      </c>
      <c r="E2789">
        <v>1</v>
      </c>
      <c r="F2789">
        <f>_xlfn.XLOOKUP(Table1[[#This Row],[ProductID]],Products!A:A,Products!D:D,,0)</f>
        <v>80</v>
      </c>
      <c r="I2789">
        <v>499</v>
      </c>
      <c r="J2789">
        <v>449</v>
      </c>
      <c r="K2789" t="s">
        <v>1107</v>
      </c>
      <c r="L2789">
        <v>449</v>
      </c>
      <c r="M2789" t="s">
        <v>1093</v>
      </c>
      <c r="N2789" t="s">
        <v>1099</v>
      </c>
      <c r="O2789">
        <f>Table1[[#This Row],[Unit_Price]]*Table1[[#This Row],[Quantity]]</f>
        <v>80</v>
      </c>
    </row>
    <row r="2790" spans="1:15" x14ac:dyDescent="0.3">
      <c r="A2790" t="s">
        <v>4603</v>
      </c>
      <c r="B2790" t="s">
        <v>3881</v>
      </c>
      <c r="C2790" t="s">
        <v>803</v>
      </c>
      <c r="D2790" t="s">
        <v>1048</v>
      </c>
      <c r="E2790">
        <v>2</v>
      </c>
      <c r="F2790">
        <f>_xlfn.XLOOKUP(Table1[[#This Row],[ProductID]],Products!A:A,Products!D:D,,0)</f>
        <v>120</v>
      </c>
      <c r="I2790">
        <v>599</v>
      </c>
      <c r="J2790">
        <v>479</v>
      </c>
      <c r="K2790" t="s">
        <v>1097</v>
      </c>
      <c r="L2790">
        <v>958</v>
      </c>
      <c r="M2790" t="s">
        <v>1098</v>
      </c>
      <c r="N2790" t="s">
        <v>1099</v>
      </c>
      <c r="O2790">
        <f>Table1[[#This Row],[Unit_Price]]*Table1[[#This Row],[Quantity]]</f>
        <v>240</v>
      </c>
    </row>
    <row r="2791" spans="1:15" x14ac:dyDescent="0.3">
      <c r="A2791" t="s">
        <v>4604</v>
      </c>
      <c r="B2791" t="s">
        <v>1818</v>
      </c>
      <c r="C2791" t="s">
        <v>297</v>
      </c>
      <c r="D2791" t="s">
        <v>1053</v>
      </c>
      <c r="E2791">
        <v>2</v>
      </c>
      <c r="F2791">
        <f>_xlfn.XLOOKUP(Table1[[#This Row],[ProductID]],Products!A:A,Products!D:D,,0)</f>
        <v>200</v>
      </c>
      <c r="I2791">
        <v>899</v>
      </c>
      <c r="J2791">
        <v>764</v>
      </c>
      <c r="K2791" t="s">
        <v>1092</v>
      </c>
      <c r="L2791">
        <v>1528</v>
      </c>
      <c r="M2791" t="s">
        <v>1098</v>
      </c>
      <c r="N2791" t="s">
        <v>1099</v>
      </c>
      <c r="O2791">
        <f>Table1[[#This Row],[Unit_Price]]*Table1[[#This Row],[Quantity]]</f>
        <v>400</v>
      </c>
    </row>
    <row r="2792" spans="1:15" x14ac:dyDescent="0.3">
      <c r="A2792" t="s">
        <v>4605</v>
      </c>
      <c r="B2792" t="s">
        <v>1406</v>
      </c>
      <c r="C2792" t="s">
        <v>429</v>
      </c>
      <c r="D2792" t="s">
        <v>1053</v>
      </c>
      <c r="E2792">
        <v>1</v>
      </c>
      <c r="F2792">
        <f>_xlfn.XLOOKUP(Table1[[#This Row],[ProductID]],Products!A:A,Products!D:D,,0)</f>
        <v>200</v>
      </c>
      <c r="I2792">
        <v>899</v>
      </c>
      <c r="J2792">
        <v>809</v>
      </c>
      <c r="K2792" t="s">
        <v>1107</v>
      </c>
      <c r="L2792">
        <v>809</v>
      </c>
      <c r="M2792" t="s">
        <v>1093</v>
      </c>
      <c r="N2792" t="s">
        <v>1094</v>
      </c>
      <c r="O2792">
        <f>Table1[[#This Row],[Unit_Price]]*Table1[[#This Row],[Quantity]]</f>
        <v>200</v>
      </c>
    </row>
    <row r="2793" spans="1:15" x14ac:dyDescent="0.3">
      <c r="A2793" t="s">
        <v>4606</v>
      </c>
      <c r="B2793" t="s">
        <v>2146</v>
      </c>
      <c r="C2793" t="s">
        <v>145</v>
      </c>
      <c r="D2793" t="s">
        <v>1053</v>
      </c>
      <c r="E2793">
        <v>2</v>
      </c>
      <c r="F2793">
        <f>_xlfn.XLOOKUP(Table1[[#This Row],[ProductID]],Products!A:A,Products!D:D,,0)</f>
        <v>200</v>
      </c>
      <c r="I2793">
        <v>899</v>
      </c>
      <c r="J2793">
        <v>899</v>
      </c>
      <c r="K2793" t="s">
        <v>1102</v>
      </c>
      <c r="L2793">
        <v>1798</v>
      </c>
      <c r="M2793" t="s">
        <v>1098</v>
      </c>
      <c r="N2793" t="s">
        <v>1099</v>
      </c>
      <c r="O2793">
        <f>Table1[[#This Row],[Unit_Price]]*Table1[[#This Row],[Quantity]]</f>
        <v>400</v>
      </c>
    </row>
    <row r="2794" spans="1:15" x14ac:dyDescent="0.3">
      <c r="A2794" t="s">
        <v>4607</v>
      </c>
      <c r="B2794" t="s">
        <v>2085</v>
      </c>
      <c r="C2794" t="s">
        <v>665</v>
      </c>
      <c r="D2794" t="s">
        <v>1057</v>
      </c>
      <c r="E2794">
        <v>1</v>
      </c>
      <c r="F2794">
        <f>_xlfn.XLOOKUP(Table1[[#This Row],[ProductID]],Products!A:A,Products!D:D,,0)</f>
        <v>130</v>
      </c>
      <c r="I2794">
        <v>549</v>
      </c>
      <c r="J2794">
        <v>549</v>
      </c>
      <c r="K2794" t="s">
        <v>1102</v>
      </c>
      <c r="L2794">
        <v>549</v>
      </c>
      <c r="M2794" t="s">
        <v>1126</v>
      </c>
      <c r="N2794" t="s">
        <v>1099</v>
      </c>
      <c r="O2794">
        <f>Table1[[#This Row],[Unit_Price]]*Table1[[#This Row],[Quantity]]</f>
        <v>130</v>
      </c>
    </row>
    <row r="2795" spans="1:15" x14ac:dyDescent="0.3">
      <c r="A2795" t="s">
        <v>4608</v>
      </c>
      <c r="B2795" t="s">
        <v>2275</v>
      </c>
      <c r="C2795" t="s">
        <v>765</v>
      </c>
      <c r="D2795" t="s">
        <v>1051</v>
      </c>
      <c r="E2795">
        <v>2</v>
      </c>
      <c r="F2795">
        <f>_xlfn.XLOOKUP(Table1[[#This Row],[ProductID]],Products!A:A,Products!D:D,,0)</f>
        <v>150</v>
      </c>
      <c r="I2795">
        <v>499</v>
      </c>
      <c r="J2795">
        <v>424</v>
      </c>
      <c r="K2795" t="s">
        <v>1092</v>
      </c>
      <c r="L2795">
        <v>848</v>
      </c>
      <c r="M2795" t="s">
        <v>1098</v>
      </c>
      <c r="N2795" t="s">
        <v>1099</v>
      </c>
      <c r="O2795">
        <f>Table1[[#This Row],[Unit_Price]]*Table1[[#This Row],[Quantity]]</f>
        <v>300</v>
      </c>
    </row>
    <row r="2796" spans="1:15" x14ac:dyDescent="0.3">
      <c r="A2796" t="s">
        <v>4609</v>
      </c>
      <c r="B2796" t="s">
        <v>1549</v>
      </c>
      <c r="C2796" t="s">
        <v>483</v>
      </c>
      <c r="D2796" t="s">
        <v>1068</v>
      </c>
      <c r="E2796">
        <v>2</v>
      </c>
      <c r="F2796">
        <f>_xlfn.XLOOKUP(Table1[[#This Row],[ProductID]],Products!A:A,Products!D:D,,0)</f>
        <v>180</v>
      </c>
      <c r="I2796">
        <v>449</v>
      </c>
      <c r="J2796">
        <v>404</v>
      </c>
      <c r="K2796" t="s">
        <v>1107</v>
      </c>
      <c r="L2796">
        <v>808</v>
      </c>
      <c r="M2796" t="s">
        <v>1093</v>
      </c>
      <c r="N2796" t="s">
        <v>1099</v>
      </c>
      <c r="O2796">
        <f>Table1[[#This Row],[Unit_Price]]*Table1[[#This Row],[Quantity]]</f>
        <v>360</v>
      </c>
    </row>
    <row r="2797" spans="1:15" x14ac:dyDescent="0.3">
      <c r="A2797" t="s">
        <v>4610</v>
      </c>
      <c r="B2797" t="s">
        <v>1221</v>
      </c>
      <c r="C2797" t="s">
        <v>217</v>
      </c>
      <c r="D2797" t="s">
        <v>1075</v>
      </c>
      <c r="E2797">
        <v>2</v>
      </c>
      <c r="F2797">
        <f>_xlfn.XLOOKUP(Table1[[#This Row],[ProductID]],Products!A:A,Products!D:D,,0)</f>
        <v>80</v>
      </c>
      <c r="I2797">
        <v>499</v>
      </c>
      <c r="J2797">
        <v>399</v>
      </c>
      <c r="K2797" t="s">
        <v>1097</v>
      </c>
      <c r="L2797">
        <v>798</v>
      </c>
      <c r="M2797" t="s">
        <v>1098</v>
      </c>
      <c r="N2797" t="s">
        <v>1099</v>
      </c>
      <c r="O2797">
        <f>Table1[[#This Row],[Unit_Price]]*Table1[[#This Row],[Quantity]]</f>
        <v>160</v>
      </c>
    </row>
    <row r="2798" spans="1:15" x14ac:dyDescent="0.3">
      <c r="A2798" t="s">
        <v>4611</v>
      </c>
      <c r="B2798" t="s">
        <v>1719</v>
      </c>
      <c r="C2798" t="s">
        <v>387</v>
      </c>
      <c r="D2798" t="s">
        <v>1057</v>
      </c>
      <c r="E2798">
        <v>1</v>
      </c>
      <c r="F2798">
        <f>_xlfn.XLOOKUP(Table1[[#This Row],[ProductID]],Products!A:A,Products!D:D,,0)</f>
        <v>130</v>
      </c>
      <c r="I2798">
        <v>549</v>
      </c>
      <c r="J2798">
        <v>467</v>
      </c>
      <c r="K2798" t="s">
        <v>1092</v>
      </c>
      <c r="L2798">
        <v>467</v>
      </c>
      <c r="M2798" t="s">
        <v>1093</v>
      </c>
      <c r="N2798" t="s">
        <v>1099</v>
      </c>
      <c r="O2798">
        <f>Table1[[#This Row],[Unit_Price]]*Table1[[#This Row],[Quantity]]</f>
        <v>130</v>
      </c>
    </row>
    <row r="2799" spans="1:15" x14ac:dyDescent="0.3">
      <c r="A2799" t="s">
        <v>4612</v>
      </c>
      <c r="B2799" t="s">
        <v>2822</v>
      </c>
      <c r="C2799" t="s">
        <v>857</v>
      </c>
      <c r="D2799" t="s">
        <v>1062</v>
      </c>
      <c r="E2799">
        <v>1</v>
      </c>
      <c r="F2799">
        <f>_xlfn.XLOOKUP(Table1[[#This Row],[ProductID]],Products!A:A,Products!D:D,,0)</f>
        <v>95</v>
      </c>
      <c r="I2799">
        <v>349</v>
      </c>
      <c r="J2799">
        <v>297</v>
      </c>
      <c r="K2799" t="s">
        <v>1092</v>
      </c>
      <c r="L2799">
        <v>297</v>
      </c>
      <c r="M2799" t="s">
        <v>1093</v>
      </c>
      <c r="N2799" t="s">
        <v>1099</v>
      </c>
      <c r="O2799">
        <f>Table1[[#This Row],[Unit_Price]]*Table1[[#This Row],[Quantity]]</f>
        <v>95</v>
      </c>
    </row>
    <row r="2800" spans="1:15" x14ac:dyDescent="0.3">
      <c r="A2800" t="s">
        <v>4613</v>
      </c>
      <c r="B2800" t="s">
        <v>2178</v>
      </c>
      <c r="C2800" t="s">
        <v>148</v>
      </c>
      <c r="D2800" t="s">
        <v>1080</v>
      </c>
      <c r="E2800">
        <v>1</v>
      </c>
      <c r="F2800">
        <f>_xlfn.XLOOKUP(Table1[[#This Row],[ProductID]],Products!A:A,Products!D:D,,0)</f>
        <v>45</v>
      </c>
      <c r="I2800">
        <v>249</v>
      </c>
      <c r="J2800">
        <v>199</v>
      </c>
      <c r="K2800" t="s">
        <v>1097</v>
      </c>
      <c r="L2800">
        <v>199</v>
      </c>
      <c r="M2800" t="s">
        <v>1098</v>
      </c>
      <c r="N2800" t="s">
        <v>1099</v>
      </c>
      <c r="O2800">
        <f>Table1[[#This Row],[Unit_Price]]*Table1[[#This Row],[Quantity]]</f>
        <v>45</v>
      </c>
    </row>
    <row r="2801" spans="1:15" x14ac:dyDescent="0.3">
      <c r="A2801" t="s">
        <v>4614</v>
      </c>
      <c r="B2801" t="s">
        <v>2508</v>
      </c>
      <c r="C2801" t="s">
        <v>355</v>
      </c>
      <c r="D2801" t="s">
        <v>1064</v>
      </c>
      <c r="E2801">
        <v>1</v>
      </c>
      <c r="F2801">
        <f>_xlfn.XLOOKUP(Table1[[#This Row],[ProductID]],Products!A:A,Products!D:D,,0)</f>
        <v>160</v>
      </c>
      <c r="I2801">
        <v>699</v>
      </c>
      <c r="J2801">
        <v>699</v>
      </c>
      <c r="K2801" t="s">
        <v>1102</v>
      </c>
      <c r="L2801">
        <v>699</v>
      </c>
      <c r="M2801" t="s">
        <v>1093</v>
      </c>
      <c r="N2801" t="s">
        <v>1099</v>
      </c>
      <c r="O2801">
        <f>Table1[[#This Row],[Unit_Price]]*Table1[[#This Row],[Quantity]]</f>
        <v>160</v>
      </c>
    </row>
    <row r="2802" spans="1:15" x14ac:dyDescent="0.3">
      <c r="A2802" t="s">
        <v>4615</v>
      </c>
      <c r="B2802" t="s">
        <v>3466</v>
      </c>
      <c r="C2802" t="s">
        <v>573</v>
      </c>
      <c r="D2802" t="s">
        <v>1075</v>
      </c>
      <c r="E2802">
        <v>1</v>
      </c>
      <c r="F2802">
        <f>_xlfn.XLOOKUP(Table1[[#This Row],[ProductID]],Products!A:A,Products!D:D,,0)</f>
        <v>80</v>
      </c>
      <c r="I2802">
        <v>499</v>
      </c>
      <c r="J2802">
        <v>499</v>
      </c>
      <c r="K2802" t="s">
        <v>1102</v>
      </c>
      <c r="L2802">
        <v>499</v>
      </c>
      <c r="M2802" t="s">
        <v>1093</v>
      </c>
      <c r="N2802" t="s">
        <v>1099</v>
      </c>
      <c r="O2802">
        <f>Table1[[#This Row],[Unit_Price]]*Table1[[#This Row],[Quantity]]</f>
        <v>80</v>
      </c>
    </row>
    <row r="2803" spans="1:15" x14ac:dyDescent="0.3">
      <c r="A2803" t="s">
        <v>4616</v>
      </c>
      <c r="B2803" t="s">
        <v>2581</v>
      </c>
      <c r="C2803" t="s">
        <v>891</v>
      </c>
      <c r="D2803" t="s">
        <v>1066</v>
      </c>
      <c r="E2803">
        <v>2</v>
      </c>
      <c r="F2803">
        <f>_xlfn.XLOOKUP(Table1[[#This Row],[ProductID]],Products!A:A,Products!D:D,,0)</f>
        <v>140</v>
      </c>
      <c r="I2803">
        <v>499</v>
      </c>
      <c r="J2803">
        <v>424</v>
      </c>
      <c r="K2803" t="s">
        <v>1092</v>
      </c>
      <c r="L2803">
        <v>848</v>
      </c>
      <c r="M2803" t="s">
        <v>1093</v>
      </c>
      <c r="N2803" t="s">
        <v>1099</v>
      </c>
      <c r="O2803">
        <f>Table1[[#This Row],[Unit_Price]]*Table1[[#This Row],[Quantity]]</f>
        <v>280</v>
      </c>
    </row>
    <row r="2804" spans="1:15" x14ac:dyDescent="0.3">
      <c r="A2804" t="s">
        <v>4617</v>
      </c>
      <c r="B2804" t="s">
        <v>3493</v>
      </c>
      <c r="C2804" t="s">
        <v>937</v>
      </c>
      <c r="D2804" t="s">
        <v>1057</v>
      </c>
      <c r="E2804">
        <v>1</v>
      </c>
      <c r="F2804">
        <f>_xlfn.XLOOKUP(Table1[[#This Row],[ProductID]],Products!A:A,Products!D:D,,0)</f>
        <v>130</v>
      </c>
      <c r="I2804">
        <v>549</v>
      </c>
      <c r="J2804">
        <v>549</v>
      </c>
      <c r="K2804" t="s">
        <v>1102</v>
      </c>
      <c r="L2804">
        <v>549</v>
      </c>
      <c r="M2804" t="s">
        <v>1126</v>
      </c>
      <c r="N2804" t="s">
        <v>1099</v>
      </c>
      <c r="O2804">
        <f>Table1[[#This Row],[Unit_Price]]*Table1[[#This Row],[Quantity]]</f>
        <v>130</v>
      </c>
    </row>
    <row r="2805" spans="1:15" x14ac:dyDescent="0.3">
      <c r="A2805" t="s">
        <v>4618</v>
      </c>
      <c r="B2805" t="s">
        <v>3677</v>
      </c>
      <c r="C2805" t="s">
        <v>455</v>
      </c>
      <c r="D2805" t="s">
        <v>1073</v>
      </c>
      <c r="E2805">
        <v>1</v>
      </c>
      <c r="F2805">
        <f>_xlfn.XLOOKUP(Table1[[#This Row],[ProductID]],Products!A:A,Products!D:D,,0)</f>
        <v>100</v>
      </c>
      <c r="I2805">
        <v>349</v>
      </c>
      <c r="J2805">
        <v>297</v>
      </c>
      <c r="K2805" t="s">
        <v>1092</v>
      </c>
      <c r="L2805">
        <v>297</v>
      </c>
      <c r="M2805" t="s">
        <v>1098</v>
      </c>
      <c r="N2805" t="s">
        <v>1099</v>
      </c>
      <c r="O2805">
        <f>Table1[[#This Row],[Unit_Price]]*Table1[[#This Row],[Quantity]]</f>
        <v>100</v>
      </c>
    </row>
    <row r="2806" spans="1:15" x14ac:dyDescent="0.3">
      <c r="A2806" t="s">
        <v>4619</v>
      </c>
      <c r="B2806" t="s">
        <v>1502</v>
      </c>
      <c r="C2806" t="s">
        <v>189</v>
      </c>
      <c r="D2806" t="s">
        <v>1068</v>
      </c>
      <c r="E2806">
        <v>2</v>
      </c>
      <c r="F2806">
        <f>_xlfn.XLOOKUP(Table1[[#This Row],[ProductID]],Products!A:A,Products!D:D,,0)</f>
        <v>180</v>
      </c>
      <c r="I2806">
        <v>449</v>
      </c>
      <c r="J2806">
        <v>404</v>
      </c>
      <c r="K2806" t="s">
        <v>1107</v>
      </c>
      <c r="L2806">
        <v>808</v>
      </c>
      <c r="M2806" t="s">
        <v>1093</v>
      </c>
      <c r="N2806" t="s">
        <v>1099</v>
      </c>
      <c r="O2806">
        <f>Table1[[#This Row],[Unit_Price]]*Table1[[#This Row],[Quantity]]</f>
        <v>360</v>
      </c>
    </row>
    <row r="2807" spans="1:15" x14ac:dyDescent="0.3">
      <c r="A2807" t="s">
        <v>4620</v>
      </c>
      <c r="B2807" t="s">
        <v>1539</v>
      </c>
      <c r="C2807" t="s">
        <v>1009</v>
      </c>
      <c r="D2807" t="s">
        <v>1078</v>
      </c>
      <c r="E2807">
        <v>1</v>
      </c>
      <c r="F2807">
        <f>_xlfn.XLOOKUP(Table1[[#This Row],[ProductID]],Products!A:A,Products!D:D,,0)</f>
        <v>80</v>
      </c>
      <c r="I2807">
        <v>499</v>
      </c>
      <c r="J2807">
        <v>499</v>
      </c>
      <c r="K2807" t="s">
        <v>1102</v>
      </c>
      <c r="L2807">
        <v>499</v>
      </c>
      <c r="M2807" t="s">
        <v>1098</v>
      </c>
      <c r="N2807" t="s">
        <v>1099</v>
      </c>
      <c r="O2807">
        <f>Table1[[#This Row],[Unit_Price]]*Table1[[#This Row],[Quantity]]</f>
        <v>80</v>
      </c>
    </row>
    <row r="2808" spans="1:15" x14ac:dyDescent="0.3">
      <c r="A2808" t="s">
        <v>4621</v>
      </c>
      <c r="B2808" t="s">
        <v>1709</v>
      </c>
      <c r="C2808" t="s">
        <v>571</v>
      </c>
      <c r="D2808" t="s">
        <v>1071</v>
      </c>
      <c r="E2808">
        <v>4</v>
      </c>
      <c r="F2808">
        <f>_xlfn.XLOOKUP(Table1[[#This Row],[ProductID]],Products!A:A,Products!D:D,,0)</f>
        <v>125</v>
      </c>
      <c r="I2808">
        <v>399</v>
      </c>
      <c r="J2808">
        <v>319</v>
      </c>
      <c r="K2808" t="s">
        <v>1097</v>
      </c>
      <c r="L2808">
        <v>1276</v>
      </c>
      <c r="M2808" t="s">
        <v>1098</v>
      </c>
      <c r="N2808" t="s">
        <v>1099</v>
      </c>
      <c r="O2808">
        <f>Table1[[#This Row],[Unit_Price]]*Table1[[#This Row],[Quantity]]</f>
        <v>500</v>
      </c>
    </row>
    <row r="2809" spans="1:15" x14ac:dyDescent="0.3">
      <c r="A2809" t="s">
        <v>4622</v>
      </c>
      <c r="B2809" t="s">
        <v>1531</v>
      </c>
      <c r="C2809" t="s">
        <v>833</v>
      </c>
      <c r="D2809" t="s">
        <v>1073</v>
      </c>
      <c r="E2809">
        <v>4</v>
      </c>
      <c r="F2809">
        <f>_xlfn.XLOOKUP(Table1[[#This Row],[ProductID]],Products!A:A,Products!D:D,,0)</f>
        <v>100</v>
      </c>
      <c r="I2809">
        <v>349</v>
      </c>
      <c r="J2809">
        <v>349</v>
      </c>
      <c r="K2809" t="s">
        <v>1102</v>
      </c>
      <c r="L2809">
        <v>1396</v>
      </c>
      <c r="M2809" t="s">
        <v>1098</v>
      </c>
      <c r="N2809" t="s">
        <v>1123</v>
      </c>
      <c r="O2809">
        <f>Table1[[#This Row],[Unit_Price]]*Table1[[#This Row],[Quantity]]</f>
        <v>400</v>
      </c>
    </row>
    <row r="2810" spans="1:15" x14ac:dyDescent="0.3">
      <c r="A2810" t="s">
        <v>4623</v>
      </c>
      <c r="B2810" t="s">
        <v>1527</v>
      </c>
      <c r="C2810" t="s">
        <v>565</v>
      </c>
      <c r="D2810" t="s">
        <v>1078</v>
      </c>
      <c r="E2810">
        <v>1</v>
      </c>
      <c r="F2810">
        <f>_xlfn.XLOOKUP(Table1[[#This Row],[ProductID]],Products!A:A,Products!D:D,,0)</f>
        <v>80</v>
      </c>
      <c r="I2810">
        <v>499</v>
      </c>
      <c r="J2810">
        <v>499</v>
      </c>
      <c r="K2810" t="s">
        <v>1102</v>
      </c>
      <c r="L2810">
        <v>499</v>
      </c>
      <c r="M2810" t="s">
        <v>1093</v>
      </c>
      <c r="N2810" t="s">
        <v>1099</v>
      </c>
      <c r="O2810">
        <f>Table1[[#This Row],[Unit_Price]]*Table1[[#This Row],[Quantity]]</f>
        <v>80</v>
      </c>
    </row>
    <row r="2811" spans="1:15" x14ac:dyDescent="0.3">
      <c r="A2811" t="s">
        <v>4624</v>
      </c>
      <c r="B2811" t="s">
        <v>1595</v>
      </c>
      <c r="C2811" t="s">
        <v>571</v>
      </c>
      <c r="D2811" t="s">
        <v>1075</v>
      </c>
      <c r="E2811">
        <v>1</v>
      </c>
      <c r="F2811">
        <f>_xlfn.XLOOKUP(Table1[[#This Row],[ProductID]],Products!A:A,Products!D:D,,0)</f>
        <v>80</v>
      </c>
      <c r="I2811">
        <v>499</v>
      </c>
      <c r="J2811">
        <v>449</v>
      </c>
      <c r="K2811" t="s">
        <v>1107</v>
      </c>
      <c r="L2811">
        <v>449</v>
      </c>
      <c r="M2811" t="s">
        <v>1093</v>
      </c>
      <c r="N2811" t="s">
        <v>1099</v>
      </c>
      <c r="O2811">
        <f>Table1[[#This Row],[Unit_Price]]*Table1[[#This Row],[Quantity]]</f>
        <v>80</v>
      </c>
    </row>
    <row r="2812" spans="1:15" x14ac:dyDescent="0.3">
      <c r="A2812" t="s">
        <v>4625</v>
      </c>
      <c r="B2812" t="s">
        <v>3713</v>
      </c>
      <c r="C2812" t="s">
        <v>793</v>
      </c>
      <c r="D2812" t="s">
        <v>1075</v>
      </c>
      <c r="E2812">
        <v>1</v>
      </c>
      <c r="F2812">
        <f>_xlfn.XLOOKUP(Table1[[#This Row],[ProductID]],Products!A:A,Products!D:D,,0)</f>
        <v>80</v>
      </c>
      <c r="I2812">
        <v>499</v>
      </c>
      <c r="J2812">
        <v>424</v>
      </c>
      <c r="K2812" t="s">
        <v>1092</v>
      </c>
      <c r="L2812">
        <v>424</v>
      </c>
      <c r="M2812" t="s">
        <v>1098</v>
      </c>
      <c r="N2812" t="s">
        <v>1099</v>
      </c>
      <c r="O2812">
        <f>Table1[[#This Row],[Unit_Price]]*Table1[[#This Row],[Quantity]]</f>
        <v>80</v>
      </c>
    </row>
    <row r="2813" spans="1:15" x14ac:dyDescent="0.3">
      <c r="A2813" t="s">
        <v>4626</v>
      </c>
      <c r="B2813" t="s">
        <v>1389</v>
      </c>
      <c r="C2813" t="s">
        <v>85</v>
      </c>
      <c r="D2813" t="s">
        <v>1075</v>
      </c>
      <c r="E2813">
        <v>1</v>
      </c>
      <c r="F2813">
        <f>_xlfn.XLOOKUP(Table1[[#This Row],[ProductID]],Products!A:A,Products!D:D,,0)</f>
        <v>80</v>
      </c>
      <c r="I2813">
        <v>499</v>
      </c>
      <c r="J2813">
        <v>449</v>
      </c>
      <c r="K2813" t="s">
        <v>1107</v>
      </c>
      <c r="L2813">
        <v>449</v>
      </c>
      <c r="M2813" t="s">
        <v>1118</v>
      </c>
      <c r="N2813" t="s">
        <v>1099</v>
      </c>
      <c r="O2813">
        <f>Table1[[#This Row],[Unit_Price]]*Table1[[#This Row],[Quantity]]</f>
        <v>80</v>
      </c>
    </row>
    <row r="2814" spans="1:15" x14ac:dyDescent="0.3">
      <c r="A2814" t="s">
        <v>4627</v>
      </c>
      <c r="B2814" t="s">
        <v>1549</v>
      </c>
      <c r="C2814" t="s">
        <v>87</v>
      </c>
      <c r="D2814" t="s">
        <v>1066</v>
      </c>
      <c r="E2814">
        <v>1</v>
      </c>
      <c r="F2814">
        <f>_xlfn.XLOOKUP(Table1[[#This Row],[ProductID]],Products!A:A,Products!D:D,,0)</f>
        <v>140</v>
      </c>
      <c r="I2814">
        <v>499</v>
      </c>
      <c r="J2814">
        <v>399</v>
      </c>
      <c r="K2814" t="s">
        <v>1097</v>
      </c>
      <c r="L2814">
        <v>399</v>
      </c>
      <c r="M2814" t="s">
        <v>1093</v>
      </c>
      <c r="N2814" t="s">
        <v>1094</v>
      </c>
      <c r="O2814">
        <f>Table1[[#This Row],[Unit_Price]]*Table1[[#This Row],[Quantity]]</f>
        <v>140</v>
      </c>
    </row>
    <row r="2815" spans="1:15" x14ac:dyDescent="0.3">
      <c r="A2815" t="s">
        <v>4628</v>
      </c>
      <c r="B2815" t="s">
        <v>1202</v>
      </c>
      <c r="C2815" t="s">
        <v>585</v>
      </c>
      <c r="D2815" t="s">
        <v>1068</v>
      </c>
      <c r="E2815">
        <v>1</v>
      </c>
      <c r="F2815">
        <f>_xlfn.XLOOKUP(Table1[[#This Row],[ProductID]],Products!A:A,Products!D:D,,0)</f>
        <v>180</v>
      </c>
      <c r="I2815">
        <v>449</v>
      </c>
      <c r="J2815">
        <v>449</v>
      </c>
      <c r="K2815" t="s">
        <v>1102</v>
      </c>
      <c r="L2815">
        <v>449</v>
      </c>
      <c r="M2815" t="s">
        <v>1126</v>
      </c>
      <c r="N2815" t="s">
        <v>1099</v>
      </c>
      <c r="O2815">
        <f>Table1[[#This Row],[Unit_Price]]*Table1[[#This Row],[Quantity]]</f>
        <v>180</v>
      </c>
    </row>
    <row r="2816" spans="1:15" x14ac:dyDescent="0.3">
      <c r="A2816" t="s">
        <v>4629</v>
      </c>
      <c r="B2816" t="s">
        <v>2778</v>
      </c>
      <c r="C2816" t="s">
        <v>341</v>
      </c>
      <c r="D2816" t="s">
        <v>1055</v>
      </c>
      <c r="E2816">
        <v>1</v>
      </c>
      <c r="F2816">
        <f>_xlfn.XLOOKUP(Table1[[#This Row],[ProductID]],Products!A:A,Products!D:D,,0)</f>
        <v>75</v>
      </c>
      <c r="I2816">
        <v>299</v>
      </c>
      <c r="J2816">
        <v>239</v>
      </c>
      <c r="K2816" t="s">
        <v>1097</v>
      </c>
      <c r="L2816">
        <v>239</v>
      </c>
      <c r="M2816" t="s">
        <v>1098</v>
      </c>
      <c r="N2816" t="s">
        <v>1099</v>
      </c>
      <c r="O2816">
        <f>Table1[[#This Row],[Unit_Price]]*Table1[[#This Row],[Quantity]]</f>
        <v>75</v>
      </c>
    </row>
    <row r="2817" spans="1:15" x14ac:dyDescent="0.3">
      <c r="A2817" t="s">
        <v>4630</v>
      </c>
      <c r="B2817" t="s">
        <v>2116</v>
      </c>
      <c r="C2817" t="s">
        <v>443</v>
      </c>
      <c r="D2817" t="s">
        <v>1048</v>
      </c>
      <c r="E2817">
        <v>1</v>
      </c>
      <c r="F2817">
        <f>_xlfn.XLOOKUP(Table1[[#This Row],[ProductID]],Products!A:A,Products!D:D,,0)</f>
        <v>120</v>
      </c>
      <c r="I2817">
        <v>599</v>
      </c>
      <c r="J2817">
        <v>539</v>
      </c>
      <c r="K2817" t="s">
        <v>1107</v>
      </c>
      <c r="L2817">
        <v>539</v>
      </c>
      <c r="M2817" t="s">
        <v>1093</v>
      </c>
      <c r="N2817" t="s">
        <v>1094</v>
      </c>
      <c r="O2817">
        <f>Table1[[#This Row],[Unit_Price]]*Table1[[#This Row],[Quantity]]</f>
        <v>120</v>
      </c>
    </row>
    <row r="2818" spans="1:15" x14ac:dyDescent="0.3">
      <c r="A2818" t="s">
        <v>4631</v>
      </c>
      <c r="B2818" t="s">
        <v>2819</v>
      </c>
      <c r="C2818" t="s">
        <v>745</v>
      </c>
      <c r="D2818" t="s">
        <v>1053</v>
      </c>
      <c r="E2818">
        <v>1</v>
      </c>
      <c r="F2818">
        <f>_xlfn.XLOOKUP(Table1[[#This Row],[ProductID]],Products!A:A,Products!D:D,,0)</f>
        <v>200</v>
      </c>
      <c r="I2818">
        <v>899</v>
      </c>
      <c r="J2818">
        <v>899</v>
      </c>
      <c r="K2818" t="s">
        <v>1102</v>
      </c>
      <c r="L2818">
        <v>899</v>
      </c>
      <c r="M2818" t="s">
        <v>1093</v>
      </c>
      <c r="N2818" t="s">
        <v>1094</v>
      </c>
      <c r="O2818">
        <f>Table1[[#This Row],[Unit_Price]]*Table1[[#This Row],[Quantity]]</f>
        <v>200</v>
      </c>
    </row>
    <row r="2819" spans="1:15" x14ac:dyDescent="0.3">
      <c r="A2819" t="s">
        <v>4632</v>
      </c>
      <c r="B2819" t="s">
        <v>2967</v>
      </c>
      <c r="C2819" t="s">
        <v>259</v>
      </c>
      <c r="D2819" t="s">
        <v>1053</v>
      </c>
      <c r="E2819">
        <v>1</v>
      </c>
      <c r="F2819">
        <f>_xlfn.XLOOKUP(Table1[[#This Row],[ProductID]],Products!A:A,Products!D:D,,0)</f>
        <v>200</v>
      </c>
      <c r="I2819">
        <v>899</v>
      </c>
      <c r="J2819">
        <v>764</v>
      </c>
      <c r="K2819" t="s">
        <v>1092</v>
      </c>
      <c r="L2819">
        <v>764</v>
      </c>
      <c r="M2819" t="s">
        <v>1126</v>
      </c>
      <c r="N2819" t="s">
        <v>1099</v>
      </c>
      <c r="O2819">
        <f>Table1[[#This Row],[Unit_Price]]*Table1[[#This Row],[Quantity]]</f>
        <v>200</v>
      </c>
    </row>
    <row r="2820" spans="1:15" x14ac:dyDescent="0.3">
      <c r="A2820" t="s">
        <v>4633</v>
      </c>
      <c r="B2820" t="s">
        <v>4110</v>
      </c>
      <c r="C2820" t="s">
        <v>76</v>
      </c>
      <c r="D2820" t="s">
        <v>1071</v>
      </c>
      <c r="E2820">
        <v>2</v>
      </c>
      <c r="F2820">
        <f>_xlfn.XLOOKUP(Table1[[#This Row],[ProductID]],Products!A:A,Products!D:D,,0)</f>
        <v>125</v>
      </c>
      <c r="I2820">
        <v>399</v>
      </c>
      <c r="J2820">
        <v>359</v>
      </c>
      <c r="K2820" t="s">
        <v>1107</v>
      </c>
      <c r="L2820">
        <v>718</v>
      </c>
      <c r="M2820" t="s">
        <v>1098</v>
      </c>
      <c r="N2820" t="s">
        <v>1099</v>
      </c>
      <c r="O2820">
        <f>Table1[[#This Row],[Unit_Price]]*Table1[[#This Row],[Quantity]]</f>
        <v>250</v>
      </c>
    </row>
    <row r="2821" spans="1:15" x14ac:dyDescent="0.3">
      <c r="A2821" t="s">
        <v>4634</v>
      </c>
      <c r="B2821" t="s">
        <v>2645</v>
      </c>
      <c r="C2821" t="s">
        <v>106</v>
      </c>
      <c r="D2821" t="s">
        <v>1059</v>
      </c>
      <c r="E2821">
        <v>1</v>
      </c>
      <c r="F2821">
        <f>_xlfn.XLOOKUP(Table1[[#This Row],[ProductID]],Products!A:A,Products!D:D,,0)</f>
        <v>110</v>
      </c>
      <c r="I2821">
        <v>399</v>
      </c>
      <c r="J2821">
        <v>399</v>
      </c>
      <c r="K2821" t="s">
        <v>1102</v>
      </c>
      <c r="L2821">
        <v>399</v>
      </c>
      <c r="M2821" t="s">
        <v>1098</v>
      </c>
      <c r="N2821" t="s">
        <v>1099</v>
      </c>
      <c r="O2821">
        <f>Table1[[#This Row],[Unit_Price]]*Table1[[#This Row],[Quantity]]</f>
        <v>110</v>
      </c>
    </row>
    <row r="2822" spans="1:15" x14ac:dyDescent="0.3">
      <c r="A2822" t="s">
        <v>4635</v>
      </c>
      <c r="B2822" t="s">
        <v>1426</v>
      </c>
      <c r="C2822" t="s">
        <v>291</v>
      </c>
      <c r="D2822" t="s">
        <v>1048</v>
      </c>
      <c r="E2822">
        <v>3</v>
      </c>
      <c r="F2822">
        <f>_xlfn.XLOOKUP(Table1[[#This Row],[ProductID]],Products!A:A,Products!D:D,,0)</f>
        <v>120</v>
      </c>
      <c r="I2822">
        <v>599</v>
      </c>
      <c r="J2822">
        <v>509</v>
      </c>
      <c r="K2822" t="s">
        <v>1092</v>
      </c>
      <c r="L2822">
        <v>1527</v>
      </c>
      <c r="M2822" t="s">
        <v>1093</v>
      </c>
      <c r="N2822" t="s">
        <v>1099</v>
      </c>
      <c r="O2822">
        <f>Table1[[#This Row],[Unit_Price]]*Table1[[#This Row],[Quantity]]</f>
        <v>360</v>
      </c>
    </row>
    <row r="2823" spans="1:15" x14ac:dyDescent="0.3">
      <c r="A2823" t="s">
        <v>4636</v>
      </c>
      <c r="B2823" t="s">
        <v>2344</v>
      </c>
      <c r="C2823" t="s">
        <v>475</v>
      </c>
      <c r="D2823" t="s">
        <v>1048</v>
      </c>
      <c r="E2823">
        <v>1</v>
      </c>
      <c r="F2823">
        <f>_xlfn.XLOOKUP(Table1[[#This Row],[ProductID]],Products!A:A,Products!D:D,,0)</f>
        <v>120</v>
      </c>
      <c r="I2823">
        <v>599</v>
      </c>
      <c r="J2823">
        <v>509</v>
      </c>
      <c r="K2823" t="s">
        <v>1092</v>
      </c>
      <c r="L2823">
        <v>509</v>
      </c>
      <c r="M2823" t="s">
        <v>1098</v>
      </c>
      <c r="N2823" t="s">
        <v>1099</v>
      </c>
      <c r="O2823">
        <f>Table1[[#This Row],[Unit_Price]]*Table1[[#This Row],[Quantity]]</f>
        <v>120</v>
      </c>
    </row>
    <row r="2824" spans="1:15" x14ac:dyDescent="0.3">
      <c r="A2824" t="s">
        <v>4637</v>
      </c>
      <c r="B2824" t="s">
        <v>1154</v>
      </c>
      <c r="C2824" t="s">
        <v>213</v>
      </c>
      <c r="D2824" t="s">
        <v>1073</v>
      </c>
      <c r="E2824">
        <v>1</v>
      </c>
      <c r="F2824">
        <f>_xlfn.XLOOKUP(Table1[[#This Row],[ProductID]],Products!A:A,Products!D:D,,0)</f>
        <v>100</v>
      </c>
      <c r="I2824">
        <v>349</v>
      </c>
      <c r="J2824">
        <v>349</v>
      </c>
      <c r="K2824" t="s">
        <v>1102</v>
      </c>
      <c r="L2824">
        <v>349</v>
      </c>
      <c r="M2824" t="s">
        <v>1118</v>
      </c>
      <c r="N2824" t="s">
        <v>1099</v>
      </c>
      <c r="O2824">
        <f>Table1[[#This Row],[Unit_Price]]*Table1[[#This Row],[Quantity]]</f>
        <v>100</v>
      </c>
    </row>
    <row r="2825" spans="1:15" x14ac:dyDescent="0.3">
      <c r="A2825" t="s">
        <v>4638</v>
      </c>
      <c r="B2825" t="s">
        <v>1198</v>
      </c>
      <c r="C2825" t="s">
        <v>813</v>
      </c>
      <c r="D2825" t="s">
        <v>1068</v>
      </c>
      <c r="E2825">
        <v>1</v>
      </c>
      <c r="F2825">
        <f>_xlfn.XLOOKUP(Table1[[#This Row],[ProductID]],Products!A:A,Products!D:D,,0)</f>
        <v>180</v>
      </c>
      <c r="I2825">
        <v>449</v>
      </c>
      <c r="J2825">
        <v>404</v>
      </c>
      <c r="K2825" t="s">
        <v>1107</v>
      </c>
      <c r="L2825">
        <v>404</v>
      </c>
      <c r="M2825" t="s">
        <v>1098</v>
      </c>
      <c r="N2825" t="s">
        <v>1099</v>
      </c>
      <c r="O2825">
        <f>Table1[[#This Row],[Unit_Price]]*Table1[[#This Row],[Quantity]]</f>
        <v>180</v>
      </c>
    </row>
    <row r="2826" spans="1:15" x14ac:dyDescent="0.3">
      <c r="A2826" t="s">
        <v>4639</v>
      </c>
      <c r="B2826" t="s">
        <v>2008</v>
      </c>
      <c r="C2826" t="s">
        <v>165</v>
      </c>
      <c r="D2826" t="s">
        <v>1059</v>
      </c>
      <c r="E2826">
        <v>1</v>
      </c>
      <c r="F2826">
        <f>_xlfn.XLOOKUP(Table1[[#This Row],[ProductID]],Products!A:A,Products!D:D,,0)</f>
        <v>110</v>
      </c>
      <c r="I2826">
        <v>399</v>
      </c>
      <c r="J2826">
        <v>399</v>
      </c>
      <c r="K2826" t="s">
        <v>1102</v>
      </c>
      <c r="L2826">
        <v>399</v>
      </c>
      <c r="M2826" t="s">
        <v>1118</v>
      </c>
      <c r="N2826" t="s">
        <v>1099</v>
      </c>
      <c r="O2826">
        <f>Table1[[#This Row],[Unit_Price]]*Table1[[#This Row],[Quantity]]</f>
        <v>110</v>
      </c>
    </row>
    <row r="2827" spans="1:15" x14ac:dyDescent="0.3">
      <c r="A2827" t="s">
        <v>4640</v>
      </c>
      <c r="B2827" t="s">
        <v>1445</v>
      </c>
      <c r="C2827" t="s">
        <v>321</v>
      </c>
      <c r="D2827" t="s">
        <v>1062</v>
      </c>
      <c r="E2827">
        <v>3</v>
      </c>
      <c r="F2827">
        <f>_xlfn.XLOOKUP(Table1[[#This Row],[ProductID]],Products!A:A,Products!D:D,,0)</f>
        <v>95</v>
      </c>
      <c r="I2827">
        <v>349</v>
      </c>
      <c r="J2827">
        <v>279</v>
      </c>
      <c r="K2827" t="s">
        <v>1097</v>
      </c>
      <c r="L2827">
        <v>837</v>
      </c>
      <c r="M2827" t="s">
        <v>1098</v>
      </c>
      <c r="N2827" t="s">
        <v>1099</v>
      </c>
      <c r="O2827">
        <f>Table1[[#This Row],[Unit_Price]]*Table1[[#This Row],[Quantity]]</f>
        <v>285</v>
      </c>
    </row>
    <row r="2828" spans="1:15" x14ac:dyDescent="0.3">
      <c r="A2828" t="s">
        <v>4641</v>
      </c>
      <c r="B2828" t="s">
        <v>4110</v>
      </c>
      <c r="C2828" t="s">
        <v>829</v>
      </c>
      <c r="D2828" t="s">
        <v>1053</v>
      </c>
      <c r="E2828">
        <v>1</v>
      </c>
      <c r="F2828">
        <f>_xlfn.XLOOKUP(Table1[[#This Row],[ProductID]],Products!A:A,Products!D:D,,0)</f>
        <v>200</v>
      </c>
      <c r="I2828">
        <v>899</v>
      </c>
      <c r="J2828">
        <v>719</v>
      </c>
      <c r="K2828" t="s">
        <v>1097</v>
      </c>
      <c r="L2828">
        <v>719</v>
      </c>
      <c r="M2828" t="s">
        <v>1098</v>
      </c>
      <c r="N2828" t="s">
        <v>1099</v>
      </c>
      <c r="O2828">
        <f>Table1[[#This Row],[Unit_Price]]*Table1[[#This Row],[Quantity]]</f>
        <v>200</v>
      </c>
    </row>
    <row r="2829" spans="1:15" x14ac:dyDescent="0.3">
      <c r="A2829" t="s">
        <v>4642</v>
      </c>
      <c r="B2829" t="s">
        <v>2365</v>
      </c>
      <c r="C2829" t="s">
        <v>475</v>
      </c>
      <c r="D2829" t="s">
        <v>1073</v>
      </c>
      <c r="E2829">
        <v>2</v>
      </c>
      <c r="F2829">
        <f>_xlfn.XLOOKUP(Table1[[#This Row],[ProductID]],Products!A:A,Products!D:D,,0)</f>
        <v>100</v>
      </c>
      <c r="I2829">
        <v>349</v>
      </c>
      <c r="J2829">
        <v>349</v>
      </c>
      <c r="K2829" t="s">
        <v>1102</v>
      </c>
      <c r="L2829">
        <v>698</v>
      </c>
      <c r="M2829" t="s">
        <v>1093</v>
      </c>
      <c r="N2829" t="s">
        <v>1099</v>
      </c>
      <c r="O2829">
        <f>Table1[[#This Row],[Unit_Price]]*Table1[[#This Row],[Quantity]]</f>
        <v>200</v>
      </c>
    </row>
    <row r="2830" spans="1:15" x14ac:dyDescent="0.3">
      <c r="A2830" t="s">
        <v>4643</v>
      </c>
      <c r="B2830" t="s">
        <v>3358</v>
      </c>
      <c r="C2830" t="s">
        <v>473</v>
      </c>
      <c r="D2830" t="s">
        <v>1053</v>
      </c>
      <c r="E2830">
        <v>2</v>
      </c>
      <c r="F2830">
        <f>_xlfn.XLOOKUP(Table1[[#This Row],[ProductID]],Products!A:A,Products!D:D,,0)</f>
        <v>200</v>
      </c>
      <c r="I2830">
        <v>899</v>
      </c>
      <c r="J2830">
        <v>809</v>
      </c>
      <c r="K2830" t="s">
        <v>1107</v>
      </c>
      <c r="L2830">
        <v>1618</v>
      </c>
      <c r="M2830" t="s">
        <v>1098</v>
      </c>
      <c r="N2830" t="s">
        <v>1099</v>
      </c>
      <c r="O2830">
        <f>Table1[[#This Row],[Unit_Price]]*Table1[[#This Row],[Quantity]]</f>
        <v>400</v>
      </c>
    </row>
    <row r="2831" spans="1:15" x14ac:dyDescent="0.3">
      <c r="A2831" t="s">
        <v>4644</v>
      </c>
      <c r="B2831" t="s">
        <v>1709</v>
      </c>
      <c r="C2831" t="s">
        <v>579</v>
      </c>
      <c r="D2831" t="s">
        <v>1075</v>
      </c>
      <c r="E2831">
        <v>1</v>
      </c>
      <c r="F2831">
        <f>_xlfn.XLOOKUP(Table1[[#This Row],[ProductID]],Products!A:A,Products!D:D,,0)</f>
        <v>80</v>
      </c>
      <c r="I2831">
        <v>499</v>
      </c>
      <c r="J2831">
        <v>499</v>
      </c>
      <c r="K2831" t="s">
        <v>1102</v>
      </c>
      <c r="L2831">
        <v>499</v>
      </c>
      <c r="M2831" t="s">
        <v>1093</v>
      </c>
      <c r="N2831" t="s">
        <v>1099</v>
      </c>
      <c r="O2831">
        <f>Table1[[#This Row],[Unit_Price]]*Table1[[#This Row],[Quantity]]</f>
        <v>80</v>
      </c>
    </row>
    <row r="2832" spans="1:15" x14ac:dyDescent="0.3">
      <c r="A2832" t="s">
        <v>4645</v>
      </c>
      <c r="B2832" t="s">
        <v>1805</v>
      </c>
      <c r="C2832" t="s">
        <v>805</v>
      </c>
      <c r="D2832" t="s">
        <v>1053</v>
      </c>
      <c r="E2832">
        <v>3</v>
      </c>
      <c r="F2832">
        <f>_xlfn.XLOOKUP(Table1[[#This Row],[ProductID]],Products!A:A,Products!D:D,,0)</f>
        <v>200</v>
      </c>
      <c r="I2832">
        <v>899</v>
      </c>
      <c r="J2832">
        <v>719</v>
      </c>
      <c r="K2832" t="s">
        <v>1097</v>
      </c>
      <c r="L2832">
        <v>2157</v>
      </c>
      <c r="M2832" t="s">
        <v>1093</v>
      </c>
      <c r="N2832" t="s">
        <v>1099</v>
      </c>
      <c r="O2832">
        <f>Table1[[#This Row],[Unit_Price]]*Table1[[#This Row],[Quantity]]</f>
        <v>600</v>
      </c>
    </row>
    <row r="2833" spans="1:15" x14ac:dyDescent="0.3">
      <c r="A2833" t="s">
        <v>4646</v>
      </c>
      <c r="B2833" t="s">
        <v>1457</v>
      </c>
      <c r="C2833" t="s">
        <v>599</v>
      </c>
      <c r="D2833" t="s">
        <v>1062</v>
      </c>
      <c r="E2833">
        <v>1</v>
      </c>
      <c r="F2833">
        <f>_xlfn.XLOOKUP(Table1[[#This Row],[ProductID]],Products!A:A,Products!D:D,,0)</f>
        <v>95</v>
      </c>
      <c r="I2833">
        <v>349</v>
      </c>
      <c r="J2833">
        <v>314</v>
      </c>
      <c r="K2833" t="s">
        <v>1107</v>
      </c>
      <c r="L2833">
        <v>314</v>
      </c>
      <c r="M2833" t="s">
        <v>1098</v>
      </c>
      <c r="N2833" t="s">
        <v>1099</v>
      </c>
      <c r="O2833">
        <f>Table1[[#This Row],[Unit_Price]]*Table1[[#This Row],[Quantity]]</f>
        <v>95</v>
      </c>
    </row>
    <row r="2834" spans="1:15" x14ac:dyDescent="0.3">
      <c r="A2834" t="s">
        <v>4647</v>
      </c>
      <c r="B2834" t="s">
        <v>2072</v>
      </c>
      <c r="C2834" t="s">
        <v>451</v>
      </c>
      <c r="D2834" t="s">
        <v>1071</v>
      </c>
      <c r="E2834">
        <v>1</v>
      </c>
      <c r="F2834">
        <f>_xlfn.XLOOKUP(Table1[[#This Row],[ProductID]],Products!A:A,Products!D:D,,0)</f>
        <v>125</v>
      </c>
      <c r="I2834">
        <v>399</v>
      </c>
      <c r="J2834">
        <v>399</v>
      </c>
      <c r="K2834" t="s">
        <v>1102</v>
      </c>
      <c r="L2834">
        <v>399</v>
      </c>
      <c r="M2834" t="s">
        <v>1098</v>
      </c>
      <c r="N2834" t="s">
        <v>1099</v>
      </c>
      <c r="O2834">
        <f>Table1[[#This Row],[Unit_Price]]*Table1[[#This Row],[Quantity]]</f>
        <v>125</v>
      </c>
    </row>
    <row r="2835" spans="1:15" x14ac:dyDescent="0.3">
      <c r="A2835" t="s">
        <v>4648</v>
      </c>
      <c r="B2835" t="s">
        <v>1254</v>
      </c>
      <c r="C2835" t="s">
        <v>265</v>
      </c>
      <c r="D2835" t="s">
        <v>1071</v>
      </c>
      <c r="E2835">
        <v>2</v>
      </c>
      <c r="F2835">
        <f>_xlfn.XLOOKUP(Table1[[#This Row],[ProductID]],Products!A:A,Products!D:D,,0)</f>
        <v>125</v>
      </c>
      <c r="I2835">
        <v>399</v>
      </c>
      <c r="J2835">
        <v>399</v>
      </c>
      <c r="K2835" t="s">
        <v>1102</v>
      </c>
      <c r="L2835">
        <v>798</v>
      </c>
      <c r="M2835" t="s">
        <v>1093</v>
      </c>
      <c r="N2835" t="s">
        <v>1094</v>
      </c>
      <c r="O2835">
        <f>Table1[[#This Row],[Unit_Price]]*Table1[[#This Row],[Quantity]]</f>
        <v>250</v>
      </c>
    </row>
    <row r="2836" spans="1:15" x14ac:dyDescent="0.3">
      <c r="A2836" t="s">
        <v>4649</v>
      </c>
      <c r="B2836" t="s">
        <v>1359</v>
      </c>
      <c r="C2836" t="s">
        <v>297</v>
      </c>
      <c r="D2836" t="s">
        <v>1055</v>
      </c>
      <c r="E2836">
        <v>1</v>
      </c>
      <c r="F2836">
        <f>_xlfn.XLOOKUP(Table1[[#This Row],[ProductID]],Products!A:A,Products!D:D,,0)</f>
        <v>75</v>
      </c>
      <c r="I2836">
        <v>299</v>
      </c>
      <c r="J2836">
        <v>254</v>
      </c>
      <c r="K2836" t="s">
        <v>1092</v>
      </c>
      <c r="L2836">
        <v>254</v>
      </c>
      <c r="M2836" t="s">
        <v>1098</v>
      </c>
      <c r="N2836" t="s">
        <v>1099</v>
      </c>
      <c r="O2836">
        <f>Table1[[#This Row],[Unit_Price]]*Table1[[#This Row],[Quantity]]</f>
        <v>75</v>
      </c>
    </row>
    <row r="2837" spans="1:15" x14ac:dyDescent="0.3">
      <c r="A2837" t="s">
        <v>4650</v>
      </c>
      <c r="B2837" t="s">
        <v>1882</v>
      </c>
      <c r="C2837" t="s">
        <v>749</v>
      </c>
      <c r="D2837" t="s">
        <v>1055</v>
      </c>
      <c r="E2837">
        <v>1</v>
      </c>
      <c r="F2837">
        <f>_xlfn.XLOOKUP(Table1[[#This Row],[ProductID]],Products!A:A,Products!D:D,,0)</f>
        <v>75</v>
      </c>
      <c r="I2837">
        <v>299</v>
      </c>
      <c r="J2837">
        <v>299</v>
      </c>
      <c r="K2837" t="s">
        <v>1102</v>
      </c>
      <c r="L2837">
        <v>299</v>
      </c>
      <c r="M2837" t="s">
        <v>1098</v>
      </c>
      <c r="N2837" t="s">
        <v>1099</v>
      </c>
      <c r="O2837">
        <f>Table1[[#This Row],[Unit_Price]]*Table1[[#This Row],[Quantity]]</f>
        <v>75</v>
      </c>
    </row>
    <row r="2838" spans="1:15" x14ac:dyDescent="0.3">
      <c r="A2838" t="s">
        <v>4651</v>
      </c>
      <c r="B2838" t="s">
        <v>4382</v>
      </c>
      <c r="C2838" t="s">
        <v>887</v>
      </c>
      <c r="D2838" t="s">
        <v>1075</v>
      </c>
      <c r="E2838">
        <v>1</v>
      </c>
      <c r="F2838">
        <f>_xlfn.XLOOKUP(Table1[[#This Row],[ProductID]],Products!A:A,Products!D:D,,0)</f>
        <v>80</v>
      </c>
      <c r="I2838">
        <v>499</v>
      </c>
      <c r="J2838">
        <v>499</v>
      </c>
      <c r="K2838" t="s">
        <v>1102</v>
      </c>
      <c r="L2838">
        <v>499</v>
      </c>
      <c r="M2838" t="s">
        <v>1098</v>
      </c>
      <c r="N2838" t="s">
        <v>1099</v>
      </c>
      <c r="O2838">
        <f>Table1[[#This Row],[Unit_Price]]*Table1[[#This Row],[Quantity]]</f>
        <v>80</v>
      </c>
    </row>
    <row r="2839" spans="1:15" x14ac:dyDescent="0.3">
      <c r="A2839" t="s">
        <v>4652</v>
      </c>
      <c r="B2839" t="s">
        <v>1659</v>
      </c>
      <c r="C2839" t="s">
        <v>387</v>
      </c>
      <c r="D2839" t="s">
        <v>1048</v>
      </c>
      <c r="E2839">
        <v>1</v>
      </c>
      <c r="F2839">
        <f>_xlfn.XLOOKUP(Table1[[#This Row],[ProductID]],Products!A:A,Products!D:D,,0)</f>
        <v>120</v>
      </c>
      <c r="I2839">
        <v>599</v>
      </c>
      <c r="J2839">
        <v>539</v>
      </c>
      <c r="K2839" t="s">
        <v>1107</v>
      </c>
      <c r="L2839">
        <v>539</v>
      </c>
      <c r="M2839" t="s">
        <v>1093</v>
      </c>
      <c r="N2839" t="s">
        <v>1094</v>
      </c>
      <c r="O2839">
        <f>Table1[[#This Row],[Unit_Price]]*Table1[[#This Row],[Quantity]]</f>
        <v>120</v>
      </c>
    </row>
    <row r="2840" spans="1:15" x14ac:dyDescent="0.3">
      <c r="A2840" t="s">
        <v>4653</v>
      </c>
      <c r="B2840" t="s">
        <v>2491</v>
      </c>
      <c r="C2840" t="s">
        <v>563</v>
      </c>
      <c r="D2840" t="s">
        <v>1057</v>
      </c>
      <c r="E2840">
        <v>1</v>
      </c>
      <c r="F2840">
        <f>_xlfn.XLOOKUP(Table1[[#This Row],[ProductID]],Products!A:A,Products!D:D,,0)</f>
        <v>130</v>
      </c>
      <c r="I2840">
        <v>549</v>
      </c>
      <c r="J2840">
        <v>549</v>
      </c>
      <c r="K2840" t="s">
        <v>1102</v>
      </c>
      <c r="L2840">
        <v>549</v>
      </c>
      <c r="M2840" t="s">
        <v>1098</v>
      </c>
      <c r="N2840" t="s">
        <v>1099</v>
      </c>
      <c r="O2840">
        <f>Table1[[#This Row],[Unit_Price]]*Table1[[#This Row],[Quantity]]</f>
        <v>130</v>
      </c>
    </row>
    <row r="2841" spans="1:15" x14ac:dyDescent="0.3">
      <c r="A2841" t="s">
        <v>4654</v>
      </c>
      <c r="B2841" t="s">
        <v>1855</v>
      </c>
      <c r="C2841" t="s">
        <v>519</v>
      </c>
      <c r="D2841" t="s">
        <v>1075</v>
      </c>
      <c r="E2841">
        <v>1</v>
      </c>
      <c r="F2841">
        <f>_xlfn.XLOOKUP(Table1[[#This Row],[ProductID]],Products!A:A,Products!D:D,,0)</f>
        <v>80</v>
      </c>
      <c r="I2841">
        <v>499</v>
      </c>
      <c r="J2841">
        <v>424</v>
      </c>
      <c r="K2841" t="s">
        <v>1092</v>
      </c>
      <c r="L2841">
        <v>424</v>
      </c>
      <c r="M2841" t="s">
        <v>1098</v>
      </c>
      <c r="N2841" t="s">
        <v>1099</v>
      </c>
      <c r="O2841">
        <f>Table1[[#This Row],[Unit_Price]]*Table1[[#This Row],[Quantity]]</f>
        <v>80</v>
      </c>
    </row>
    <row r="2842" spans="1:15" x14ac:dyDescent="0.3">
      <c r="A2842" t="s">
        <v>4655</v>
      </c>
      <c r="B2842" t="s">
        <v>2496</v>
      </c>
      <c r="C2842" t="s">
        <v>641</v>
      </c>
      <c r="D2842" t="s">
        <v>1048</v>
      </c>
      <c r="E2842">
        <v>1</v>
      </c>
      <c r="F2842">
        <f>_xlfn.XLOOKUP(Table1[[#This Row],[ProductID]],Products!A:A,Products!D:D,,0)</f>
        <v>120</v>
      </c>
      <c r="I2842">
        <v>599</v>
      </c>
      <c r="J2842">
        <v>539</v>
      </c>
      <c r="K2842" t="s">
        <v>1107</v>
      </c>
      <c r="L2842">
        <v>539</v>
      </c>
      <c r="M2842" t="s">
        <v>1098</v>
      </c>
      <c r="N2842" t="s">
        <v>1099</v>
      </c>
      <c r="O2842">
        <f>Table1[[#This Row],[Unit_Price]]*Table1[[#This Row],[Quantity]]</f>
        <v>120</v>
      </c>
    </row>
    <row r="2843" spans="1:15" x14ac:dyDescent="0.3">
      <c r="A2843" t="s">
        <v>4656</v>
      </c>
      <c r="B2843" t="s">
        <v>1770</v>
      </c>
      <c r="C2843" t="s">
        <v>563</v>
      </c>
      <c r="D2843" t="s">
        <v>1073</v>
      </c>
      <c r="E2843">
        <v>3</v>
      </c>
      <c r="F2843">
        <f>_xlfn.XLOOKUP(Table1[[#This Row],[ProductID]],Products!A:A,Products!D:D,,0)</f>
        <v>100</v>
      </c>
      <c r="I2843">
        <v>349</v>
      </c>
      <c r="J2843">
        <v>349</v>
      </c>
      <c r="K2843" t="s">
        <v>1102</v>
      </c>
      <c r="L2843">
        <v>1047</v>
      </c>
      <c r="M2843" t="s">
        <v>1126</v>
      </c>
      <c r="N2843" t="s">
        <v>1099</v>
      </c>
      <c r="O2843">
        <f>Table1[[#This Row],[Unit_Price]]*Table1[[#This Row],[Quantity]]</f>
        <v>300</v>
      </c>
    </row>
    <row r="2844" spans="1:15" x14ac:dyDescent="0.3">
      <c r="A2844" t="s">
        <v>4657</v>
      </c>
      <c r="B2844" t="s">
        <v>2407</v>
      </c>
      <c r="C2844" t="s">
        <v>487</v>
      </c>
      <c r="D2844" t="s">
        <v>1051</v>
      </c>
      <c r="E2844">
        <v>2</v>
      </c>
      <c r="F2844">
        <f>_xlfn.XLOOKUP(Table1[[#This Row],[ProductID]],Products!A:A,Products!D:D,,0)</f>
        <v>150</v>
      </c>
      <c r="I2844">
        <v>499</v>
      </c>
      <c r="J2844">
        <v>449</v>
      </c>
      <c r="K2844" t="s">
        <v>1107</v>
      </c>
      <c r="L2844">
        <v>898</v>
      </c>
      <c r="M2844" t="s">
        <v>1093</v>
      </c>
      <c r="N2844" t="s">
        <v>1099</v>
      </c>
      <c r="O2844">
        <f>Table1[[#This Row],[Unit_Price]]*Table1[[#This Row],[Quantity]]</f>
        <v>300</v>
      </c>
    </row>
    <row r="2845" spans="1:15" x14ac:dyDescent="0.3">
      <c r="A2845" t="s">
        <v>4658</v>
      </c>
      <c r="B2845" t="s">
        <v>1158</v>
      </c>
      <c r="C2845" t="s">
        <v>553</v>
      </c>
      <c r="D2845" t="s">
        <v>1057</v>
      </c>
      <c r="E2845">
        <v>1</v>
      </c>
      <c r="F2845">
        <f>_xlfn.XLOOKUP(Table1[[#This Row],[ProductID]],Products!A:A,Products!D:D,,0)</f>
        <v>130</v>
      </c>
      <c r="I2845">
        <v>549</v>
      </c>
      <c r="J2845">
        <v>467</v>
      </c>
      <c r="K2845" t="s">
        <v>1092</v>
      </c>
      <c r="L2845">
        <v>467</v>
      </c>
      <c r="M2845" t="s">
        <v>1126</v>
      </c>
      <c r="N2845" t="s">
        <v>1099</v>
      </c>
      <c r="O2845">
        <f>Table1[[#This Row],[Unit_Price]]*Table1[[#This Row],[Quantity]]</f>
        <v>130</v>
      </c>
    </row>
    <row r="2846" spans="1:15" x14ac:dyDescent="0.3">
      <c r="A2846" t="s">
        <v>4659</v>
      </c>
      <c r="B2846" t="s">
        <v>2267</v>
      </c>
      <c r="C2846" t="s">
        <v>383</v>
      </c>
      <c r="D2846" t="s">
        <v>1059</v>
      </c>
      <c r="E2846">
        <v>1</v>
      </c>
      <c r="F2846">
        <f>_xlfn.XLOOKUP(Table1[[#This Row],[ProductID]],Products!A:A,Products!D:D,,0)</f>
        <v>110</v>
      </c>
      <c r="I2846">
        <v>399</v>
      </c>
      <c r="J2846">
        <v>399</v>
      </c>
      <c r="K2846" t="s">
        <v>1102</v>
      </c>
      <c r="L2846">
        <v>399</v>
      </c>
      <c r="M2846" t="s">
        <v>1093</v>
      </c>
      <c r="N2846" t="s">
        <v>1123</v>
      </c>
      <c r="O2846">
        <f>Table1[[#This Row],[Unit_Price]]*Table1[[#This Row],[Quantity]]</f>
        <v>110</v>
      </c>
    </row>
    <row r="2847" spans="1:15" x14ac:dyDescent="0.3">
      <c r="A2847" t="s">
        <v>4660</v>
      </c>
      <c r="B2847" t="s">
        <v>1761</v>
      </c>
      <c r="C2847" t="s">
        <v>529</v>
      </c>
      <c r="D2847" t="s">
        <v>1048</v>
      </c>
      <c r="E2847">
        <v>1</v>
      </c>
      <c r="F2847">
        <f>_xlfn.XLOOKUP(Table1[[#This Row],[ProductID]],Products!A:A,Products!D:D,,0)</f>
        <v>120</v>
      </c>
      <c r="I2847">
        <v>599</v>
      </c>
      <c r="J2847">
        <v>599</v>
      </c>
      <c r="K2847" t="s">
        <v>1102</v>
      </c>
      <c r="L2847">
        <v>599</v>
      </c>
      <c r="M2847" t="s">
        <v>1126</v>
      </c>
      <c r="N2847" t="s">
        <v>1099</v>
      </c>
      <c r="O2847">
        <f>Table1[[#This Row],[Unit_Price]]*Table1[[#This Row],[Quantity]]</f>
        <v>120</v>
      </c>
    </row>
    <row r="2848" spans="1:15" x14ac:dyDescent="0.3">
      <c r="A2848" t="s">
        <v>4661</v>
      </c>
      <c r="B2848" t="s">
        <v>4662</v>
      </c>
      <c r="C2848" t="s">
        <v>809</v>
      </c>
      <c r="D2848" t="s">
        <v>1071</v>
      </c>
      <c r="E2848">
        <v>2</v>
      </c>
      <c r="F2848">
        <f>_xlfn.XLOOKUP(Table1[[#This Row],[ProductID]],Products!A:A,Products!D:D,,0)</f>
        <v>125</v>
      </c>
      <c r="I2848">
        <v>399</v>
      </c>
      <c r="J2848">
        <v>399</v>
      </c>
      <c r="K2848" t="s">
        <v>1102</v>
      </c>
      <c r="L2848">
        <v>798</v>
      </c>
      <c r="M2848" t="s">
        <v>1098</v>
      </c>
      <c r="N2848" t="s">
        <v>1099</v>
      </c>
      <c r="O2848">
        <f>Table1[[#This Row],[Unit_Price]]*Table1[[#This Row],[Quantity]]</f>
        <v>250</v>
      </c>
    </row>
    <row r="2849" spans="1:15" x14ac:dyDescent="0.3">
      <c r="A2849" t="s">
        <v>4663</v>
      </c>
      <c r="B2849" t="s">
        <v>1196</v>
      </c>
      <c r="C2849" t="s">
        <v>219</v>
      </c>
      <c r="D2849" t="s">
        <v>1078</v>
      </c>
      <c r="E2849">
        <v>1</v>
      </c>
      <c r="F2849">
        <f>_xlfn.XLOOKUP(Table1[[#This Row],[ProductID]],Products!A:A,Products!D:D,,0)</f>
        <v>80</v>
      </c>
      <c r="I2849">
        <v>499</v>
      </c>
      <c r="J2849">
        <v>499</v>
      </c>
      <c r="K2849" t="s">
        <v>1102</v>
      </c>
      <c r="L2849">
        <v>499</v>
      </c>
      <c r="M2849" t="s">
        <v>1093</v>
      </c>
      <c r="N2849" t="s">
        <v>1094</v>
      </c>
      <c r="O2849">
        <f>Table1[[#This Row],[Unit_Price]]*Table1[[#This Row],[Quantity]]</f>
        <v>80</v>
      </c>
    </row>
    <row r="2850" spans="1:15" x14ac:dyDescent="0.3">
      <c r="A2850" t="s">
        <v>4664</v>
      </c>
      <c r="B2850" t="s">
        <v>2370</v>
      </c>
      <c r="C2850" t="s">
        <v>401</v>
      </c>
      <c r="D2850" t="s">
        <v>1053</v>
      </c>
      <c r="E2850">
        <v>2</v>
      </c>
      <c r="F2850">
        <f>_xlfn.XLOOKUP(Table1[[#This Row],[ProductID]],Products!A:A,Products!D:D,,0)</f>
        <v>200</v>
      </c>
      <c r="I2850">
        <v>899</v>
      </c>
      <c r="J2850">
        <v>764</v>
      </c>
      <c r="K2850" t="s">
        <v>1092</v>
      </c>
      <c r="L2850">
        <v>1528</v>
      </c>
      <c r="M2850" t="s">
        <v>1126</v>
      </c>
      <c r="N2850" t="s">
        <v>1099</v>
      </c>
      <c r="O2850">
        <f>Table1[[#This Row],[Unit_Price]]*Table1[[#This Row],[Quantity]]</f>
        <v>400</v>
      </c>
    </row>
    <row r="2851" spans="1:15" x14ac:dyDescent="0.3">
      <c r="A2851" t="s">
        <v>4665</v>
      </c>
      <c r="B2851" t="s">
        <v>3220</v>
      </c>
      <c r="C2851" t="s">
        <v>299</v>
      </c>
      <c r="D2851" t="s">
        <v>1071</v>
      </c>
      <c r="E2851">
        <v>1</v>
      </c>
      <c r="F2851">
        <f>_xlfn.XLOOKUP(Table1[[#This Row],[ProductID]],Products!A:A,Products!D:D,,0)</f>
        <v>125</v>
      </c>
      <c r="I2851">
        <v>399</v>
      </c>
      <c r="J2851">
        <v>339</v>
      </c>
      <c r="K2851" t="s">
        <v>1092</v>
      </c>
      <c r="L2851">
        <v>339</v>
      </c>
      <c r="M2851" t="s">
        <v>1098</v>
      </c>
      <c r="N2851" t="s">
        <v>1099</v>
      </c>
      <c r="O2851">
        <f>Table1[[#This Row],[Unit_Price]]*Table1[[#This Row],[Quantity]]</f>
        <v>125</v>
      </c>
    </row>
    <row r="2852" spans="1:15" x14ac:dyDescent="0.3">
      <c r="A2852" t="s">
        <v>4666</v>
      </c>
      <c r="B2852" t="s">
        <v>1686</v>
      </c>
      <c r="C2852" t="s">
        <v>381</v>
      </c>
      <c r="D2852" t="s">
        <v>1064</v>
      </c>
      <c r="E2852">
        <v>1</v>
      </c>
      <c r="F2852">
        <f>_xlfn.XLOOKUP(Table1[[#This Row],[ProductID]],Products!A:A,Products!D:D,,0)</f>
        <v>160</v>
      </c>
      <c r="I2852">
        <v>699</v>
      </c>
      <c r="J2852">
        <v>699</v>
      </c>
      <c r="K2852" t="s">
        <v>1102</v>
      </c>
      <c r="L2852">
        <v>699</v>
      </c>
      <c r="M2852" t="s">
        <v>1093</v>
      </c>
      <c r="N2852" t="s">
        <v>1099</v>
      </c>
      <c r="O2852">
        <f>Table1[[#This Row],[Unit_Price]]*Table1[[#This Row],[Quantity]]</f>
        <v>160</v>
      </c>
    </row>
    <row r="2853" spans="1:15" x14ac:dyDescent="0.3">
      <c r="A2853" t="s">
        <v>4667</v>
      </c>
      <c r="B2853" t="s">
        <v>1262</v>
      </c>
      <c r="C2853" t="s">
        <v>527</v>
      </c>
      <c r="D2853" t="s">
        <v>1064</v>
      </c>
      <c r="E2853">
        <v>1</v>
      </c>
      <c r="F2853">
        <f>_xlfn.XLOOKUP(Table1[[#This Row],[ProductID]],Products!A:A,Products!D:D,,0)</f>
        <v>160</v>
      </c>
      <c r="I2853">
        <v>699</v>
      </c>
      <c r="J2853">
        <v>594</v>
      </c>
      <c r="K2853" t="s">
        <v>1092</v>
      </c>
      <c r="L2853">
        <v>594</v>
      </c>
      <c r="M2853" t="s">
        <v>1098</v>
      </c>
      <c r="N2853" t="s">
        <v>1099</v>
      </c>
      <c r="O2853">
        <f>Table1[[#This Row],[Unit_Price]]*Table1[[#This Row],[Quantity]]</f>
        <v>160</v>
      </c>
    </row>
    <row r="2854" spans="1:15" x14ac:dyDescent="0.3">
      <c r="A2854" t="s">
        <v>4668</v>
      </c>
      <c r="B2854" t="s">
        <v>2391</v>
      </c>
      <c r="C2854" t="s">
        <v>643</v>
      </c>
      <c r="D2854" t="s">
        <v>1048</v>
      </c>
      <c r="E2854">
        <v>3</v>
      </c>
      <c r="F2854">
        <f>_xlfn.XLOOKUP(Table1[[#This Row],[ProductID]],Products!A:A,Products!D:D,,0)</f>
        <v>120</v>
      </c>
      <c r="I2854">
        <v>599</v>
      </c>
      <c r="J2854">
        <v>599</v>
      </c>
      <c r="K2854" t="s">
        <v>1102</v>
      </c>
      <c r="L2854">
        <v>1797</v>
      </c>
      <c r="M2854" t="s">
        <v>1098</v>
      </c>
      <c r="N2854" t="s">
        <v>1099</v>
      </c>
      <c r="O2854">
        <f>Table1[[#This Row],[Unit_Price]]*Table1[[#This Row],[Quantity]]</f>
        <v>360</v>
      </c>
    </row>
    <row r="2855" spans="1:15" x14ac:dyDescent="0.3">
      <c r="A2855" t="s">
        <v>4669</v>
      </c>
      <c r="B2855" t="s">
        <v>1648</v>
      </c>
      <c r="C2855" t="s">
        <v>195</v>
      </c>
      <c r="D2855" t="s">
        <v>1055</v>
      </c>
      <c r="E2855">
        <v>1</v>
      </c>
      <c r="F2855">
        <f>_xlfn.XLOOKUP(Table1[[#This Row],[ProductID]],Products!A:A,Products!D:D,,0)</f>
        <v>75</v>
      </c>
      <c r="I2855">
        <v>299</v>
      </c>
      <c r="J2855">
        <v>239</v>
      </c>
      <c r="K2855" t="s">
        <v>1097</v>
      </c>
      <c r="L2855">
        <v>239</v>
      </c>
      <c r="M2855" t="s">
        <v>1098</v>
      </c>
      <c r="N2855" t="s">
        <v>1099</v>
      </c>
      <c r="O2855">
        <f>Table1[[#This Row],[Unit_Price]]*Table1[[#This Row],[Quantity]]</f>
        <v>75</v>
      </c>
    </row>
    <row r="2856" spans="1:15" x14ac:dyDescent="0.3">
      <c r="A2856" t="s">
        <v>4670</v>
      </c>
      <c r="B2856" t="s">
        <v>1447</v>
      </c>
      <c r="C2856" t="s">
        <v>1039</v>
      </c>
      <c r="D2856" t="s">
        <v>1080</v>
      </c>
      <c r="E2856">
        <v>1</v>
      </c>
      <c r="F2856">
        <f>_xlfn.XLOOKUP(Table1[[#This Row],[ProductID]],Products!A:A,Products!D:D,,0)</f>
        <v>45</v>
      </c>
      <c r="I2856">
        <v>249</v>
      </c>
      <c r="J2856">
        <v>212</v>
      </c>
      <c r="K2856" t="s">
        <v>1092</v>
      </c>
      <c r="L2856">
        <v>212</v>
      </c>
      <c r="M2856" t="s">
        <v>1093</v>
      </c>
      <c r="N2856" t="s">
        <v>1099</v>
      </c>
      <c r="O2856">
        <f>Table1[[#This Row],[Unit_Price]]*Table1[[#This Row],[Quantity]]</f>
        <v>45</v>
      </c>
    </row>
    <row r="2857" spans="1:15" x14ac:dyDescent="0.3">
      <c r="A2857" t="s">
        <v>4671</v>
      </c>
      <c r="B2857" t="s">
        <v>2934</v>
      </c>
      <c r="C2857" t="s">
        <v>451</v>
      </c>
      <c r="D2857" t="s">
        <v>1078</v>
      </c>
      <c r="E2857">
        <v>1</v>
      </c>
      <c r="F2857">
        <f>_xlfn.XLOOKUP(Table1[[#This Row],[ProductID]],Products!A:A,Products!D:D,,0)</f>
        <v>80</v>
      </c>
      <c r="I2857">
        <v>499</v>
      </c>
      <c r="J2857">
        <v>499</v>
      </c>
      <c r="K2857" t="s">
        <v>1102</v>
      </c>
      <c r="L2857">
        <v>499</v>
      </c>
      <c r="M2857" t="s">
        <v>1093</v>
      </c>
      <c r="N2857" t="s">
        <v>1123</v>
      </c>
      <c r="O2857">
        <f>Table1[[#This Row],[Unit_Price]]*Table1[[#This Row],[Quantity]]</f>
        <v>80</v>
      </c>
    </row>
    <row r="2858" spans="1:15" x14ac:dyDescent="0.3">
      <c r="A2858" t="s">
        <v>4672</v>
      </c>
      <c r="B2858" t="s">
        <v>1799</v>
      </c>
      <c r="C2858" t="s">
        <v>99</v>
      </c>
      <c r="D2858" t="s">
        <v>1053</v>
      </c>
      <c r="E2858">
        <v>1</v>
      </c>
      <c r="F2858">
        <f>_xlfn.XLOOKUP(Table1[[#This Row],[ProductID]],Products!A:A,Products!D:D,,0)</f>
        <v>200</v>
      </c>
      <c r="I2858">
        <v>899</v>
      </c>
      <c r="J2858">
        <v>809</v>
      </c>
      <c r="K2858" t="s">
        <v>1107</v>
      </c>
      <c r="L2858">
        <v>809</v>
      </c>
      <c r="M2858" t="s">
        <v>1098</v>
      </c>
      <c r="N2858" t="s">
        <v>1099</v>
      </c>
      <c r="O2858">
        <f>Table1[[#This Row],[Unit_Price]]*Table1[[#This Row],[Quantity]]</f>
        <v>200</v>
      </c>
    </row>
    <row r="2859" spans="1:15" x14ac:dyDescent="0.3">
      <c r="A2859" t="s">
        <v>4673</v>
      </c>
      <c r="B2859" t="s">
        <v>1958</v>
      </c>
      <c r="C2859" t="s">
        <v>721</v>
      </c>
      <c r="D2859" t="s">
        <v>1075</v>
      </c>
      <c r="E2859">
        <v>1</v>
      </c>
      <c r="F2859">
        <f>_xlfn.XLOOKUP(Table1[[#This Row],[ProductID]],Products!A:A,Products!D:D,,0)</f>
        <v>80</v>
      </c>
      <c r="I2859">
        <v>499</v>
      </c>
      <c r="J2859">
        <v>399</v>
      </c>
      <c r="K2859" t="s">
        <v>1097</v>
      </c>
      <c r="L2859">
        <v>399</v>
      </c>
      <c r="M2859" t="s">
        <v>1098</v>
      </c>
      <c r="N2859" t="s">
        <v>1099</v>
      </c>
      <c r="O2859">
        <f>Table1[[#This Row],[Unit_Price]]*Table1[[#This Row],[Quantity]]</f>
        <v>80</v>
      </c>
    </row>
    <row r="2860" spans="1:15" x14ac:dyDescent="0.3">
      <c r="A2860" t="s">
        <v>4674</v>
      </c>
      <c r="B2860" t="s">
        <v>2890</v>
      </c>
      <c r="C2860" t="s">
        <v>711</v>
      </c>
      <c r="D2860" t="s">
        <v>1062</v>
      </c>
      <c r="E2860">
        <v>1</v>
      </c>
      <c r="F2860">
        <f>_xlfn.XLOOKUP(Table1[[#This Row],[ProductID]],Products!A:A,Products!D:D,,0)</f>
        <v>95</v>
      </c>
      <c r="I2860">
        <v>349</v>
      </c>
      <c r="J2860">
        <v>349</v>
      </c>
      <c r="K2860" t="s">
        <v>1102</v>
      </c>
      <c r="L2860">
        <v>349</v>
      </c>
      <c r="M2860" t="s">
        <v>1126</v>
      </c>
      <c r="N2860" t="s">
        <v>1099</v>
      </c>
      <c r="O2860">
        <f>Table1[[#This Row],[Unit_Price]]*Table1[[#This Row],[Quantity]]</f>
        <v>95</v>
      </c>
    </row>
    <row r="2861" spans="1:15" x14ac:dyDescent="0.3">
      <c r="A2861" t="s">
        <v>4675</v>
      </c>
      <c r="B2861" t="s">
        <v>1828</v>
      </c>
      <c r="C2861" t="s">
        <v>519</v>
      </c>
      <c r="D2861" t="s">
        <v>1055</v>
      </c>
      <c r="E2861">
        <v>3</v>
      </c>
      <c r="F2861">
        <f>_xlfn.XLOOKUP(Table1[[#This Row],[ProductID]],Products!A:A,Products!D:D,,0)</f>
        <v>75</v>
      </c>
      <c r="I2861">
        <v>299</v>
      </c>
      <c r="J2861">
        <v>299</v>
      </c>
      <c r="K2861" t="s">
        <v>1102</v>
      </c>
      <c r="L2861">
        <v>897</v>
      </c>
      <c r="M2861" t="s">
        <v>1093</v>
      </c>
      <c r="N2861" t="s">
        <v>1123</v>
      </c>
      <c r="O2861">
        <f>Table1[[#This Row],[Unit_Price]]*Table1[[#This Row],[Quantity]]</f>
        <v>225</v>
      </c>
    </row>
    <row r="2862" spans="1:15" x14ac:dyDescent="0.3">
      <c r="A2862" t="s">
        <v>4676</v>
      </c>
      <c r="B2862" t="s">
        <v>2174</v>
      </c>
      <c r="C2862" t="s">
        <v>156</v>
      </c>
      <c r="D2862" t="s">
        <v>1057</v>
      </c>
      <c r="E2862">
        <v>3</v>
      </c>
      <c r="F2862">
        <f>_xlfn.XLOOKUP(Table1[[#This Row],[ProductID]],Products!A:A,Products!D:D,,0)</f>
        <v>130</v>
      </c>
      <c r="I2862">
        <v>549</v>
      </c>
      <c r="J2862">
        <v>467</v>
      </c>
      <c r="K2862" t="s">
        <v>1092</v>
      </c>
      <c r="L2862">
        <v>1401</v>
      </c>
      <c r="M2862" t="s">
        <v>1093</v>
      </c>
      <c r="N2862" t="s">
        <v>1123</v>
      </c>
      <c r="O2862">
        <f>Table1[[#This Row],[Unit_Price]]*Table1[[#This Row],[Quantity]]</f>
        <v>390</v>
      </c>
    </row>
    <row r="2863" spans="1:15" x14ac:dyDescent="0.3">
      <c r="A2863" t="s">
        <v>4677</v>
      </c>
      <c r="B2863" t="s">
        <v>1688</v>
      </c>
      <c r="C2863" t="s">
        <v>923</v>
      </c>
      <c r="D2863" t="s">
        <v>1073</v>
      </c>
      <c r="E2863">
        <v>1</v>
      </c>
      <c r="F2863">
        <f>_xlfn.XLOOKUP(Table1[[#This Row],[ProductID]],Products!A:A,Products!D:D,,0)</f>
        <v>100</v>
      </c>
      <c r="I2863">
        <v>349</v>
      </c>
      <c r="J2863">
        <v>297</v>
      </c>
      <c r="K2863" t="s">
        <v>1092</v>
      </c>
      <c r="L2863">
        <v>297</v>
      </c>
      <c r="M2863" t="s">
        <v>1093</v>
      </c>
      <c r="N2863" t="s">
        <v>1099</v>
      </c>
      <c r="O2863">
        <f>Table1[[#This Row],[Unit_Price]]*Table1[[#This Row],[Quantity]]</f>
        <v>100</v>
      </c>
    </row>
    <row r="2864" spans="1:15" x14ac:dyDescent="0.3">
      <c r="A2864" t="s">
        <v>4678</v>
      </c>
      <c r="B2864" t="s">
        <v>1408</v>
      </c>
      <c r="C2864" t="s">
        <v>333</v>
      </c>
      <c r="D2864" t="s">
        <v>1078</v>
      </c>
      <c r="E2864">
        <v>2</v>
      </c>
      <c r="F2864">
        <f>_xlfn.XLOOKUP(Table1[[#This Row],[ProductID]],Products!A:A,Products!D:D,,0)</f>
        <v>80</v>
      </c>
      <c r="I2864">
        <v>499</v>
      </c>
      <c r="J2864">
        <v>449</v>
      </c>
      <c r="K2864" t="s">
        <v>1107</v>
      </c>
      <c r="L2864">
        <v>898</v>
      </c>
      <c r="M2864" t="s">
        <v>1098</v>
      </c>
      <c r="N2864" t="s">
        <v>1099</v>
      </c>
      <c r="O2864">
        <f>Table1[[#This Row],[Unit_Price]]*Table1[[#This Row],[Quantity]]</f>
        <v>160</v>
      </c>
    </row>
    <row r="2865" spans="1:15" x14ac:dyDescent="0.3">
      <c r="A2865" t="s">
        <v>4679</v>
      </c>
      <c r="B2865" t="s">
        <v>1712</v>
      </c>
      <c r="C2865" t="s">
        <v>965</v>
      </c>
      <c r="D2865" t="s">
        <v>1066</v>
      </c>
      <c r="E2865">
        <v>1</v>
      </c>
      <c r="F2865">
        <f>_xlfn.XLOOKUP(Table1[[#This Row],[ProductID]],Products!A:A,Products!D:D,,0)</f>
        <v>140</v>
      </c>
      <c r="I2865">
        <v>499</v>
      </c>
      <c r="J2865">
        <v>449</v>
      </c>
      <c r="K2865" t="s">
        <v>1107</v>
      </c>
      <c r="L2865">
        <v>449</v>
      </c>
      <c r="M2865" t="s">
        <v>1098</v>
      </c>
      <c r="N2865" t="s">
        <v>1099</v>
      </c>
      <c r="O2865">
        <f>Table1[[#This Row],[Unit_Price]]*Table1[[#This Row],[Quantity]]</f>
        <v>140</v>
      </c>
    </row>
    <row r="2866" spans="1:15" x14ac:dyDescent="0.3">
      <c r="A2866" t="s">
        <v>4680</v>
      </c>
      <c r="B2866" t="s">
        <v>1805</v>
      </c>
      <c r="C2866" t="s">
        <v>889</v>
      </c>
      <c r="D2866" t="s">
        <v>1048</v>
      </c>
      <c r="E2866">
        <v>2</v>
      </c>
      <c r="F2866">
        <f>_xlfn.XLOOKUP(Table1[[#This Row],[ProductID]],Products!A:A,Products!D:D,,0)</f>
        <v>120</v>
      </c>
      <c r="I2866">
        <v>599</v>
      </c>
      <c r="J2866">
        <v>599</v>
      </c>
      <c r="K2866" t="s">
        <v>1102</v>
      </c>
      <c r="L2866">
        <v>1198</v>
      </c>
      <c r="M2866" t="s">
        <v>1098</v>
      </c>
      <c r="N2866" t="s">
        <v>1099</v>
      </c>
      <c r="O2866">
        <f>Table1[[#This Row],[Unit_Price]]*Table1[[#This Row],[Quantity]]</f>
        <v>240</v>
      </c>
    </row>
    <row r="2867" spans="1:15" x14ac:dyDescent="0.3">
      <c r="A2867" t="s">
        <v>4681</v>
      </c>
      <c r="B2867" t="s">
        <v>2227</v>
      </c>
      <c r="C2867" t="s">
        <v>343</v>
      </c>
      <c r="D2867" t="s">
        <v>1075</v>
      </c>
      <c r="E2867">
        <v>1</v>
      </c>
      <c r="F2867">
        <f>_xlfn.XLOOKUP(Table1[[#This Row],[ProductID]],Products!A:A,Products!D:D,,0)</f>
        <v>80</v>
      </c>
      <c r="I2867">
        <v>499</v>
      </c>
      <c r="J2867">
        <v>499</v>
      </c>
      <c r="K2867" t="s">
        <v>1102</v>
      </c>
      <c r="L2867">
        <v>499</v>
      </c>
      <c r="M2867" t="s">
        <v>1093</v>
      </c>
      <c r="N2867" t="s">
        <v>1094</v>
      </c>
      <c r="O2867">
        <f>Table1[[#This Row],[Unit_Price]]*Table1[[#This Row],[Quantity]]</f>
        <v>80</v>
      </c>
    </row>
    <row r="2868" spans="1:15" x14ac:dyDescent="0.3">
      <c r="A2868" t="s">
        <v>4682</v>
      </c>
      <c r="B2868" t="s">
        <v>1931</v>
      </c>
      <c r="C2868" t="s">
        <v>537</v>
      </c>
      <c r="D2868" t="s">
        <v>1055</v>
      </c>
      <c r="E2868">
        <v>1</v>
      </c>
      <c r="F2868">
        <f>_xlfn.XLOOKUP(Table1[[#This Row],[ProductID]],Products!A:A,Products!D:D,,0)</f>
        <v>75</v>
      </c>
      <c r="I2868">
        <v>299</v>
      </c>
      <c r="J2868">
        <v>254</v>
      </c>
      <c r="K2868" t="s">
        <v>1092</v>
      </c>
      <c r="L2868">
        <v>254</v>
      </c>
      <c r="M2868" t="s">
        <v>1093</v>
      </c>
      <c r="N2868" t="s">
        <v>1099</v>
      </c>
      <c r="O2868">
        <f>Table1[[#This Row],[Unit_Price]]*Table1[[#This Row],[Quantity]]</f>
        <v>75</v>
      </c>
    </row>
    <row r="2869" spans="1:15" x14ac:dyDescent="0.3">
      <c r="A2869" t="s">
        <v>4683</v>
      </c>
      <c r="B2869" t="s">
        <v>2434</v>
      </c>
      <c r="C2869" t="s">
        <v>549</v>
      </c>
      <c r="D2869" t="s">
        <v>1071</v>
      </c>
      <c r="E2869">
        <v>1</v>
      </c>
      <c r="F2869">
        <f>_xlfn.XLOOKUP(Table1[[#This Row],[ProductID]],Products!A:A,Products!D:D,,0)</f>
        <v>125</v>
      </c>
      <c r="I2869">
        <v>399</v>
      </c>
      <c r="J2869">
        <v>399</v>
      </c>
      <c r="K2869" t="s">
        <v>1102</v>
      </c>
      <c r="L2869">
        <v>399</v>
      </c>
      <c r="M2869" t="s">
        <v>1093</v>
      </c>
      <c r="N2869" t="s">
        <v>1123</v>
      </c>
      <c r="O2869">
        <f>Table1[[#This Row],[Unit_Price]]*Table1[[#This Row],[Quantity]]</f>
        <v>125</v>
      </c>
    </row>
    <row r="2870" spans="1:15" x14ac:dyDescent="0.3">
      <c r="A2870" t="s">
        <v>4684</v>
      </c>
      <c r="B2870" t="s">
        <v>1707</v>
      </c>
      <c r="C2870" t="s">
        <v>1029</v>
      </c>
      <c r="D2870" t="s">
        <v>1059</v>
      </c>
      <c r="E2870">
        <v>2</v>
      </c>
      <c r="F2870">
        <f>_xlfn.XLOOKUP(Table1[[#This Row],[ProductID]],Products!A:A,Products!D:D,,0)</f>
        <v>110</v>
      </c>
      <c r="I2870">
        <v>399</v>
      </c>
      <c r="J2870">
        <v>359</v>
      </c>
      <c r="K2870" t="s">
        <v>1107</v>
      </c>
      <c r="L2870">
        <v>718</v>
      </c>
      <c r="M2870" t="s">
        <v>1098</v>
      </c>
      <c r="N2870" t="s">
        <v>1099</v>
      </c>
      <c r="O2870">
        <f>Table1[[#This Row],[Unit_Price]]*Table1[[#This Row],[Quantity]]</f>
        <v>220</v>
      </c>
    </row>
    <row r="2871" spans="1:15" x14ac:dyDescent="0.3">
      <c r="A2871" t="s">
        <v>4685</v>
      </c>
      <c r="B2871" t="s">
        <v>2690</v>
      </c>
      <c r="C2871" t="s">
        <v>751</v>
      </c>
      <c r="D2871" t="s">
        <v>1051</v>
      </c>
      <c r="E2871">
        <v>3</v>
      </c>
      <c r="F2871">
        <f>_xlfn.XLOOKUP(Table1[[#This Row],[ProductID]],Products!A:A,Products!D:D,,0)</f>
        <v>150</v>
      </c>
      <c r="I2871">
        <v>499</v>
      </c>
      <c r="J2871">
        <v>449</v>
      </c>
      <c r="K2871" t="s">
        <v>1107</v>
      </c>
      <c r="L2871">
        <v>1347</v>
      </c>
      <c r="M2871" t="s">
        <v>1098</v>
      </c>
      <c r="N2871" t="s">
        <v>1099</v>
      </c>
      <c r="O2871">
        <f>Table1[[#This Row],[Unit_Price]]*Table1[[#This Row],[Quantity]]</f>
        <v>450</v>
      </c>
    </row>
    <row r="2872" spans="1:15" x14ac:dyDescent="0.3">
      <c r="A2872" t="s">
        <v>4686</v>
      </c>
      <c r="B2872" t="s">
        <v>2106</v>
      </c>
      <c r="C2872" t="s">
        <v>749</v>
      </c>
      <c r="D2872" t="s">
        <v>1066</v>
      </c>
      <c r="E2872">
        <v>4</v>
      </c>
      <c r="F2872">
        <f>_xlfn.XLOOKUP(Table1[[#This Row],[ProductID]],Products!A:A,Products!D:D,,0)</f>
        <v>140</v>
      </c>
      <c r="I2872">
        <v>499</v>
      </c>
      <c r="J2872">
        <v>399</v>
      </c>
      <c r="K2872" t="s">
        <v>1097</v>
      </c>
      <c r="L2872">
        <v>1596</v>
      </c>
      <c r="M2872" t="s">
        <v>1098</v>
      </c>
      <c r="N2872" t="s">
        <v>1099</v>
      </c>
      <c r="O2872">
        <f>Table1[[#This Row],[Unit_Price]]*Table1[[#This Row],[Quantity]]</f>
        <v>560</v>
      </c>
    </row>
    <row r="2873" spans="1:15" x14ac:dyDescent="0.3">
      <c r="A2873" t="s">
        <v>4687</v>
      </c>
      <c r="B2873" t="s">
        <v>2565</v>
      </c>
      <c r="C2873" t="s">
        <v>867</v>
      </c>
      <c r="D2873" t="s">
        <v>1059</v>
      </c>
      <c r="E2873">
        <v>3</v>
      </c>
      <c r="F2873">
        <f>_xlfn.XLOOKUP(Table1[[#This Row],[ProductID]],Products!A:A,Products!D:D,,0)</f>
        <v>110</v>
      </c>
      <c r="I2873">
        <v>399</v>
      </c>
      <c r="J2873">
        <v>339</v>
      </c>
      <c r="K2873" t="s">
        <v>1092</v>
      </c>
      <c r="L2873">
        <v>1017</v>
      </c>
      <c r="M2873" t="s">
        <v>1098</v>
      </c>
      <c r="N2873" t="s">
        <v>1099</v>
      </c>
      <c r="O2873">
        <f>Table1[[#This Row],[Unit_Price]]*Table1[[#This Row],[Quantity]]</f>
        <v>330</v>
      </c>
    </row>
    <row r="2874" spans="1:15" x14ac:dyDescent="0.3">
      <c r="A2874" t="s">
        <v>4688</v>
      </c>
      <c r="B2874" t="s">
        <v>1808</v>
      </c>
      <c r="C2874" t="s">
        <v>583</v>
      </c>
      <c r="D2874" t="s">
        <v>1051</v>
      </c>
      <c r="E2874">
        <v>1</v>
      </c>
      <c r="F2874">
        <f>_xlfn.XLOOKUP(Table1[[#This Row],[ProductID]],Products!A:A,Products!D:D,,0)</f>
        <v>150</v>
      </c>
      <c r="I2874">
        <v>499</v>
      </c>
      <c r="J2874">
        <v>399</v>
      </c>
      <c r="K2874" t="s">
        <v>1097</v>
      </c>
      <c r="L2874">
        <v>399</v>
      </c>
      <c r="M2874" t="s">
        <v>1098</v>
      </c>
      <c r="N2874" t="s">
        <v>1123</v>
      </c>
      <c r="O2874">
        <f>Table1[[#This Row],[Unit_Price]]*Table1[[#This Row],[Quantity]]</f>
        <v>150</v>
      </c>
    </row>
    <row r="2875" spans="1:15" x14ac:dyDescent="0.3">
      <c r="A2875" t="s">
        <v>4689</v>
      </c>
      <c r="B2875" t="s">
        <v>4690</v>
      </c>
      <c r="C2875" t="s">
        <v>797</v>
      </c>
      <c r="D2875" t="s">
        <v>1059</v>
      </c>
      <c r="E2875">
        <v>1</v>
      </c>
      <c r="F2875">
        <f>_xlfn.XLOOKUP(Table1[[#This Row],[ProductID]],Products!A:A,Products!D:D,,0)</f>
        <v>110</v>
      </c>
      <c r="I2875">
        <v>399</v>
      </c>
      <c r="J2875">
        <v>399</v>
      </c>
      <c r="K2875" t="s">
        <v>1102</v>
      </c>
      <c r="L2875">
        <v>399</v>
      </c>
      <c r="M2875" t="s">
        <v>1093</v>
      </c>
      <c r="N2875" t="s">
        <v>1099</v>
      </c>
      <c r="O2875">
        <f>Table1[[#This Row],[Unit_Price]]*Table1[[#This Row],[Quantity]]</f>
        <v>110</v>
      </c>
    </row>
    <row r="2876" spans="1:15" x14ac:dyDescent="0.3">
      <c r="A2876" t="s">
        <v>4691</v>
      </c>
      <c r="B2876" t="s">
        <v>2778</v>
      </c>
      <c r="C2876" t="s">
        <v>593</v>
      </c>
      <c r="D2876" t="s">
        <v>1068</v>
      </c>
      <c r="E2876">
        <v>1</v>
      </c>
      <c r="F2876">
        <f>_xlfn.XLOOKUP(Table1[[#This Row],[ProductID]],Products!A:A,Products!D:D,,0)</f>
        <v>180</v>
      </c>
      <c r="I2876">
        <v>449</v>
      </c>
      <c r="J2876">
        <v>449</v>
      </c>
      <c r="K2876" t="s">
        <v>1102</v>
      </c>
      <c r="L2876">
        <v>449</v>
      </c>
      <c r="M2876" t="s">
        <v>1098</v>
      </c>
      <c r="N2876" t="s">
        <v>1099</v>
      </c>
      <c r="O2876">
        <f>Table1[[#This Row],[Unit_Price]]*Table1[[#This Row],[Quantity]]</f>
        <v>180</v>
      </c>
    </row>
    <row r="2877" spans="1:15" x14ac:dyDescent="0.3">
      <c r="A2877" t="s">
        <v>4692</v>
      </c>
      <c r="B2877" t="s">
        <v>3243</v>
      </c>
      <c r="C2877" t="s">
        <v>283</v>
      </c>
      <c r="D2877" t="s">
        <v>1080</v>
      </c>
      <c r="E2877">
        <v>4</v>
      </c>
      <c r="F2877">
        <f>_xlfn.XLOOKUP(Table1[[#This Row],[ProductID]],Products!A:A,Products!D:D,,0)</f>
        <v>45</v>
      </c>
      <c r="I2877">
        <v>249</v>
      </c>
      <c r="J2877">
        <v>249</v>
      </c>
      <c r="K2877" t="s">
        <v>1102</v>
      </c>
      <c r="L2877">
        <v>996</v>
      </c>
      <c r="M2877" t="s">
        <v>1093</v>
      </c>
      <c r="N2877" t="s">
        <v>1099</v>
      </c>
      <c r="O2877">
        <f>Table1[[#This Row],[Unit_Price]]*Table1[[#This Row],[Quantity]]</f>
        <v>180</v>
      </c>
    </row>
    <row r="2878" spans="1:15" x14ac:dyDescent="0.3">
      <c r="A2878" t="s">
        <v>4693</v>
      </c>
      <c r="B2878" t="s">
        <v>1958</v>
      </c>
      <c r="C2878" t="s">
        <v>719</v>
      </c>
      <c r="D2878" t="s">
        <v>1062</v>
      </c>
      <c r="E2878">
        <v>1</v>
      </c>
      <c r="F2878">
        <f>_xlfn.XLOOKUP(Table1[[#This Row],[ProductID]],Products!A:A,Products!D:D,,0)</f>
        <v>95</v>
      </c>
      <c r="I2878">
        <v>349</v>
      </c>
      <c r="J2878">
        <v>297</v>
      </c>
      <c r="K2878" t="s">
        <v>1092</v>
      </c>
      <c r="L2878">
        <v>297</v>
      </c>
      <c r="M2878" t="s">
        <v>1098</v>
      </c>
      <c r="N2878" t="s">
        <v>1099</v>
      </c>
      <c r="O2878">
        <f>Table1[[#This Row],[Unit_Price]]*Table1[[#This Row],[Quantity]]</f>
        <v>95</v>
      </c>
    </row>
    <row r="2879" spans="1:15" x14ac:dyDescent="0.3">
      <c r="A2879" t="s">
        <v>4694</v>
      </c>
      <c r="B2879" t="s">
        <v>1803</v>
      </c>
      <c r="C2879" t="s">
        <v>679</v>
      </c>
      <c r="D2879" t="s">
        <v>1071</v>
      </c>
      <c r="E2879">
        <v>2</v>
      </c>
      <c r="F2879">
        <f>_xlfn.XLOOKUP(Table1[[#This Row],[ProductID]],Products!A:A,Products!D:D,,0)</f>
        <v>125</v>
      </c>
      <c r="I2879">
        <v>399</v>
      </c>
      <c r="J2879">
        <v>339</v>
      </c>
      <c r="K2879" t="s">
        <v>1092</v>
      </c>
      <c r="L2879">
        <v>678</v>
      </c>
      <c r="M2879" t="s">
        <v>1126</v>
      </c>
      <c r="N2879" t="s">
        <v>1099</v>
      </c>
      <c r="O2879">
        <f>Table1[[#This Row],[Unit_Price]]*Table1[[#This Row],[Quantity]]</f>
        <v>250</v>
      </c>
    </row>
    <row r="2880" spans="1:15" x14ac:dyDescent="0.3">
      <c r="A2880" t="s">
        <v>4695</v>
      </c>
      <c r="B2880" t="s">
        <v>1488</v>
      </c>
      <c r="C2880" t="s">
        <v>721</v>
      </c>
      <c r="D2880" t="s">
        <v>1051</v>
      </c>
      <c r="E2880">
        <v>2</v>
      </c>
      <c r="F2880">
        <f>_xlfn.XLOOKUP(Table1[[#This Row],[ProductID]],Products!A:A,Products!D:D,,0)</f>
        <v>150</v>
      </c>
      <c r="I2880">
        <v>499</v>
      </c>
      <c r="J2880">
        <v>449</v>
      </c>
      <c r="K2880" t="s">
        <v>1107</v>
      </c>
      <c r="L2880">
        <v>898</v>
      </c>
      <c r="M2880" t="s">
        <v>1098</v>
      </c>
      <c r="N2880" t="s">
        <v>1099</v>
      </c>
      <c r="O2880">
        <f>Table1[[#This Row],[Unit_Price]]*Table1[[#This Row],[Quantity]]</f>
        <v>300</v>
      </c>
    </row>
    <row r="2881" spans="1:15" x14ac:dyDescent="0.3">
      <c r="A2881" t="s">
        <v>4696</v>
      </c>
      <c r="B2881" t="s">
        <v>1785</v>
      </c>
      <c r="C2881" t="s">
        <v>1031</v>
      </c>
      <c r="D2881" t="s">
        <v>1064</v>
      </c>
      <c r="E2881">
        <v>1</v>
      </c>
      <c r="F2881">
        <f>_xlfn.XLOOKUP(Table1[[#This Row],[ProductID]],Products!A:A,Products!D:D,,0)</f>
        <v>160</v>
      </c>
      <c r="I2881">
        <v>699</v>
      </c>
      <c r="J2881">
        <v>594</v>
      </c>
      <c r="K2881" t="s">
        <v>1092</v>
      </c>
      <c r="L2881">
        <v>594</v>
      </c>
      <c r="M2881" t="s">
        <v>1118</v>
      </c>
      <c r="N2881" t="s">
        <v>1099</v>
      </c>
      <c r="O2881">
        <f>Table1[[#This Row],[Unit_Price]]*Table1[[#This Row],[Quantity]]</f>
        <v>160</v>
      </c>
    </row>
    <row r="2882" spans="1:15" x14ac:dyDescent="0.3">
      <c r="A2882" t="s">
        <v>4697</v>
      </c>
      <c r="B2882" t="s">
        <v>1971</v>
      </c>
      <c r="C2882" t="s">
        <v>955</v>
      </c>
      <c r="D2882" t="s">
        <v>1062</v>
      </c>
      <c r="E2882">
        <v>2</v>
      </c>
      <c r="F2882">
        <f>_xlfn.XLOOKUP(Table1[[#This Row],[ProductID]],Products!A:A,Products!D:D,,0)</f>
        <v>95</v>
      </c>
      <c r="I2882">
        <v>349</v>
      </c>
      <c r="J2882">
        <v>349</v>
      </c>
      <c r="K2882" t="s">
        <v>1102</v>
      </c>
      <c r="L2882">
        <v>698</v>
      </c>
      <c r="M2882" t="s">
        <v>1093</v>
      </c>
      <c r="N2882" t="s">
        <v>1099</v>
      </c>
      <c r="O2882">
        <f>Table1[[#This Row],[Unit_Price]]*Table1[[#This Row],[Quantity]]</f>
        <v>190</v>
      </c>
    </row>
    <row r="2883" spans="1:15" x14ac:dyDescent="0.3">
      <c r="A2883" t="s">
        <v>4698</v>
      </c>
      <c r="B2883" t="s">
        <v>2668</v>
      </c>
      <c r="C2883" t="s">
        <v>95</v>
      </c>
      <c r="D2883" t="s">
        <v>1066</v>
      </c>
      <c r="E2883">
        <v>1</v>
      </c>
      <c r="F2883">
        <f>_xlfn.XLOOKUP(Table1[[#This Row],[ProductID]],Products!A:A,Products!D:D,,0)</f>
        <v>140</v>
      </c>
      <c r="I2883">
        <v>499</v>
      </c>
      <c r="J2883">
        <v>449</v>
      </c>
      <c r="K2883" t="s">
        <v>1107</v>
      </c>
      <c r="L2883">
        <v>449</v>
      </c>
      <c r="M2883" t="s">
        <v>1093</v>
      </c>
      <c r="N2883" t="s">
        <v>1099</v>
      </c>
      <c r="O2883">
        <f>Table1[[#This Row],[Unit_Price]]*Table1[[#This Row],[Quantity]]</f>
        <v>140</v>
      </c>
    </row>
    <row r="2884" spans="1:15" x14ac:dyDescent="0.3">
      <c r="A2884" t="s">
        <v>4699</v>
      </c>
      <c r="B2884" t="s">
        <v>3473</v>
      </c>
      <c r="C2884" t="s">
        <v>387</v>
      </c>
      <c r="D2884" t="s">
        <v>1075</v>
      </c>
      <c r="E2884">
        <v>1</v>
      </c>
      <c r="F2884">
        <f>_xlfn.XLOOKUP(Table1[[#This Row],[ProductID]],Products!A:A,Products!D:D,,0)</f>
        <v>80</v>
      </c>
      <c r="I2884">
        <v>499</v>
      </c>
      <c r="J2884">
        <v>499</v>
      </c>
      <c r="K2884" t="s">
        <v>1102</v>
      </c>
      <c r="L2884">
        <v>499</v>
      </c>
      <c r="M2884" t="s">
        <v>1093</v>
      </c>
      <c r="N2884" t="s">
        <v>1094</v>
      </c>
      <c r="O2884">
        <f>Table1[[#This Row],[Unit_Price]]*Table1[[#This Row],[Quantity]]</f>
        <v>80</v>
      </c>
    </row>
    <row r="2885" spans="1:15" x14ac:dyDescent="0.3">
      <c r="A2885" t="s">
        <v>4700</v>
      </c>
      <c r="B2885" t="s">
        <v>3397</v>
      </c>
      <c r="C2885" t="s">
        <v>825</v>
      </c>
      <c r="D2885" t="s">
        <v>1073</v>
      </c>
      <c r="E2885">
        <v>1</v>
      </c>
      <c r="F2885">
        <f>_xlfn.XLOOKUP(Table1[[#This Row],[ProductID]],Products!A:A,Products!D:D,,0)</f>
        <v>100</v>
      </c>
      <c r="I2885">
        <v>349</v>
      </c>
      <c r="J2885">
        <v>314</v>
      </c>
      <c r="K2885" t="s">
        <v>1107</v>
      </c>
      <c r="L2885">
        <v>314</v>
      </c>
      <c r="M2885" t="s">
        <v>1093</v>
      </c>
      <c r="N2885" t="s">
        <v>1099</v>
      </c>
      <c r="O2885">
        <f>Table1[[#This Row],[Unit_Price]]*Table1[[#This Row],[Quantity]]</f>
        <v>100</v>
      </c>
    </row>
    <row r="2886" spans="1:15" x14ac:dyDescent="0.3">
      <c r="A2886" t="s">
        <v>4701</v>
      </c>
      <c r="B2886" t="s">
        <v>1178</v>
      </c>
      <c r="C2886" t="s">
        <v>925</v>
      </c>
      <c r="D2886" t="s">
        <v>1073</v>
      </c>
      <c r="E2886">
        <v>3</v>
      </c>
      <c r="F2886">
        <f>_xlfn.XLOOKUP(Table1[[#This Row],[ProductID]],Products!A:A,Products!D:D,,0)</f>
        <v>100</v>
      </c>
      <c r="I2886">
        <v>349</v>
      </c>
      <c r="J2886">
        <v>279</v>
      </c>
      <c r="K2886" t="s">
        <v>1097</v>
      </c>
      <c r="L2886">
        <v>837</v>
      </c>
      <c r="M2886" t="s">
        <v>1098</v>
      </c>
      <c r="N2886" t="s">
        <v>1099</v>
      </c>
      <c r="O2886">
        <f>Table1[[#This Row],[Unit_Price]]*Table1[[#This Row],[Quantity]]</f>
        <v>300</v>
      </c>
    </row>
    <row r="2887" spans="1:15" x14ac:dyDescent="0.3">
      <c r="A2887" t="s">
        <v>4702</v>
      </c>
      <c r="B2887" t="s">
        <v>2418</v>
      </c>
      <c r="C2887" t="s">
        <v>657</v>
      </c>
      <c r="D2887" t="s">
        <v>1066</v>
      </c>
      <c r="E2887">
        <v>1</v>
      </c>
      <c r="F2887">
        <f>_xlfn.XLOOKUP(Table1[[#This Row],[ProductID]],Products!A:A,Products!D:D,,0)</f>
        <v>140</v>
      </c>
      <c r="I2887">
        <v>499</v>
      </c>
      <c r="J2887">
        <v>449</v>
      </c>
      <c r="K2887" t="s">
        <v>1107</v>
      </c>
      <c r="L2887">
        <v>449</v>
      </c>
      <c r="M2887" t="s">
        <v>1098</v>
      </c>
      <c r="N2887" t="s">
        <v>1099</v>
      </c>
      <c r="O2887">
        <f>Table1[[#This Row],[Unit_Price]]*Table1[[#This Row],[Quantity]]</f>
        <v>140</v>
      </c>
    </row>
    <row r="2888" spans="1:15" x14ac:dyDescent="0.3">
      <c r="A2888" t="s">
        <v>4703</v>
      </c>
      <c r="B2888" t="s">
        <v>1732</v>
      </c>
      <c r="C2888" t="s">
        <v>793</v>
      </c>
      <c r="D2888" t="s">
        <v>1053</v>
      </c>
      <c r="E2888">
        <v>2</v>
      </c>
      <c r="F2888">
        <f>_xlfn.XLOOKUP(Table1[[#This Row],[ProductID]],Products!A:A,Products!D:D,,0)</f>
        <v>200</v>
      </c>
      <c r="I2888">
        <v>899</v>
      </c>
      <c r="J2888">
        <v>899</v>
      </c>
      <c r="K2888" t="s">
        <v>1102</v>
      </c>
      <c r="L2888">
        <v>1798</v>
      </c>
      <c r="M2888" t="s">
        <v>1093</v>
      </c>
      <c r="N2888" t="s">
        <v>1094</v>
      </c>
      <c r="O2888">
        <f>Table1[[#This Row],[Unit_Price]]*Table1[[#This Row],[Quantity]]</f>
        <v>400</v>
      </c>
    </row>
    <row r="2889" spans="1:15" x14ac:dyDescent="0.3">
      <c r="A2889" t="s">
        <v>4704</v>
      </c>
      <c r="B2889" t="s">
        <v>3989</v>
      </c>
      <c r="C2889" t="s">
        <v>291</v>
      </c>
      <c r="D2889" t="s">
        <v>1064</v>
      </c>
      <c r="E2889">
        <v>1</v>
      </c>
      <c r="F2889">
        <f>_xlfn.XLOOKUP(Table1[[#This Row],[ProductID]],Products!A:A,Products!D:D,,0)</f>
        <v>160</v>
      </c>
      <c r="I2889">
        <v>699</v>
      </c>
      <c r="J2889">
        <v>629</v>
      </c>
      <c r="K2889" t="s">
        <v>1107</v>
      </c>
      <c r="L2889">
        <v>629</v>
      </c>
      <c r="M2889" t="s">
        <v>1098</v>
      </c>
      <c r="N2889" t="s">
        <v>1099</v>
      </c>
      <c r="O2889">
        <f>Table1[[#This Row],[Unit_Price]]*Table1[[#This Row],[Quantity]]</f>
        <v>160</v>
      </c>
    </row>
    <row r="2890" spans="1:15" x14ac:dyDescent="0.3">
      <c r="A2890" t="s">
        <v>4705</v>
      </c>
      <c r="B2890" t="s">
        <v>1676</v>
      </c>
      <c r="C2890" t="s">
        <v>549</v>
      </c>
      <c r="D2890" t="s">
        <v>1062</v>
      </c>
      <c r="E2890">
        <v>1</v>
      </c>
      <c r="F2890">
        <f>_xlfn.XLOOKUP(Table1[[#This Row],[ProductID]],Products!A:A,Products!D:D,,0)</f>
        <v>95</v>
      </c>
      <c r="I2890">
        <v>349</v>
      </c>
      <c r="J2890">
        <v>279</v>
      </c>
      <c r="K2890" t="s">
        <v>1097</v>
      </c>
      <c r="L2890">
        <v>279</v>
      </c>
      <c r="M2890" t="s">
        <v>1098</v>
      </c>
      <c r="N2890" t="s">
        <v>1099</v>
      </c>
      <c r="O2890">
        <f>Table1[[#This Row],[Unit_Price]]*Table1[[#This Row],[Quantity]]</f>
        <v>95</v>
      </c>
    </row>
    <row r="2891" spans="1:15" x14ac:dyDescent="0.3">
      <c r="A2891" t="s">
        <v>4706</v>
      </c>
      <c r="B2891" t="s">
        <v>1455</v>
      </c>
      <c r="C2891" t="s">
        <v>711</v>
      </c>
      <c r="D2891" t="s">
        <v>1066</v>
      </c>
      <c r="E2891">
        <v>1</v>
      </c>
      <c r="F2891">
        <f>_xlfn.XLOOKUP(Table1[[#This Row],[ProductID]],Products!A:A,Products!D:D,,0)</f>
        <v>140</v>
      </c>
      <c r="I2891">
        <v>499</v>
      </c>
      <c r="J2891">
        <v>499</v>
      </c>
      <c r="K2891" t="s">
        <v>1102</v>
      </c>
      <c r="L2891">
        <v>499</v>
      </c>
      <c r="M2891" t="s">
        <v>1093</v>
      </c>
      <c r="N2891" t="s">
        <v>1099</v>
      </c>
      <c r="O2891">
        <f>Table1[[#This Row],[Unit_Price]]*Table1[[#This Row],[Quantity]]</f>
        <v>140</v>
      </c>
    </row>
    <row r="2892" spans="1:15" x14ac:dyDescent="0.3">
      <c r="A2892" t="s">
        <v>4707</v>
      </c>
      <c r="B2892" t="s">
        <v>1343</v>
      </c>
      <c r="C2892" t="s">
        <v>559</v>
      </c>
      <c r="D2892" t="s">
        <v>1071</v>
      </c>
      <c r="E2892">
        <v>2</v>
      </c>
      <c r="F2892">
        <f>_xlfn.XLOOKUP(Table1[[#This Row],[ProductID]],Products!A:A,Products!D:D,,0)</f>
        <v>125</v>
      </c>
      <c r="I2892">
        <v>399</v>
      </c>
      <c r="J2892">
        <v>399</v>
      </c>
      <c r="K2892" t="s">
        <v>1102</v>
      </c>
      <c r="L2892">
        <v>798</v>
      </c>
      <c r="M2892" t="s">
        <v>1093</v>
      </c>
      <c r="N2892" t="s">
        <v>1094</v>
      </c>
      <c r="O2892">
        <f>Table1[[#This Row],[Unit_Price]]*Table1[[#This Row],[Quantity]]</f>
        <v>250</v>
      </c>
    </row>
    <row r="2893" spans="1:15" x14ac:dyDescent="0.3">
      <c r="A2893" t="s">
        <v>4708</v>
      </c>
      <c r="B2893" t="s">
        <v>2576</v>
      </c>
      <c r="C2893" t="s">
        <v>933</v>
      </c>
      <c r="D2893" t="s">
        <v>1053</v>
      </c>
      <c r="E2893">
        <v>2</v>
      </c>
      <c r="F2893">
        <f>_xlfn.XLOOKUP(Table1[[#This Row],[ProductID]],Products!A:A,Products!D:D,,0)</f>
        <v>200</v>
      </c>
      <c r="I2893">
        <v>899</v>
      </c>
      <c r="J2893">
        <v>809</v>
      </c>
      <c r="K2893" t="s">
        <v>1107</v>
      </c>
      <c r="L2893">
        <v>1618</v>
      </c>
      <c r="M2893" t="s">
        <v>1098</v>
      </c>
      <c r="N2893" t="s">
        <v>1099</v>
      </c>
      <c r="O2893">
        <f>Table1[[#This Row],[Unit_Price]]*Table1[[#This Row],[Quantity]]</f>
        <v>400</v>
      </c>
    </row>
    <row r="2894" spans="1:15" x14ac:dyDescent="0.3">
      <c r="A2894" t="s">
        <v>4709</v>
      </c>
      <c r="B2894" t="s">
        <v>3080</v>
      </c>
      <c r="C2894" t="s">
        <v>171</v>
      </c>
      <c r="D2894" t="s">
        <v>1051</v>
      </c>
      <c r="E2894">
        <v>1</v>
      </c>
      <c r="F2894">
        <f>_xlfn.XLOOKUP(Table1[[#This Row],[ProductID]],Products!A:A,Products!D:D,,0)</f>
        <v>150</v>
      </c>
      <c r="I2894">
        <v>499</v>
      </c>
      <c r="J2894">
        <v>499</v>
      </c>
      <c r="K2894" t="s">
        <v>1102</v>
      </c>
      <c r="L2894">
        <v>499</v>
      </c>
      <c r="M2894" t="s">
        <v>1093</v>
      </c>
      <c r="N2894" t="s">
        <v>1099</v>
      </c>
      <c r="O2894">
        <f>Table1[[#This Row],[Unit_Price]]*Table1[[#This Row],[Quantity]]</f>
        <v>150</v>
      </c>
    </row>
    <row r="2895" spans="1:15" x14ac:dyDescent="0.3">
      <c r="A2895" t="s">
        <v>4710</v>
      </c>
      <c r="B2895" t="s">
        <v>1774</v>
      </c>
      <c r="C2895" t="s">
        <v>63</v>
      </c>
      <c r="D2895" t="s">
        <v>1078</v>
      </c>
      <c r="E2895">
        <v>3</v>
      </c>
      <c r="F2895">
        <f>_xlfn.XLOOKUP(Table1[[#This Row],[ProductID]],Products!A:A,Products!D:D,,0)</f>
        <v>80</v>
      </c>
      <c r="I2895">
        <v>499</v>
      </c>
      <c r="J2895">
        <v>399</v>
      </c>
      <c r="K2895" t="s">
        <v>1097</v>
      </c>
      <c r="L2895">
        <v>1197</v>
      </c>
      <c r="M2895" t="s">
        <v>1093</v>
      </c>
      <c r="N2895" t="s">
        <v>1099</v>
      </c>
      <c r="O2895">
        <f>Table1[[#This Row],[Unit_Price]]*Table1[[#This Row],[Quantity]]</f>
        <v>240</v>
      </c>
    </row>
    <row r="2896" spans="1:15" x14ac:dyDescent="0.3">
      <c r="A2896" t="s">
        <v>4711</v>
      </c>
      <c r="B2896" t="s">
        <v>1392</v>
      </c>
      <c r="C2896" t="s">
        <v>152</v>
      </c>
      <c r="D2896" t="s">
        <v>1075</v>
      </c>
      <c r="E2896">
        <v>2</v>
      </c>
      <c r="F2896">
        <f>_xlfn.XLOOKUP(Table1[[#This Row],[ProductID]],Products!A:A,Products!D:D,,0)</f>
        <v>80</v>
      </c>
      <c r="I2896">
        <v>499</v>
      </c>
      <c r="J2896">
        <v>449</v>
      </c>
      <c r="K2896" t="s">
        <v>1107</v>
      </c>
      <c r="L2896">
        <v>898</v>
      </c>
      <c r="M2896" t="s">
        <v>1126</v>
      </c>
      <c r="N2896" t="s">
        <v>1099</v>
      </c>
      <c r="O2896">
        <f>Table1[[#This Row],[Unit_Price]]*Table1[[#This Row],[Quantity]]</f>
        <v>160</v>
      </c>
    </row>
    <row r="2897" spans="1:15" x14ac:dyDescent="0.3">
      <c r="A2897" t="s">
        <v>4712</v>
      </c>
      <c r="B2897" t="s">
        <v>1264</v>
      </c>
      <c r="C2897" t="s">
        <v>515</v>
      </c>
      <c r="D2897" t="s">
        <v>1048</v>
      </c>
      <c r="E2897">
        <v>3</v>
      </c>
      <c r="F2897">
        <f>_xlfn.XLOOKUP(Table1[[#This Row],[ProductID]],Products!A:A,Products!D:D,,0)</f>
        <v>120</v>
      </c>
      <c r="I2897">
        <v>599</v>
      </c>
      <c r="J2897">
        <v>479</v>
      </c>
      <c r="K2897" t="s">
        <v>1097</v>
      </c>
      <c r="L2897">
        <v>1437</v>
      </c>
      <c r="M2897" t="s">
        <v>1098</v>
      </c>
      <c r="N2897" t="s">
        <v>1099</v>
      </c>
      <c r="O2897">
        <f>Table1[[#This Row],[Unit_Price]]*Table1[[#This Row],[Quantity]]</f>
        <v>360</v>
      </c>
    </row>
    <row r="2898" spans="1:15" x14ac:dyDescent="0.3">
      <c r="A2898" t="s">
        <v>4713</v>
      </c>
      <c r="B2898" t="s">
        <v>3191</v>
      </c>
      <c r="C2898" t="s">
        <v>1039</v>
      </c>
      <c r="D2898" t="s">
        <v>1064</v>
      </c>
      <c r="E2898">
        <v>1</v>
      </c>
      <c r="F2898">
        <f>_xlfn.XLOOKUP(Table1[[#This Row],[ProductID]],Products!A:A,Products!D:D,,0)</f>
        <v>160</v>
      </c>
      <c r="I2898">
        <v>699</v>
      </c>
      <c r="J2898">
        <v>559</v>
      </c>
      <c r="K2898" t="s">
        <v>1097</v>
      </c>
      <c r="L2898">
        <v>559</v>
      </c>
      <c r="M2898" t="s">
        <v>1093</v>
      </c>
      <c r="N2898" t="s">
        <v>1094</v>
      </c>
      <c r="O2898">
        <f>Table1[[#This Row],[Unit_Price]]*Table1[[#This Row],[Quantity]]</f>
        <v>160</v>
      </c>
    </row>
    <row r="2899" spans="1:15" x14ac:dyDescent="0.3">
      <c r="A2899" t="s">
        <v>4714</v>
      </c>
      <c r="B2899" t="s">
        <v>2993</v>
      </c>
      <c r="C2899" t="s">
        <v>757</v>
      </c>
      <c r="D2899" t="s">
        <v>1075</v>
      </c>
      <c r="E2899">
        <v>1</v>
      </c>
      <c r="F2899">
        <f>_xlfn.XLOOKUP(Table1[[#This Row],[ProductID]],Products!A:A,Products!D:D,,0)</f>
        <v>80</v>
      </c>
      <c r="I2899">
        <v>499</v>
      </c>
      <c r="J2899">
        <v>399</v>
      </c>
      <c r="K2899" t="s">
        <v>1097</v>
      </c>
      <c r="L2899">
        <v>399</v>
      </c>
      <c r="M2899" t="s">
        <v>1126</v>
      </c>
      <c r="N2899" t="s">
        <v>1099</v>
      </c>
      <c r="O2899">
        <f>Table1[[#This Row],[Unit_Price]]*Table1[[#This Row],[Quantity]]</f>
        <v>80</v>
      </c>
    </row>
    <row r="2900" spans="1:15" x14ac:dyDescent="0.3">
      <c r="A2900" t="s">
        <v>4715</v>
      </c>
      <c r="B2900" t="s">
        <v>1262</v>
      </c>
      <c r="C2900" t="s">
        <v>1011</v>
      </c>
      <c r="D2900" t="s">
        <v>1071</v>
      </c>
      <c r="E2900">
        <v>1</v>
      </c>
      <c r="F2900">
        <f>_xlfn.XLOOKUP(Table1[[#This Row],[ProductID]],Products!A:A,Products!D:D,,0)</f>
        <v>125</v>
      </c>
      <c r="I2900">
        <v>399</v>
      </c>
      <c r="J2900">
        <v>319</v>
      </c>
      <c r="K2900" t="s">
        <v>1097</v>
      </c>
      <c r="L2900">
        <v>319</v>
      </c>
      <c r="M2900" t="s">
        <v>1093</v>
      </c>
      <c r="N2900" t="s">
        <v>1094</v>
      </c>
      <c r="O2900">
        <f>Table1[[#This Row],[Unit_Price]]*Table1[[#This Row],[Quantity]]</f>
        <v>125</v>
      </c>
    </row>
    <row r="2901" spans="1:15" x14ac:dyDescent="0.3">
      <c r="A2901" t="s">
        <v>4716</v>
      </c>
      <c r="B2901" t="s">
        <v>4511</v>
      </c>
      <c r="C2901" t="s">
        <v>465</v>
      </c>
      <c r="D2901" t="s">
        <v>1059</v>
      </c>
      <c r="E2901">
        <v>1</v>
      </c>
      <c r="F2901">
        <f>_xlfn.XLOOKUP(Table1[[#This Row],[ProductID]],Products!A:A,Products!D:D,,0)</f>
        <v>110</v>
      </c>
      <c r="I2901">
        <v>399</v>
      </c>
      <c r="J2901">
        <v>339</v>
      </c>
      <c r="K2901" t="s">
        <v>1092</v>
      </c>
      <c r="L2901">
        <v>339</v>
      </c>
      <c r="M2901" t="s">
        <v>1098</v>
      </c>
      <c r="N2901" t="s">
        <v>1099</v>
      </c>
      <c r="O2901">
        <f>Table1[[#This Row],[Unit_Price]]*Table1[[#This Row],[Quantity]]</f>
        <v>110</v>
      </c>
    </row>
    <row r="2902" spans="1:15" x14ac:dyDescent="0.3">
      <c r="A2902" t="s">
        <v>4717</v>
      </c>
      <c r="B2902" t="s">
        <v>2949</v>
      </c>
      <c r="C2902" t="s">
        <v>541</v>
      </c>
      <c r="D2902" t="s">
        <v>1055</v>
      </c>
      <c r="E2902">
        <v>3</v>
      </c>
      <c r="F2902">
        <f>_xlfn.XLOOKUP(Table1[[#This Row],[ProductID]],Products!A:A,Products!D:D,,0)</f>
        <v>75</v>
      </c>
      <c r="I2902">
        <v>299</v>
      </c>
      <c r="J2902">
        <v>299</v>
      </c>
      <c r="K2902" t="s">
        <v>1102</v>
      </c>
      <c r="L2902">
        <v>897</v>
      </c>
      <c r="M2902" t="s">
        <v>1093</v>
      </c>
      <c r="N2902" t="s">
        <v>1099</v>
      </c>
      <c r="O2902">
        <f>Table1[[#This Row],[Unit_Price]]*Table1[[#This Row],[Quantity]]</f>
        <v>225</v>
      </c>
    </row>
    <row r="2903" spans="1:15" x14ac:dyDescent="0.3">
      <c r="A2903" t="s">
        <v>4718</v>
      </c>
      <c r="B2903" t="s">
        <v>1104</v>
      </c>
      <c r="C2903" t="s">
        <v>807</v>
      </c>
      <c r="D2903" t="s">
        <v>1066</v>
      </c>
      <c r="E2903">
        <v>2</v>
      </c>
      <c r="F2903">
        <f>_xlfn.XLOOKUP(Table1[[#This Row],[ProductID]],Products!A:A,Products!D:D,,0)</f>
        <v>140</v>
      </c>
      <c r="I2903">
        <v>499</v>
      </c>
      <c r="J2903">
        <v>499</v>
      </c>
      <c r="K2903" t="s">
        <v>1102</v>
      </c>
      <c r="L2903">
        <v>998</v>
      </c>
      <c r="M2903" t="s">
        <v>1093</v>
      </c>
      <c r="N2903" t="s">
        <v>1094</v>
      </c>
      <c r="O2903">
        <f>Table1[[#This Row],[Unit_Price]]*Table1[[#This Row],[Quantity]]</f>
        <v>280</v>
      </c>
    </row>
    <row r="2904" spans="1:15" x14ac:dyDescent="0.3">
      <c r="A2904" t="s">
        <v>4719</v>
      </c>
      <c r="B2904" t="s">
        <v>2778</v>
      </c>
      <c r="C2904" t="s">
        <v>769</v>
      </c>
      <c r="D2904" t="s">
        <v>1055</v>
      </c>
      <c r="E2904">
        <v>1</v>
      </c>
      <c r="F2904">
        <f>_xlfn.XLOOKUP(Table1[[#This Row],[ProductID]],Products!A:A,Products!D:D,,0)</f>
        <v>75</v>
      </c>
      <c r="I2904">
        <v>299</v>
      </c>
      <c r="J2904">
        <v>239</v>
      </c>
      <c r="K2904" t="s">
        <v>1097</v>
      </c>
      <c r="L2904">
        <v>239</v>
      </c>
      <c r="M2904" t="s">
        <v>1098</v>
      </c>
      <c r="N2904" t="s">
        <v>1099</v>
      </c>
      <c r="O2904">
        <f>Table1[[#This Row],[Unit_Price]]*Table1[[#This Row],[Quantity]]</f>
        <v>75</v>
      </c>
    </row>
    <row r="2905" spans="1:15" x14ac:dyDescent="0.3">
      <c r="A2905" t="s">
        <v>4720</v>
      </c>
      <c r="B2905" t="s">
        <v>1990</v>
      </c>
      <c r="C2905" t="s">
        <v>941</v>
      </c>
      <c r="D2905" t="s">
        <v>1055</v>
      </c>
      <c r="E2905">
        <v>1</v>
      </c>
      <c r="F2905">
        <f>_xlfn.XLOOKUP(Table1[[#This Row],[ProductID]],Products!A:A,Products!D:D,,0)</f>
        <v>75</v>
      </c>
      <c r="I2905">
        <v>299</v>
      </c>
      <c r="J2905">
        <v>239</v>
      </c>
      <c r="K2905" t="s">
        <v>1097</v>
      </c>
      <c r="L2905">
        <v>239</v>
      </c>
      <c r="M2905" t="s">
        <v>1098</v>
      </c>
      <c r="N2905" t="s">
        <v>1099</v>
      </c>
      <c r="O2905">
        <f>Table1[[#This Row],[Unit_Price]]*Table1[[#This Row],[Quantity]]</f>
        <v>75</v>
      </c>
    </row>
    <row r="2906" spans="1:15" x14ac:dyDescent="0.3">
      <c r="A2906" t="s">
        <v>4721</v>
      </c>
      <c r="B2906" t="s">
        <v>3263</v>
      </c>
      <c r="C2906" t="s">
        <v>637</v>
      </c>
      <c r="D2906" t="s">
        <v>1055</v>
      </c>
      <c r="E2906">
        <v>2</v>
      </c>
      <c r="F2906">
        <f>_xlfn.XLOOKUP(Table1[[#This Row],[ProductID]],Products!A:A,Products!D:D,,0)</f>
        <v>75</v>
      </c>
      <c r="I2906">
        <v>299</v>
      </c>
      <c r="J2906">
        <v>299</v>
      </c>
      <c r="K2906" t="s">
        <v>1102</v>
      </c>
      <c r="L2906">
        <v>598</v>
      </c>
      <c r="M2906" t="s">
        <v>1093</v>
      </c>
      <c r="N2906" t="s">
        <v>1099</v>
      </c>
      <c r="O2906">
        <f>Table1[[#This Row],[Unit_Price]]*Table1[[#This Row],[Quantity]]</f>
        <v>150</v>
      </c>
    </row>
    <row r="2907" spans="1:15" x14ac:dyDescent="0.3">
      <c r="A2907" t="s">
        <v>4722</v>
      </c>
      <c r="B2907" t="s">
        <v>3495</v>
      </c>
      <c r="C2907" t="s">
        <v>271</v>
      </c>
      <c r="D2907" t="s">
        <v>1078</v>
      </c>
      <c r="E2907">
        <v>4</v>
      </c>
      <c r="F2907">
        <f>_xlfn.XLOOKUP(Table1[[#This Row],[ProductID]],Products!A:A,Products!D:D,,0)</f>
        <v>80</v>
      </c>
      <c r="I2907">
        <v>499</v>
      </c>
      <c r="J2907">
        <v>499</v>
      </c>
      <c r="K2907" t="s">
        <v>1102</v>
      </c>
      <c r="L2907">
        <v>1996</v>
      </c>
      <c r="M2907" t="s">
        <v>1098</v>
      </c>
      <c r="N2907" t="s">
        <v>1123</v>
      </c>
      <c r="O2907">
        <f>Table1[[#This Row],[Unit_Price]]*Table1[[#This Row],[Quantity]]</f>
        <v>320</v>
      </c>
    </row>
    <row r="2908" spans="1:15" x14ac:dyDescent="0.3">
      <c r="A2908" t="s">
        <v>4723</v>
      </c>
      <c r="B2908" t="s">
        <v>2705</v>
      </c>
      <c r="C2908" t="s">
        <v>875</v>
      </c>
      <c r="D2908" t="s">
        <v>1048</v>
      </c>
      <c r="E2908">
        <v>2</v>
      </c>
      <c r="F2908">
        <f>_xlfn.XLOOKUP(Table1[[#This Row],[ProductID]],Products!A:A,Products!D:D,,0)</f>
        <v>120</v>
      </c>
      <c r="I2908">
        <v>599</v>
      </c>
      <c r="J2908">
        <v>539</v>
      </c>
      <c r="K2908" t="s">
        <v>1107</v>
      </c>
      <c r="L2908">
        <v>1078</v>
      </c>
      <c r="M2908" t="s">
        <v>1093</v>
      </c>
      <c r="N2908" t="s">
        <v>1099</v>
      </c>
      <c r="O2908">
        <f>Table1[[#This Row],[Unit_Price]]*Table1[[#This Row],[Quantity]]</f>
        <v>240</v>
      </c>
    </row>
    <row r="2909" spans="1:15" x14ac:dyDescent="0.3">
      <c r="A2909" t="s">
        <v>4724</v>
      </c>
      <c r="B2909" t="s">
        <v>1842</v>
      </c>
      <c r="C2909" t="s">
        <v>305</v>
      </c>
      <c r="D2909" t="s">
        <v>1051</v>
      </c>
      <c r="E2909">
        <v>2</v>
      </c>
      <c r="F2909">
        <f>_xlfn.XLOOKUP(Table1[[#This Row],[ProductID]],Products!A:A,Products!D:D,,0)</f>
        <v>150</v>
      </c>
      <c r="I2909">
        <v>499</v>
      </c>
      <c r="J2909">
        <v>399</v>
      </c>
      <c r="K2909" t="s">
        <v>1097</v>
      </c>
      <c r="L2909">
        <v>798</v>
      </c>
      <c r="M2909" t="s">
        <v>1093</v>
      </c>
      <c r="N2909" t="s">
        <v>1123</v>
      </c>
      <c r="O2909">
        <f>Table1[[#This Row],[Unit_Price]]*Table1[[#This Row],[Quantity]]</f>
        <v>300</v>
      </c>
    </row>
    <row r="2910" spans="1:15" x14ac:dyDescent="0.3">
      <c r="A2910" t="s">
        <v>4725</v>
      </c>
      <c r="B2910" t="s">
        <v>1971</v>
      </c>
      <c r="C2910" t="s">
        <v>925</v>
      </c>
      <c r="D2910" t="s">
        <v>1057</v>
      </c>
      <c r="E2910">
        <v>1</v>
      </c>
      <c r="F2910">
        <f>_xlfn.XLOOKUP(Table1[[#This Row],[ProductID]],Products!A:A,Products!D:D,,0)</f>
        <v>130</v>
      </c>
      <c r="I2910">
        <v>549</v>
      </c>
      <c r="J2910">
        <v>439</v>
      </c>
      <c r="K2910" t="s">
        <v>1097</v>
      </c>
      <c r="L2910">
        <v>439</v>
      </c>
      <c r="M2910" t="s">
        <v>1093</v>
      </c>
      <c r="N2910" t="s">
        <v>1099</v>
      </c>
      <c r="O2910">
        <f>Table1[[#This Row],[Unit_Price]]*Table1[[#This Row],[Quantity]]</f>
        <v>130</v>
      </c>
    </row>
    <row r="2911" spans="1:15" x14ac:dyDescent="0.3">
      <c r="A2911" t="s">
        <v>4726</v>
      </c>
      <c r="B2911" t="s">
        <v>1626</v>
      </c>
      <c r="C2911" t="s">
        <v>531</v>
      </c>
      <c r="D2911" t="s">
        <v>1066</v>
      </c>
      <c r="E2911">
        <v>1</v>
      </c>
      <c r="F2911">
        <f>_xlfn.XLOOKUP(Table1[[#This Row],[ProductID]],Products!A:A,Products!D:D,,0)</f>
        <v>140</v>
      </c>
      <c r="I2911">
        <v>499</v>
      </c>
      <c r="J2911">
        <v>499</v>
      </c>
      <c r="K2911" t="s">
        <v>1102</v>
      </c>
      <c r="L2911">
        <v>499</v>
      </c>
      <c r="M2911" t="s">
        <v>1098</v>
      </c>
      <c r="N2911" t="s">
        <v>1099</v>
      </c>
      <c r="O2911">
        <f>Table1[[#This Row],[Unit_Price]]*Table1[[#This Row],[Quantity]]</f>
        <v>140</v>
      </c>
    </row>
    <row r="2912" spans="1:15" x14ac:dyDescent="0.3">
      <c r="A2912" t="s">
        <v>4727</v>
      </c>
      <c r="B2912" t="s">
        <v>2025</v>
      </c>
      <c r="C2912" t="s">
        <v>783</v>
      </c>
      <c r="D2912" t="s">
        <v>1059</v>
      </c>
      <c r="E2912">
        <v>1</v>
      </c>
      <c r="F2912">
        <f>_xlfn.XLOOKUP(Table1[[#This Row],[ProductID]],Products!A:A,Products!D:D,,0)</f>
        <v>110</v>
      </c>
      <c r="I2912">
        <v>399</v>
      </c>
      <c r="J2912">
        <v>399</v>
      </c>
      <c r="K2912" t="s">
        <v>1102</v>
      </c>
      <c r="L2912">
        <v>399</v>
      </c>
      <c r="M2912" t="s">
        <v>1093</v>
      </c>
      <c r="N2912" t="s">
        <v>1123</v>
      </c>
      <c r="O2912">
        <f>Table1[[#This Row],[Unit_Price]]*Table1[[#This Row],[Quantity]]</f>
        <v>110</v>
      </c>
    </row>
    <row r="2913" spans="1:15" x14ac:dyDescent="0.3">
      <c r="A2913" t="s">
        <v>4728</v>
      </c>
      <c r="B2913" t="s">
        <v>1507</v>
      </c>
      <c r="C2913" t="s">
        <v>775</v>
      </c>
      <c r="D2913" t="s">
        <v>1066</v>
      </c>
      <c r="E2913">
        <v>2</v>
      </c>
      <c r="F2913">
        <f>_xlfn.XLOOKUP(Table1[[#This Row],[ProductID]],Products!A:A,Products!D:D,,0)</f>
        <v>140</v>
      </c>
      <c r="I2913">
        <v>499</v>
      </c>
      <c r="J2913">
        <v>499</v>
      </c>
      <c r="K2913" t="s">
        <v>1102</v>
      </c>
      <c r="L2913">
        <v>998</v>
      </c>
      <c r="M2913" t="s">
        <v>1118</v>
      </c>
      <c r="N2913" t="s">
        <v>1099</v>
      </c>
      <c r="O2913">
        <f>Table1[[#This Row],[Unit_Price]]*Table1[[#This Row],[Quantity]]</f>
        <v>280</v>
      </c>
    </row>
    <row r="2914" spans="1:15" x14ac:dyDescent="0.3">
      <c r="A2914" t="s">
        <v>4729</v>
      </c>
      <c r="B2914" t="s">
        <v>1493</v>
      </c>
      <c r="C2914" t="s">
        <v>379</v>
      </c>
      <c r="D2914" t="s">
        <v>1080</v>
      </c>
      <c r="E2914">
        <v>4</v>
      </c>
      <c r="F2914">
        <f>_xlfn.XLOOKUP(Table1[[#This Row],[ProductID]],Products!A:A,Products!D:D,,0)</f>
        <v>45</v>
      </c>
      <c r="I2914">
        <v>249</v>
      </c>
      <c r="J2914">
        <v>212</v>
      </c>
      <c r="K2914" t="s">
        <v>1092</v>
      </c>
      <c r="L2914">
        <v>848</v>
      </c>
      <c r="M2914" t="s">
        <v>1093</v>
      </c>
      <c r="N2914" t="s">
        <v>1099</v>
      </c>
      <c r="O2914">
        <f>Table1[[#This Row],[Unit_Price]]*Table1[[#This Row],[Quantity]]</f>
        <v>180</v>
      </c>
    </row>
    <row r="2915" spans="1:15" x14ac:dyDescent="0.3">
      <c r="A2915" t="s">
        <v>4730</v>
      </c>
      <c r="B2915" t="s">
        <v>2395</v>
      </c>
      <c r="C2915" t="s">
        <v>753</v>
      </c>
      <c r="D2915" t="s">
        <v>1073</v>
      </c>
      <c r="E2915">
        <v>1</v>
      </c>
      <c r="F2915">
        <f>_xlfn.XLOOKUP(Table1[[#This Row],[ProductID]],Products!A:A,Products!D:D,,0)</f>
        <v>100</v>
      </c>
      <c r="I2915">
        <v>349</v>
      </c>
      <c r="J2915">
        <v>279</v>
      </c>
      <c r="K2915" t="s">
        <v>1097</v>
      </c>
      <c r="L2915">
        <v>279</v>
      </c>
      <c r="M2915" t="s">
        <v>1098</v>
      </c>
      <c r="N2915" t="s">
        <v>1099</v>
      </c>
      <c r="O2915">
        <f>Table1[[#This Row],[Unit_Price]]*Table1[[#This Row],[Quantity]]</f>
        <v>100</v>
      </c>
    </row>
    <row r="2916" spans="1:15" x14ac:dyDescent="0.3">
      <c r="A2916" t="s">
        <v>4731</v>
      </c>
      <c r="B2916" t="s">
        <v>3589</v>
      </c>
      <c r="C2916" t="s">
        <v>863</v>
      </c>
      <c r="D2916" t="s">
        <v>1075</v>
      </c>
      <c r="E2916">
        <v>2</v>
      </c>
      <c r="F2916">
        <f>_xlfn.XLOOKUP(Table1[[#This Row],[ProductID]],Products!A:A,Products!D:D,,0)</f>
        <v>80</v>
      </c>
      <c r="I2916">
        <v>499</v>
      </c>
      <c r="J2916">
        <v>424</v>
      </c>
      <c r="K2916" t="s">
        <v>1092</v>
      </c>
      <c r="L2916">
        <v>848</v>
      </c>
      <c r="M2916" t="s">
        <v>1098</v>
      </c>
      <c r="N2916" t="s">
        <v>1099</v>
      </c>
      <c r="O2916">
        <f>Table1[[#This Row],[Unit_Price]]*Table1[[#This Row],[Quantity]]</f>
        <v>160</v>
      </c>
    </row>
    <row r="2917" spans="1:15" x14ac:dyDescent="0.3">
      <c r="A2917" t="s">
        <v>4732</v>
      </c>
      <c r="B2917" t="s">
        <v>1709</v>
      </c>
      <c r="C2917" t="s">
        <v>18</v>
      </c>
      <c r="D2917" t="s">
        <v>1080</v>
      </c>
      <c r="E2917">
        <v>1</v>
      </c>
      <c r="F2917">
        <f>_xlfn.XLOOKUP(Table1[[#This Row],[ProductID]],Products!A:A,Products!D:D,,0)</f>
        <v>45</v>
      </c>
      <c r="I2917">
        <v>249</v>
      </c>
      <c r="J2917">
        <v>249</v>
      </c>
      <c r="K2917" t="s">
        <v>1102</v>
      </c>
      <c r="L2917">
        <v>249</v>
      </c>
      <c r="M2917" t="s">
        <v>1093</v>
      </c>
      <c r="N2917" t="s">
        <v>1123</v>
      </c>
      <c r="O2917">
        <f>Table1[[#This Row],[Unit_Price]]*Table1[[#This Row],[Quantity]]</f>
        <v>45</v>
      </c>
    </row>
    <row r="2918" spans="1:15" x14ac:dyDescent="0.3">
      <c r="A2918" t="s">
        <v>4733</v>
      </c>
      <c r="B2918" t="s">
        <v>1632</v>
      </c>
      <c r="C2918" t="s">
        <v>126</v>
      </c>
      <c r="D2918" t="s">
        <v>1080</v>
      </c>
      <c r="E2918">
        <v>2</v>
      </c>
      <c r="F2918">
        <f>_xlfn.XLOOKUP(Table1[[#This Row],[ProductID]],Products!A:A,Products!D:D,,0)</f>
        <v>45</v>
      </c>
      <c r="I2918">
        <v>249</v>
      </c>
      <c r="J2918">
        <v>199</v>
      </c>
      <c r="K2918" t="s">
        <v>1097</v>
      </c>
      <c r="L2918">
        <v>398</v>
      </c>
      <c r="M2918" t="s">
        <v>1093</v>
      </c>
      <c r="N2918" t="s">
        <v>1099</v>
      </c>
      <c r="O2918">
        <f>Table1[[#This Row],[Unit_Price]]*Table1[[#This Row],[Quantity]]</f>
        <v>90</v>
      </c>
    </row>
    <row r="2919" spans="1:15" x14ac:dyDescent="0.3">
      <c r="A2919" t="s">
        <v>4734</v>
      </c>
      <c r="B2919" t="s">
        <v>3206</v>
      </c>
      <c r="C2919" t="s">
        <v>689</v>
      </c>
      <c r="D2919" t="s">
        <v>1080</v>
      </c>
      <c r="E2919">
        <v>4</v>
      </c>
      <c r="F2919">
        <f>_xlfn.XLOOKUP(Table1[[#This Row],[ProductID]],Products!A:A,Products!D:D,,0)</f>
        <v>45</v>
      </c>
      <c r="I2919">
        <v>249</v>
      </c>
      <c r="J2919">
        <v>212</v>
      </c>
      <c r="K2919" t="s">
        <v>1092</v>
      </c>
      <c r="L2919">
        <v>848</v>
      </c>
      <c r="M2919" t="s">
        <v>1093</v>
      </c>
      <c r="N2919" t="s">
        <v>1123</v>
      </c>
      <c r="O2919">
        <f>Table1[[#This Row],[Unit_Price]]*Table1[[#This Row],[Quantity]]</f>
        <v>180</v>
      </c>
    </row>
    <row r="2920" spans="1:15" x14ac:dyDescent="0.3">
      <c r="A2920" t="s">
        <v>4735</v>
      </c>
      <c r="B2920" t="s">
        <v>2050</v>
      </c>
      <c r="C2920" t="s">
        <v>767</v>
      </c>
      <c r="D2920" t="s">
        <v>1057</v>
      </c>
      <c r="E2920">
        <v>1</v>
      </c>
      <c r="F2920">
        <f>_xlfn.XLOOKUP(Table1[[#This Row],[ProductID]],Products!A:A,Products!D:D,,0)</f>
        <v>130</v>
      </c>
      <c r="I2920">
        <v>549</v>
      </c>
      <c r="J2920">
        <v>494</v>
      </c>
      <c r="K2920" t="s">
        <v>1107</v>
      </c>
      <c r="L2920">
        <v>494</v>
      </c>
      <c r="M2920" t="s">
        <v>1093</v>
      </c>
      <c r="N2920" t="s">
        <v>1094</v>
      </c>
      <c r="O2920">
        <f>Table1[[#This Row],[Unit_Price]]*Table1[[#This Row],[Quantity]]</f>
        <v>130</v>
      </c>
    </row>
    <row r="2921" spans="1:15" x14ac:dyDescent="0.3">
      <c r="A2921" t="s">
        <v>4736</v>
      </c>
      <c r="B2921" t="s">
        <v>1198</v>
      </c>
      <c r="C2921" t="s">
        <v>1013</v>
      </c>
      <c r="D2921" t="s">
        <v>1075</v>
      </c>
      <c r="E2921">
        <v>1</v>
      </c>
      <c r="F2921">
        <f>_xlfn.XLOOKUP(Table1[[#This Row],[ProductID]],Products!A:A,Products!D:D,,0)</f>
        <v>80</v>
      </c>
      <c r="I2921">
        <v>499</v>
      </c>
      <c r="J2921">
        <v>449</v>
      </c>
      <c r="K2921" t="s">
        <v>1107</v>
      </c>
      <c r="L2921">
        <v>449</v>
      </c>
      <c r="M2921" t="s">
        <v>1118</v>
      </c>
      <c r="N2921" t="s">
        <v>1099</v>
      </c>
      <c r="O2921">
        <f>Table1[[#This Row],[Unit_Price]]*Table1[[#This Row],[Quantity]]</f>
        <v>80</v>
      </c>
    </row>
    <row r="2922" spans="1:15" x14ac:dyDescent="0.3">
      <c r="A2922" t="s">
        <v>4737</v>
      </c>
      <c r="B2922" t="s">
        <v>2882</v>
      </c>
      <c r="C2922" t="s">
        <v>1039</v>
      </c>
      <c r="D2922" t="s">
        <v>1068</v>
      </c>
      <c r="E2922">
        <v>1</v>
      </c>
      <c r="F2922">
        <f>_xlfn.XLOOKUP(Table1[[#This Row],[ProductID]],Products!A:A,Products!D:D,,0)</f>
        <v>180</v>
      </c>
      <c r="I2922">
        <v>449</v>
      </c>
      <c r="J2922">
        <v>449</v>
      </c>
      <c r="K2922" t="s">
        <v>1102</v>
      </c>
      <c r="L2922">
        <v>449</v>
      </c>
      <c r="M2922" t="s">
        <v>1093</v>
      </c>
      <c r="N2922" t="s">
        <v>1099</v>
      </c>
      <c r="O2922">
        <f>Table1[[#This Row],[Unit_Price]]*Table1[[#This Row],[Quantity]]</f>
        <v>180</v>
      </c>
    </row>
    <row r="2923" spans="1:15" x14ac:dyDescent="0.3">
      <c r="A2923" t="s">
        <v>4738</v>
      </c>
      <c r="B2923" t="s">
        <v>3280</v>
      </c>
      <c r="C2923" t="s">
        <v>199</v>
      </c>
      <c r="D2923" t="s">
        <v>1062</v>
      </c>
      <c r="E2923">
        <v>2</v>
      </c>
      <c r="F2923">
        <f>_xlfn.XLOOKUP(Table1[[#This Row],[ProductID]],Products!A:A,Products!D:D,,0)</f>
        <v>95</v>
      </c>
      <c r="I2923">
        <v>349</v>
      </c>
      <c r="J2923">
        <v>279</v>
      </c>
      <c r="K2923" t="s">
        <v>1097</v>
      </c>
      <c r="L2923">
        <v>558</v>
      </c>
      <c r="M2923" t="s">
        <v>1098</v>
      </c>
      <c r="N2923" t="s">
        <v>1099</v>
      </c>
      <c r="O2923">
        <f>Table1[[#This Row],[Unit_Price]]*Table1[[#This Row],[Quantity]]</f>
        <v>190</v>
      </c>
    </row>
    <row r="2924" spans="1:15" x14ac:dyDescent="0.3">
      <c r="A2924" t="s">
        <v>4739</v>
      </c>
      <c r="B2924" t="s">
        <v>1835</v>
      </c>
      <c r="C2924" t="s">
        <v>223</v>
      </c>
      <c r="D2924" t="s">
        <v>1073</v>
      </c>
      <c r="E2924">
        <v>1</v>
      </c>
      <c r="F2924">
        <f>_xlfn.XLOOKUP(Table1[[#This Row],[ProductID]],Products!A:A,Products!D:D,,0)</f>
        <v>100</v>
      </c>
      <c r="I2924">
        <v>349</v>
      </c>
      <c r="J2924">
        <v>349</v>
      </c>
      <c r="K2924" t="s">
        <v>1102</v>
      </c>
      <c r="L2924">
        <v>349</v>
      </c>
      <c r="M2924" t="s">
        <v>1093</v>
      </c>
      <c r="N2924" t="s">
        <v>1099</v>
      </c>
      <c r="O2924">
        <f>Table1[[#This Row],[Unit_Price]]*Table1[[#This Row],[Quantity]]</f>
        <v>100</v>
      </c>
    </row>
    <row r="2925" spans="1:15" x14ac:dyDescent="0.3">
      <c r="A2925" t="s">
        <v>4740</v>
      </c>
      <c r="B2925" t="s">
        <v>1392</v>
      </c>
      <c r="C2925" t="s">
        <v>803</v>
      </c>
      <c r="D2925" t="s">
        <v>1071</v>
      </c>
      <c r="E2925">
        <v>2</v>
      </c>
      <c r="F2925">
        <f>_xlfn.XLOOKUP(Table1[[#This Row],[ProductID]],Products!A:A,Products!D:D,,0)</f>
        <v>125</v>
      </c>
      <c r="I2925">
        <v>399</v>
      </c>
      <c r="J2925">
        <v>339</v>
      </c>
      <c r="K2925" t="s">
        <v>1092</v>
      </c>
      <c r="L2925">
        <v>678</v>
      </c>
      <c r="M2925" t="s">
        <v>1098</v>
      </c>
      <c r="N2925" t="s">
        <v>1099</v>
      </c>
      <c r="O2925">
        <f>Table1[[#This Row],[Unit_Price]]*Table1[[#This Row],[Quantity]]</f>
        <v>250</v>
      </c>
    </row>
    <row r="2926" spans="1:15" x14ac:dyDescent="0.3">
      <c r="A2926" t="s">
        <v>4741</v>
      </c>
      <c r="B2926" t="s">
        <v>1096</v>
      </c>
      <c r="C2926" t="s">
        <v>565</v>
      </c>
      <c r="D2926" t="s">
        <v>1073</v>
      </c>
      <c r="E2926">
        <v>1</v>
      </c>
      <c r="F2926">
        <f>_xlfn.XLOOKUP(Table1[[#This Row],[ProductID]],Products!A:A,Products!D:D,,0)</f>
        <v>100</v>
      </c>
      <c r="I2926">
        <v>349</v>
      </c>
      <c r="J2926">
        <v>349</v>
      </c>
      <c r="K2926" t="s">
        <v>1102</v>
      </c>
      <c r="L2926">
        <v>349</v>
      </c>
      <c r="M2926" t="s">
        <v>1093</v>
      </c>
      <c r="N2926" t="s">
        <v>1099</v>
      </c>
      <c r="O2926">
        <f>Table1[[#This Row],[Unit_Price]]*Table1[[#This Row],[Quantity]]</f>
        <v>100</v>
      </c>
    </row>
    <row r="2927" spans="1:15" x14ac:dyDescent="0.3">
      <c r="A2927" t="s">
        <v>4742</v>
      </c>
      <c r="B2927" t="s">
        <v>2615</v>
      </c>
      <c r="C2927" t="s">
        <v>721</v>
      </c>
      <c r="D2927" t="s">
        <v>1057</v>
      </c>
      <c r="E2927">
        <v>1</v>
      </c>
      <c r="F2927">
        <f>_xlfn.XLOOKUP(Table1[[#This Row],[ProductID]],Products!A:A,Products!D:D,,0)</f>
        <v>130</v>
      </c>
      <c r="I2927">
        <v>549</v>
      </c>
      <c r="J2927">
        <v>439</v>
      </c>
      <c r="K2927" t="s">
        <v>1097</v>
      </c>
      <c r="L2927">
        <v>439</v>
      </c>
      <c r="M2927" t="s">
        <v>1118</v>
      </c>
      <c r="N2927" t="s">
        <v>1099</v>
      </c>
      <c r="O2927">
        <f>Table1[[#This Row],[Unit_Price]]*Table1[[#This Row],[Quantity]]</f>
        <v>130</v>
      </c>
    </row>
    <row r="2928" spans="1:15" x14ac:dyDescent="0.3">
      <c r="A2928" t="s">
        <v>4743</v>
      </c>
      <c r="B2928" t="s">
        <v>1428</v>
      </c>
      <c r="C2928" t="s">
        <v>829</v>
      </c>
      <c r="D2928" t="s">
        <v>1071</v>
      </c>
      <c r="E2928">
        <v>2</v>
      </c>
      <c r="F2928">
        <f>_xlfn.XLOOKUP(Table1[[#This Row],[ProductID]],Products!A:A,Products!D:D,,0)</f>
        <v>125</v>
      </c>
      <c r="I2928">
        <v>399</v>
      </c>
      <c r="J2928">
        <v>319</v>
      </c>
      <c r="K2928" t="s">
        <v>1097</v>
      </c>
      <c r="L2928">
        <v>638</v>
      </c>
      <c r="M2928" t="s">
        <v>1093</v>
      </c>
      <c r="N2928" t="s">
        <v>1094</v>
      </c>
      <c r="O2928">
        <f>Table1[[#This Row],[Unit_Price]]*Table1[[#This Row],[Quantity]]</f>
        <v>250</v>
      </c>
    </row>
    <row r="2929" spans="1:15" x14ac:dyDescent="0.3">
      <c r="A2929" t="s">
        <v>4744</v>
      </c>
      <c r="B2929" t="s">
        <v>1918</v>
      </c>
      <c r="C2929" t="s">
        <v>825</v>
      </c>
      <c r="D2929" t="s">
        <v>1059</v>
      </c>
      <c r="E2929">
        <v>1</v>
      </c>
      <c r="F2929">
        <f>_xlfn.XLOOKUP(Table1[[#This Row],[ProductID]],Products!A:A,Products!D:D,,0)</f>
        <v>110</v>
      </c>
      <c r="I2929">
        <v>399</v>
      </c>
      <c r="J2929">
        <v>319</v>
      </c>
      <c r="K2929" t="s">
        <v>1097</v>
      </c>
      <c r="L2929">
        <v>319</v>
      </c>
      <c r="M2929" t="s">
        <v>1093</v>
      </c>
      <c r="N2929" t="s">
        <v>1099</v>
      </c>
      <c r="O2929">
        <f>Table1[[#This Row],[Unit_Price]]*Table1[[#This Row],[Quantity]]</f>
        <v>110</v>
      </c>
    </row>
    <row r="2930" spans="1:15" x14ac:dyDescent="0.3">
      <c r="A2930" t="s">
        <v>4745</v>
      </c>
      <c r="B2930" t="s">
        <v>1797</v>
      </c>
      <c r="C2930" t="s">
        <v>333</v>
      </c>
      <c r="D2930" t="s">
        <v>1071</v>
      </c>
      <c r="E2930">
        <v>1</v>
      </c>
      <c r="F2930">
        <f>_xlfn.XLOOKUP(Table1[[#This Row],[ProductID]],Products!A:A,Products!D:D,,0)</f>
        <v>125</v>
      </c>
      <c r="I2930">
        <v>399</v>
      </c>
      <c r="J2930">
        <v>399</v>
      </c>
      <c r="K2930" t="s">
        <v>1102</v>
      </c>
      <c r="L2930">
        <v>399</v>
      </c>
      <c r="M2930" t="s">
        <v>1093</v>
      </c>
      <c r="N2930" t="s">
        <v>1099</v>
      </c>
      <c r="O2930">
        <f>Table1[[#This Row],[Unit_Price]]*Table1[[#This Row],[Quantity]]</f>
        <v>125</v>
      </c>
    </row>
    <row r="2931" spans="1:15" x14ac:dyDescent="0.3">
      <c r="A2931" t="s">
        <v>4746</v>
      </c>
      <c r="B2931" t="s">
        <v>2477</v>
      </c>
      <c r="C2931" t="s">
        <v>63</v>
      </c>
      <c r="D2931" t="s">
        <v>1073</v>
      </c>
      <c r="E2931">
        <v>2</v>
      </c>
      <c r="F2931">
        <f>_xlfn.XLOOKUP(Table1[[#This Row],[ProductID]],Products!A:A,Products!D:D,,0)</f>
        <v>100</v>
      </c>
      <c r="I2931">
        <v>349</v>
      </c>
      <c r="J2931">
        <v>279</v>
      </c>
      <c r="K2931" t="s">
        <v>1097</v>
      </c>
      <c r="L2931">
        <v>558</v>
      </c>
      <c r="M2931" t="s">
        <v>1098</v>
      </c>
      <c r="N2931" t="s">
        <v>1099</v>
      </c>
      <c r="O2931">
        <f>Table1[[#This Row],[Unit_Price]]*Table1[[#This Row],[Quantity]]</f>
        <v>200</v>
      </c>
    </row>
    <row r="2932" spans="1:15" x14ac:dyDescent="0.3">
      <c r="A2932" t="s">
        <v>4747</v>
      </c>
      <c r="B2932" t="s">
        <v>3650</v>
      </c>
      <c r="C2932" t="s">
        <v>931</v>
      </c>
      <c r="D2932" t="s">
        <v>1051</v>
      </c>
      <c r="E2932">
        <v>2</v>
      </c>
      <c r="F2932">
        <f>_xlfn.XLOOKUP(Table1[[#This Row],[ProductID]],Products!A:A,Products!D:D,,0)</f>
        <v>150</v>
      </c>
      <c r="I2932">
        <v>499</v>
      </c>
      <c r="J2932">
        <v>399</v>
      </c>
      <c r="K2932" t="s">
        <v>1097</v>
      </c>
      <c r="L2932">
        <v>798</v>
      </c>
      <c r="M2932" t="s">
        <v>1126</v>
      </c>
      <c r="N2932" t="s">
        <v>1099</v>
      </c>
      <c r="O2932">
        <f>Table1[[#This Row],[Unit_Price]]*Table1[[#This Row],[Quantity]]</f>
        <v>300</v>
      </c>
    </row>
    <row r="2933" spans="1:15" x14ac:dyDescent="0.3">
      <c r="A2933" t="s">
        <v>4748</v>
      </c>
      <c r="B2933" t="s">
        <v>1612</v>
      </c>
      <c r="C2933" t="s">
        <v>957</v>
      </c>
      <c r="D2933" t="s">
        <v>1059</v>
      </c>
      <c r="E2933">
        <v>4</v>
      </c>
      <c r="F2933">
        <f>_xlfn.XLOOKUP(Table1[[#This Row],[ProductID]],Products!A:A,Products!D:D,,0)</f>
        <v>110</v>
      </c>
      <c r="I2933">
        <v>399</v>
      </c>
      <c r="J2933">
        <v>399</v>
      </c>
      <c r="K2933" t="s">
        <v>1102</v>
      </c>
      <c r="L2933">
        <v>1596</v>
      </c>
      <c r="M2933" t="s">
        <v>1098</v>
      </c>
      <c r="N2933" t="s">
        <v>1099</v>
      </c>
      <c r="O2933">
        <f>Table1[[#This Row],[Unit_Price]]*Table1[[#This Row],[Quantity]]</f>
        <v>440</v>
      </c>
    </row>
    <row r="2934" spans="1:15" x14ac:dyDescent="0.3">
      <c r="A2934" t="s">
        <v>4749</v>
      </c>
      <c r="B2934" t="s">
        <v>2760</v>
      </c>
      <c r="C2934" t="s">
        <v>152</v>
      </c>
      <c r="D2934" t="s">
        <v>1066</v>
      </c>
      <c r="E2934">
        <v>2</v>
      </c>
      <c r="F2934">
        <f>_xlfn.XLOOKUP(Table1[[#This Row],[ProductID]],Products!A:A,Products!D:D,,0)</f>
        <v>140</v>
      </c>
      <c r="I2934">
        <v>499</v>
      </c>
      <c r="J2934">
        <v>499</v>
      </c>
      <c r="K2934" t="s">
        <v>1102</v>
      </c>
      <c r="L2934">
        <v>998</v>
      </c>
      <c r="M2934" t="s">
        <v>1093</v>
      </c>
      <c r="N2934" t="s">
        <v>1123</v>
      </c>
      <c r="O2934">
        <f>Table1[[#This Row],[Unit_Price]]*Table1[[#This Row],[Quantity]]</f>
        <v>280</v>
      </c>
    </row>
    <row r="2935" spans="1:15" x14ac:dyDescent="0.3">
      <c r="A2935" t="s">
        <v>4750</v>
      </c>
      <c r="B2935" t="s">
        <v>1150</v>
      </c>
      <c r="C2935" t="s">
        <v>535</v>
      </c>
      <c r="D2935" t="s">
        <v>1059</v>
      </c>
      <c r="E2935">
        <v>1</v>
      </c>
      <c r="F2935">
        <f>_xlfn.XLOOKUP(Table1[[#This Row],[ProductID]],Products!A:A,Products!D:D,,0)</f>
        <v>110</v>
      </c>
      <c r="I2935">
        <v>399</v>
      </c>
      <c r="J2935">
        <v>399</v>
      </c>
      <c r="K2935" t="s">
        <v>1102</v>
      </c>
      <c r="L2935">
        <v>399</v>
      </c>
      <c r="M2935" t="s">
        <v>1118</v>
      </c>
      <c r="N2935" t="s">
        <v>1094</v>
      </c>
      <c r="O2935">
        <f>Table1[[#This Row],[Unit_Price]]*Table1[[#This Row],[Quantity]]</f>
        <v>110</v>
      </c>
    </row>
    <row r="2936" spans="1:15" x14ac:dyDescent="0.3">
      <c r="A2936" t="s">
        <v>4751</v>
      </c>
      <c r="B2936" t="s">
        <v>2095</v>
      </c>
      <c r="C2936" t="s">
        <v>91</v>
      </c>
      <c r="D2936" t="s">
        <v>1073</v>
      </c>
      <c r="E2936">
        <v>1</v>
      </c>
      <c r="F2936">
        <f>_xlfn.XLOOKUP(Table1[[#This Row],[ProductID]],Products!A:A,Products!D:D,,0)</f>
        <v>100</v>
      </c>
      <c r="I2936">
        <v>349</v>
      </c>
      <c r="J2936">
        <v>297</v>
      </c>
      <c r="K2936" t="s">
        <v>1092</v>
      </c>
      <c r="L2936">
        <v>297</v>
      </c>
      <c r="M2936" t="s">
        <v>1093</v>
      </c>
      <c r="N2936" t="s">
        <v>1099</v>
      </c>
      <c r="O2936">
        <f>Table1[[#This Row],[Unit_Price]]*Table1[[#This Row],[Quantity]]</f>
        <v>100</v>
      </c>
    </row>
    <row r="2937" spans="1:15" x14ac:dyDescent="0.3">
      <c r="A2937" t="s">
        <v>4752</v>
      </c>
      <c r="B2937" t="s">
        <v>2421</v>
      </c>
      <c r="C2937" t="s">
        <v>327</v>
      </c>
      <c r="D2937" t="s">
        <v>1066</v>
      </c>
      <c r="E2937">
        <v>1</v>
      </c>
      <c r="F2937">
        <f>_xlfn.XLOOKUP(Table1[[#This Row],[ProductID]],Products!A:A,Products!D:D,,0)</f>
        <v>140</v>
      </c>
      <c r="I2937">
        <v>499</v>
      </c>
      <c r="J2937">
        <v>499</v>
      </c>
      <c r="K2937" t="s">
        <v>1102</v>
      </c>
      <c r="L2937">
        <v>499</v>
      </c>
      <c r="M2937" t="s">
        <v>1118</v>
      </c>
      <c r="N2937" t="s">
        <v>1099</v>
      </c>
      <c r="O2937">
        <f>Table1[[#This Row],[Unit_Price]]*Table1[[#This Row],[Quantity]]</f>
        <v>140</v>
      </c>
    </row>
    <row r="2938" spans="1:15" x14ac:dyDescent="0.3">
      <c r="A2938" t="s">
        <v>4753</v>
      </c>
      <c r="B2938" t="s">
        <v>2190</v>
      </c>
      <c r="C2938" t="s">
        <v>253</v>
      </c>
      <c r="D2938" t="s">
        <v>1062</v>
      </c>
      <c r="E2938">
        <v>2</v>
      </c>
      <c r="F2938">
        <f>_xlfn.XLOOKUP(Table1[[#This Row],[ProductID]],Products!A:A,Products!D:D,,0)</f>
        <v>95</v>
      </c>
      <c r="I2938">
        <v>349</v>
      </c>
      <c r="J2938">
        <v>297</v>
      </c>
      <c r="K2938" t="s">
        <v>1092</v>
      </c>
      <c r="L2938">
        <v>594</v>
      </c>
      <c r="M2938" t="s">
        <v>1118</v>
      </c>
      <c r="N2938" t="s">
        <v>1099</v>
      </c>
      <c r="O2938">
        <f>Table1[[#This Row],[Unit_Price]]*Table1[[#This Row],[Quantity]]</f>
        <v>190</v>
      </c>
    </row>
    <row r="2939" spans="1:15" x14ac:dyDescent="0.3">
      <c r="A2939" t="s">
        <v>4754</v>
      </c>
      <c r="B2939" t="s">
        <v>2563</v>
      </c>
      <c r="C2939" t="s">
        <v>275</v>
      </c>
      <c r="D2939" t="s">
        <v>1064</v>
      </c>
      <c r="E2939">
        <v>1</v>
      </c>
      <c r="F2939">
        <f>_xlfn.XLOOKUP(Table1[[#This Row],[ProductID]],Products!A:A,Products!D:D,,0)</f>
        <v>160</v>
      </c>
      <c r="I2939">
        <v>699</v>
      </c>
      <c r="J2939">
        <v>629</v>
      </c>
      <c r="K2939" t="s">
        <v>1107</v>
      </c>
      <c r="L2939">
        <v>629</v>
      </c>
      <c r="M2939" t="s">
        <v>1126</v>
      </c>
      <c r="N2939" t="s">
        <v>1099</v>
      </c>
      <c r="O2939">
        <f>Table1[[#This Row],[Unit_Price]]*Table1[[#This Row],[Quantity]]</f>
        <v>160</v>
      </c>
    </row>
    <row r="2940" spans="1:15" x14ac:dyDescent="0.3">
      <c r="A2940" t="s">
        <v>4755</v>
      </c>
      <c r="B2940" t="s">
        <v>1645</v>
      </c>
      <c r="C2940" t="s">
        <v>211</v>
      </c>
      <c r="D2940" t="s">
        <v>1051</v>
      </c>
      <c r="E2940">
        <v>1</v>
      </c>
      <c r="F2940">
        <f>_xlfn.XLOOKUP(Table1[[#This Row],[ProductID]],Products!A:A,Products!D:D,,0)</f>
        <v>150</v>
      </c>
      <c r="I2940">
        <v>499</v>
      </c>
      <c r="J2940">
        <v>399</v>
      </c>
      <c r="K2940" t="s">
        <v>1097</v>
      </c>
      <c r="L2940">
        <v>399</v>
      </c>
      <c r="M2940" t="s">
        <v>1098</v>
      </c>
      <c r="N2940" t="s">
        <v>1099</v>
      </c>
      <c r="O2940">
        <f>Table1[[#This Row],[Unit_Price]]*Table1[[#This Row],[Quantity]]</f>
        <v>150</v>
      </c>
    </row>
    <row r="2941" spans="1:15" x14ac:dyDescent="0.3">
      <c r="A2941" t="s">
        <v>4756</v>
      </c>
      <c r="B2941" t="s">
        <v>1811</v>
      </c>
      <c r="C2941" t="s">
        <v>219</v>
      </c>
      <c r="D2941" t="s">
        <v>1048</v>
      </c>
      <c r="E2941">
        <v>1</v>
      </c>
      <c r="F2941">
        <f>_xlfn.XLOOKUP(Table1[[#This Row],[ProductID]],Products!A:A,Products!D:D,,0)</f>
        <v>120</v>
      </c>
      <c r="I2941">
        <v>599</v>
      </c>
      <c r="J2941">
        <v>509</v>
      </c>
      <c r="K2941" t="s">
        <v>1092</v>
      </c>
      <c r="L2941">
        <v>509</v>
      </c>
      <c r="M2941" t="s">
        <v>1093</v>
      </c>
      <c r="N2941" t="s">
        <v>1099</v>
      </c>
      <c r="O2941">
        <f>Table1[[#This Row],[Unit_Price]]*Table1[[#This Row],[Quantity]]</f>
        <v>120</v>
      </c>
    </row>
    <row r="2942" spans="1:15" x14ac:dyDescent="0.3">
      <c r="A2942" t="s">
        <v>4757</v>
      </c>
      <c r="B2942" t="s">
        <v>2316</v>
      </c>
      <c r="C2942" t="s">
        <v>757</v>
      </c>
      <c r="D2942" t="s">
        <v>1062</v>
      </c>
      <c r="E2942">
        <v>1</v>
      </c>
      <c r="F2942">
        <f>_xlfn.XLOOKUP(Table1[[#This Row],[ProductID]],Products!A:A,Products!D:D,,0)</f>
        <v>95</v>
      </c>
      <c r="I2942">
        <v>349</v>
      </c>
      <c r="J2942">
        <v>297</v>
      </c>
      <c r="K2942" t="s">
        <v>1092</v>
      </c>
      <c r="L2942">
        <v>297</v>
      </c>
      <c r="M2942" t="s">
        <v>1118</v>
      </c>
      <c r="N2942" t="s">
        <v>1099</v>
      </c>
      <c r="O2942">
        <f>Table1[[#This Row],[Unit_Price]]*Table1[[#This Row],[Quantity]]</f>
        <v>95</v>
      </c>
    </row>
    <row r="2943" spans="1:15" x14ac:dyDescent="0.3">
      <c r="A2943" t="s">
        <v>4758</v>
      </c>
      <c r="B2943" t="s">
        <v>1833</v>
      </c>
      <c r="C2943" t="s">
        <v>927</v>
      </c>
      <c r="D2943" t="s">
        <v>1053</v>
      </c>
      <c r="E2943">
        <v>2</v>
      </c>
      <c r="F2943">
        <f>_xlfn.XLOOKUP(Table1[[#This Row],[ProductID]],Products!A:A,Products!D:D,,0)</f>
        <v>200</v>
      </c>
      <c r="I2943">
        <v>899</v>
      </c>
      <c r="J2943">
        <v>899</v>
      </c>
      <c r="K2943" t="s">
        <v>1102</v>
      </c>
      <c r="L2943">
        <v>1798</v>
      </c>
      <c r="M2943" t="s">
        <v>1093</v>
      </c>
      <c r="N2943" t="s">
        <v>1099</v>
      </c>
      <c r="O2943">
        <f>Table1[[#This Row],[Unit_Price]]*Table1[[#This Row],[Quantity]]</f>
        <v>400</v>
      </c>
    </row>
    <row r="2944" spans="1:15" x14ac:dyDescent="0.3">
      <c r="A2944" t="s">
        <v>4759</v>
      </c>
      <c r="B2944" t="s">
        <v>1445</v>
      </c>
      <c r="C2944" t="s">
        <v>981</v>
      </c>
      <c r="D2944" t="s">
        <v>1064</v>
      </c>
      <c r="E2944">
        <v>1</v>
      </c>
      <c r="F2944">
        <f>_xlfn.XLOOKUP(Table1[[#This Row],[ProductID]],Products!A:A,Products!D:D,,0)</f>
        <v>160</v>
      </c>
      <c r="I2944">
        <v>699</v>
      </c>
      <c r="J2944">
        <v>629</v>
      </c>
      <c r="K2944" t="s">
        <v>1107</v>
      </c>
      <c r="L2944">
        <v>629</v>
      </c>
      <c r="M2944" t="s">
        <v>1093</v>
      </c>
      <c r="N2944" t="s">
        <v>1099</v>
      </c>
      <c r="O2944">
        <f>Table1[[#This Row],[Unit_Price]]*Table1[[#This Row],[Quantity]]</f>
        <v>160</v>
      </c>
    </row>
    <row r="2945" spans="1:15" x14ac:dyDescent="0.3">
      <c r="A2945" t="s">
        <v>4760</v>
      </c>
      <c r="B2945" t="s">
        <v>4090</v>
      </c>
      <c r="C2945" t="s">
        <v>975</v>
      </c>
      <c r="D2945" t="s">
        <v>1057</v>
      </c>
      <c r="E2945">
        <v>2</v>
      </c>
      <c r="F2945">
        <f>_xlfn.XLOOKUP(Table1[[#This Row],[ProductID]],Products!A:A,Products!D:D,,0)</f>
        <v>130</v>
      </c>
      <c r="I2945">
        <v>549</v>
      </c>
      <c r="J2945">
        <v>494</v>
      </c>
      <c r="K2945" t="s">
        <v>1107</v>
      </c>
      <c r="L2945">
        <v>988</v>
      </c>
      <c r="M2945" t="s">
        <v>1098</v>
      </c>
      <c r="N2945" t="s">
        <v>1099</v>
      </c>
      <c r="O2945">
        <f>Table1[[#This Row],[Unit_Price]]*Table1[[#This Row],[Quantity]]</f>
        <v>260</v>
      </c>
    </row>
    <row r="2946" spans="1:15" x14ac:dyDescent="0.3">
      <c r="A2946" t="s">
        <v>4761</v>
      </c>
      <c r="B2946" t="s">
        <v>2407</v>
      </c>
      <c r="C2946" t="s">
        <v>851</v>
      </c>
      <c r="D2946" t="s">
        <v>1062</v>
      </c>
      <c r="E2946">
        <v>1</v>
      </c>
      <c r="F2946">
        <f>_xlfn.XLOOKUP(Table1[[#This Row],[ProductID]],Products!A:A,Products!D:D,,0)</f>
        <v>95</v>
      </c>
      <c r="I2946">
        <v>349</v>
      </c>
      <c r="J2946">
        <v>279</v>
      </c>
      <c r="K2946" t="s">
        <v>1097</v>
      </c>
      <c r="L2946">
        <v>279</v>
      </c>
      <c r="M2946" t="s">
        <v>1098</v>
      </c>
      <c r="N2946" t="s">
        <v>1099</v>
      </c>
      <c r="O2946">
        <f>Table1[[#This Row],[Unit_Price]]*Table1[[#This Row],[Quantity]]</f>
        <v>95</v>
      </c>
    </row>
    <row r="2947" spans="1:15" x14ac:dyDescent="0.3">
      <c r="A2947" t="s">
        <v>4762</v>
      </c>
      <c r="B2947" t="s">
        <v>2421</v>
      </c>
      <c r="C2947" t="s">
        <v>551</v>
      </c>
      <c r="D2947" t="s">
        <v>1073</v>
      </c>
      <c r="E2947">
        <v>2</v>
      </c>
      <c r="F2947">
        <f>_xlfn.XLOOKUP(Table1[[#This Row],[ProductID]],Products!A:A,Products!D:D,,0)</f>
        <v>100</v>
      </c>
      <c r="I2947">
        <v>349</v>
      </c>
      <c r="J2947">
        <v>314</v>
      </c>
      <c r="K2947" t="s">
        <v>1107</v>
      </c>
      <c r="L2947">
        <v>628</v>
      </c>
      <c r="M2947" t="s">
        <v>1093</v>
      </c>
      <c r="N2947" t="s">
        <v>1123</v>
      </c>
      <c r="O2947">
        <f>Table1[[#This Row],[Unit_Price]]*Table1[[#This Row],[Quantity]]</f>
        <v>200</v>
      </c>
    </row>
    <row r="2948" spans="1:15" x14ac:dyDescent="0.3">
      <c r="A2948" t="s">
        <v>4763</v>
      </c>
      <c r="B2948" t="s">
        <v>1130</v>
      </c>
      <c r="C2948" t="s">
        <v>603</v>
      </c>
      <c r="D2948" t="s">
        <v>1048</v>
      </c>
      <c r="E2948">
        <v>3</v>
      </c>
      <c r="F2948">
        <f>_xlfn.XLOOKUP(Table1[[#This Row],[ProductID]],Products!A:A,Products!D:D,,0)</f>
        <v>120</v>
      </c>
      <c r="I2948">
        <v>599</v>
      </c>
      <c r="J2948">
        <v>539</v>
      </c>
      <c r="K2948" t="s">
        <v>1107</v>
      </c>
      <c r="L2948">
        <v>1617</v>
      </c>
      <c r="M2948" t="s">
        <v>1098</v>
      </c>
      <c r="N2948" t="s">
        <v>1099</v>
      </c>
      <c r="O2948">
        <f>Table1[[#This Row],[Unit_Price]]*Table1[[#This Row],[Quantity]]</f>
        <v>360</v>
      </c>
    </row>
    <row r="2949" spans="1:15" x14ac:dyDescent="0.3">
      <c r="A2949" t="s">
        <v>4764</v>
      </c>
      <c r="B2949" t="s">
        <v>2382</v>
      </c>
      <c r="C2949" t="s">
        <v>333</v>
      </c>
      <c r="D2949" t="s">
        <v>1055</v>
      </c>
      <c r="E2949">
        <v>1</v>
      </c>
      <c r="F2949">
        <f>_xlfn.XLOOKUP(Table1[[#This Row],[ProductID]],Products!A:A,Products!D:D,,0)</f>
        <v>75</v>
      </c>
      <c r="I2949">
        <v>299</v>
      </c>
      <c r="J2949">
        <v>254</v>
      </c>
      <c r="K2949" t="s">
        <v>1092</v>
      </c>
      <c r="L2949">
        <v>254</v>
      </c>
      <c r="M2949" t="s">
        <v>1093</v>
      </c>
      <c r="N2949" t="s">
        <v>1123</v>
      </c>
      <c r="O2949">
        <f>Table1[[#This Row],[Unit_Price]]*Table1[[#This Row],[Quantity]]</f>
        <v>75</v>
      </c>
    </row>
    <row r="2950" spans="1:15" x14ac:dyDescent="0.3">
      <c r="A2950" t="s">
        <v>4765</v>
      </c>
      <c r="B2950" t="s">
        <v>1331</v>
      </c>
      <c r="C2950" t="s">
        <v>607</v>
      </c>
      <c r="D2950" t="s">
        <v>1068</v>
      </c>
      <c r="E2950">
        <v>1</v>
      </c>
      <c r="F2950">
        <f>_xlfn.XLOOKUP(Table1[[#This Row],[ProductID]],Products!A:A,Products!D:D,,0)</f>
        <v>180</v>
      </c>
      <c r="I2950">
        <v>449</v>
      </c>
      <c r="J2950">
        <v>359</v>
      </c>
      <c r="K2950" t="s">
        <v>1097</v>
      </c>
      <c r="L2950">
        <v>359</v>
      </c>
      <c r="M2950" t="s">
        <v>1126</v>
      </c>
      <c r="N2950" t="s">
        <v>1099</v>
      </c>
      <c r="O2950">
        <f>Table1[[#This Row],[Unit_Price]]*Table1[[#This Row],[Quantity]]</f>
        <v>180</v>
      </c>
    </row>
    <row r="2951" spans="1:15" x14ac:dyDescent="0.3">
      <c r="A2951" t="s">
        <v>4766</v>
      </c>
      <c r="B2951" t="s">
        <v>2085</v>
      </c>
      <c r="C2951" t="s">
        <v>317</v>
      </c>
      <c r="D2951" t="s">
        <v>1078</v>
      </c>
      <c r="E2951">
        <v>1</v>
      </c>
      <c r="F2951">
        <f>_xlfn.XLOOKUP(Table1[[#This Row],[ProductID]],Products!A:A,Products!D:D,,0)</f>
        <v>80</v>
      </c>
      <c r="I2951">
        <v>499</v>
      </c>
      <c r="J2951">
        <v>499</v>
      </c>
      <c r="K2951" t="s">
        <v>1102</v>
      </c>
      <c r="L2951">
        <v>499</v>
      </c>
      <c r="M2951" t="s">
        <v>1093</v>
      </c>
      <c r="N2951" t="s">
        <v>1099</v>
      </c>
      <c r="O2951">
        <f>Table1[[#This Row],[Unit_Price]]*Table1[[#This Row],[Quantity]]</f>
        <v>80</v>
      </c>
    </row>
    <row r="2952" spans="1:15" x14ac:dyDescent="0.3">
      <c r="A2952" t="s">
        <v>4767</v>
      </c>
      <c r="B2952" t="s">
        <v>2354</v>
      </c>
      <c r="C2952" t="s">
        <v>229</v>
      </c>
      <c r="D2952" t="s">
        <v>1055</v>
      </c>
      <c r="E2952">
        <v>1</v>
      </c>
      <c r="F2952">
        <f>_xlfn.XLOOKUP(Table1[[#This Row],[ProductID]],Products!A:A,Products!D:D,,0)</f>
        <v>75</v>
      </c>
      <c r="I2952">
        <v>299</v>
      </c>
      <c r="J2952">
        <v>299</v>
      </c>
      <c r="K2952" t="s">
        <v>1102</v>
      </c>
      <c r="L2952">
        <v>299</v>
      </c>
      <c r="M2952" t="s">
        <v>1093</v>
      </c>
      <c r="N2952" t="s">
        <v>1099</v>
      </c>
      <c r="O2952">
        <f>Table1[[#This Row],[Unit_Price]]*Table1[[#This Row],[Quantity]]</f>
        <v>75</v>
      </c>
    </row>
    <row r="2953" spans="1:15" x14ac:dyDescent="0.3">
      <c r="A2953" t="s">
        <v>4768</v>
      </c>
      <c r="B2953" t="s">
        <v>3067</v>
      </c>
      <c r="C2953" t="s">
        <v>895</v>
      </c>
      <c r="D2953" t="s">
        <v>1057</v>
      </c>
      <c r="E2953">
        <v>1</v>
      </c>
      <c r="F2953">
        <f>_xlfn.XLOOKUP(Table1[[#This Row],[ProductID]],Products!A:A,Products!D:D,,0)</f>
        <v>130</v>
      </c>
      <c r="I2953">
        <v>549</v>
      </c>
      <c r="J2953">
        <v>549</v>
      </c>
      <c r="K2953" t="s">
        <v>1102</v>
      </c>
      <c r="L2953">
        <v>549</v>
      </c>
      <c r="M2953" t="s">
        <v>1093</v>
      </c>
      <c r="N2953" t="s">
        <v>1094</v>
      </c>
      <c r="O2953">
        <f>Table1[[#This Row],[Unit_Price]]*Table1[[#This Row],[Quantity]]</f>
        <v>130</v>
      </c>
    </row>
    <row r="2954" spans="1:15" x14ac:dyDescent="0.3">
      <c r="A2954" t="s">
        <v>4769</v>
      </c>
      <c r="B2954" t="s">
        <v>1636</v>
      </c>
      <c r="C2954" t="s">
        <v>491</v>
      </c>
      <c r="D2954" t="s">
        <v>1059</v>
      </c>
      <c r="E2954">
        <v>3</v>
      </c>
      <c r="F2954">
        <f>_xlfn.XLOOKUP(Table1[[#This Row],[ProductID]],Products!A:A,Products!D:D,,0)</f>
        <v>110</v>
      </c>
      <c r="I2954">
        <v>399</v>
      </c>
      <c r="J2954">
        <v>359</v>
      </c>
      <c r="K2954" t="s">
        <v>1107</v>
      </c>
      <c r="L2954">
        <v>1077</v>
      </c>
      <c r="M2954" t="s">
        <v>1098</v>
      </c>
      <c r="N2954" t="s">
        <v>1099</v>
      </c>
      <c r="O2954">
        <f>Table1[[#This Row],[Unit_Price]]*Table1[[#This Row],[Quantity]]</f>
        <v>330</v>
      </c>
    </row>
    <row r="2955" spans="1:15" x14ac:dyDescent="0.3">
      <c r="A2955" t="s">
        <v>4770</v>
      </c>
      <c r="B2955" t="s">
        <v>3723</v>
      </c>
      <c r="C2955" t="s">
        <v>167</v>
      </c>
      <c r="D2955" t="s">
        <v>1075</v>
      </c>
      <c r="E2955">
        <v>1</v>
      </c>
      <c r="F2955">
        <f>_xlfn.XLOOKUP(Table1[[#This Row],[ProductID]],Products!A:A,Products!D:D,,0)</f>
        <v>80</v>
      </c>
      <c r="I2955">
        <v>499</v>
      </c>
      <c r="J2955">
        <v>449</v>
      </c>
      <c r="K2955" t="s">
        <v>1107</v>
      </c>
      <c r="L2955">
        <v>449</v>
      </c>
      <c r="M2955" t="s">
        <v>1126</v>
      </c>
      <c r="N2955" t="s">
        <v>1099</v>
      </c>
      <c r="O2955">
        <f>Table1[[#This Row],[Unit_Price]]*Table1[[#This Row],[Quantity]]</f>
        <v>80</v>
      </c>
    </row>
    <row r="2956" spans="1:15" x14ac:dyDescent="0.3">
      <c r="A2956" t="s">
        <v>4771</v>
      </c>
      <c r="B2956" t="s">
        <v>2444</v>
      </c>
      <c r="C2956" t="s">
        <v>991</v>
      </c>
      <c r="D2956" t="s">
        <v>1055</v>
      </c>
      <c r="E2956">
        <v>1</v>
      </c>
      <c r="F2956">
        <f>_xlfn.XLOOKUP(Table1[[#This Row],[ProductID]],Products!A:A,Products!D:D,,0)</f>
        <v>75</v>
      </c>
      <c r="I2956">
        <v>299</v>
      </c>
      <c r="J2956">
        <v>254</v>
      </c>
      <c r="K2956" t="s">
        <v>1092</v>
      </c>
      <c r="L2956">
        <v>254</v>
      </c>
      <c r="M2956" t="s">
        <v>1093</v>
      </c>
      <c r="N2956" t="s">
        <v>1094</v>
      </c>
      <c r="O2956">
        <f>Table1[[#This Row],[Unit_Price]]*Table1[[#This Row],[Quantity]]</f>
        <v>75</v>
      </c>
    </row>
    <row r="2957" spans="1:15" x14ac:dyDescent="0.3">
      <c r="A2957" t="s">
        <v>4772</v>
      </c>
      <c r="B2957" t="s">
        <v>2008</v>
      </c>
      <c r="C2957" t="s">
        <v>243</v>
      </c>
      <c r="D2957" t="s">
        <v>1068</v>
      </c>
      <c r="E2957">
        <v>2</v>
      </c>
      <c r="F2957">
        <f>_xlfn.XLOOKUP(Table1[[#This Row],[ProductID]],Products!A:A,Products!D:D,,0)</f>
        <v>180</v>
      </c>
      <c r="I2957">
        <v>449</v>
      </c>
      <c r="J2957">
        <v>449</v>
      </c>
      <c r="K2957" t="s">
        <v>1102</v>
      </c>
      <c r="L2957">
        <v>898</v>
      </c>
      <c r="M2957" t="s">
        <v>1098</v>
      </c>
      <c r="N2957" t="s">
        <v>1123</v>
      </c>
      <c r="O2957">
        <f>Table1[[#This Row],[Unit_Price]]*Table1[[#This Row],[Quantity]]</f>
        <v>360</v>
      </c>
    </row>
    <row r="2958" spans="1:15" x14ac:dyDescent="0.3">
      <c r="A2958" t="s">
        <v>4773</v>
      </c>
      <c r="B2958" t="s">
        <v>2898</v>
      </c>
      <c r="C2958" t="s">
        <v>277</v>
      </c>
      <c r="D2958" t="s">
        <v>1064</v>
      </c>
      <c r="E2958">
        <v>2</v>
      </c>
      <c r="F2958">
        <f>_xlfn.XLOOKUP(Table1[[#This Row],[ProductID]],Products!A:A,Products!D:D,,0)</f>
        <v>160</v>
      </c>
      <c r="I2958">
        <v>699</v>
      </c>
      <c r="J2958">
        <v>559</v>
      </c>
      <c r="K2958" t="s">
        <v>1097</v>
      </c>
      <c r="L2958">
        <v>1118</v>
      </c>
      <c r="M2958" t="s">
        <v>1098</v>
      </c>
      <c r="N2958" t="s">
        <v>1099</v>
      </c>
      <c r="O2958">
        <f>Table1[[#This Row],[Unit_Price]]*Table1[[#This Row],[Quantity]]</f>
        <v>320</v>
      </c>
    </row>
    <row r="2959" spans="1:15" x14ac:dyDescent="0.3">
      <c r="A2959" t="s">
        <v>4774</v>
      </c>
      <c r="B2959" t="s">
        <v>1410</v>
      </c>
      <c r="C2959" t="s">
        <v>381</v>
      </c>
      <c r="D2959" t="s">
        <v>1064</v>
      </c>
      <c r="E2959">
        <v>1</v>
      </c>
      <c r="F2959">
        <f>_xlfn.XLOOKUP(Table1[[#This Row],[ProductID]],Products!A:A,Products!D:D,,0)</f>
        <v>160</v>
      </c>
      <c r="I2959">
        <v>699</v>
      </c>
      <c r="J2959">
        <v>699</v>
      </c>
      <c r="K2959" t="s">
        <v>1102</v>
      </c>
      <c r="L2959">
        <v>699</v>
      </c>
      <c r="M2959" t="s">
        <v>1093</v>
      </c>
      <c r="N2959" t="s">
        <v>1099</v>
      </c>
      <c r="O2959">
        <f>Table1[[#This Row],[Unit_Price]]*Table1[[#This Row],[Quantity]]</f>
        <v>160</v>
      </c>
    </row>
    <row r="2960" spans="1:15" x14ac:dyDescent="0.3">
      <c r="A2960" t="s">
        <v>4775</v>
      </c>
      <c r="B2960" t="s">
        <v>1855</v>
      </c>
      <c r="C2960" t="s">
        <v>349</v>
      </c>
      <c r="D2960" t="s">
        <v>1062</v>
      </c>
      <c r="E2960">
        <v>2</v>
      </c>
      <c r="F2960">
        <f>_xlfn.XLOOKUP(Table1[[#This Row],[ProductID]],Products!A:A,Products!D:D,,0)</f>
        <v>95</v>
      </c>
      <c r="I2960">
        <v>349</v>
      </c>
      <c r="J2960">
        <v>314</v>
      </c>
      <c r="K2960" t="s">
        <v>1107</v>
      </c>
      <c r="L2960">
        <v>628</v>
      </c>
      <c r="M2960" t="s">
        <v>1093</v>
      </c>
      <c r="N2960" t="s">
        <v>1123</v>
      </c>
      <c r="O2960">
        <f>Table1[[#This Row],[Unit_Price]]*Table1[[#This Row],[Quantity]]</f>
        <v>190</v>
      </c>
    </row>
    <row r="2961" spans="1:15" x14ac:dyDescent="0.3">
      <c r="A2961" t="s">
        <v>4776</v>
      </c>
      <c r="B2961" t="s">
        <v>2382</v>
      </c>
      <c r="C2961" t="s">
        <v>739</v>
      </c>
      <c r="D2961" t="s">
        <v>1078</v>
      </c>
      <c r="E2961">
        <v>1</v>
      </c>
      <c r="F2961">
        <f>_xlfn.XLOOKUP(Table1[[#This Row],[ProductID]],Products!A:A,Products!D:D,,0)</f>
        <v>80</v>
      </c>
      <c r="I2961">
        <v>499</v>
      </c>
      <c r="J2961">
        <v>399</v>
      </c>
      <c r="K2961" t="s">
        <v>1097</v>
      </c>
      <c r="L2961">
        <v>399</v>
      </c>
      <c r="M2961" t="s">
        <v>1098</v>
      </c>
      <c r="N2961" t="s">
        <v>1099</v>
      </c>
      <c r="O2961">
        <f>Table1[[#This Row],[Unit_Price]]*Table1[[#This Row],[Quantity]]</f>
        <v>80</v>
      </c>
    </row>
    <row r="2962" spans="1:15" x14ac:dyDescent="0.3">
      <c r="A2962" t="s">
        <v>4777</v>
      </c>
      <c r="B2962" t="s">
        <v>3215</v>
      </c>
      <c r="C2962" t="s">
        <v>47</v>
      </c>
      <c r="D2962" t="s">
        <v>1078</v>
      </c>
      <c r="E2962">
        <v>1</v>
      </c>
      <c r="F2962">
        <f>_xlfn.XLOOKUP(Table1[[#This Row],[ProductID]],Products!A:A,Products!D:D,,0)</f>
        <v>80</v>
      </c>
      <c r="I2962">
        <v>499</v>
      </c>
      <c r="J2962">
        <v>499</v>
      </c>
      <c r="K2962" t="s">
        <v>1102</v>
      </c>
      <c r="L2962">
        <v>499</v>
      </c>
      <c r="M2962" t="s">
        <v>1093</v>
      </c>
      <c r="N2962" t="s">
        <v>1094</v>
      </c>
      <c r="O2962">
        <f>Table1[[#This Row],[Unit_Price]]*Table1[[#This Row],[Quantity]]</f>
        <v>80</v>
      </c>
    </row>
    <row r="2963" spans="1:15" x14ac:dyDescent="0.3">
      <c r="A2963" t="s">
        <v>4778</v>
      </c>
      <c r="B2963" t="s">
        <v>1152</v>
      </c>
      <c r="C2963" t="s">
        <v>211</v>
      </c>
      <c r="D2963" t="s">
        <v>1055</v>
      </c>
      <c r="E2963">
        <v>3</v>
      </c>
      <c r="F2963">
        <f>_xlfn.XLOOKUP(Table1[[#This Row],[ProductID]],Products!A:A,Products!D:D,,0)</f>
        <v>75</v>
      </c>
      <c r="I2963">
        <v>299</v>
      </c>
      <c r="J2963">
        <v>254</v>
      </c>
      <c r="K2963" t="s">
        <v>1092</v>
      </c>
      <c r="L2963">
        <v>762</v>
      </c>
      <c r="M2963" t="s">
        <v>1118</v>
      </c>
      <c r="N2963" t="s">
        <v>1123</v>
      </c>
      <c r="O2963">
        <f>Table1[[#This Row],[Unit_Price]]*Table1[[#This Row],[Quantity]]</f>
        <v>225</v>
      </c>
    </row>
    <row r="2964" spans="1:15" x14ac:dyDescent="0.3">
      <c r="A2964" t="s">
        <v>4779</v>
      </c>
      <c r="B2964" t="s">
        <v>1909</v>
      </c>
      <c r="C2964" t="s">
        <v>775</v>
      </c>
      <c r="D2964" t="s">
        <v>1057</v>
      </c>
      <c r="E2964">
        <v>4</v>
      </c>
      <c r="F2964">
        <f>_xlfn.XLOOKUP(Table1[[#This Row],[ProductID]],Products!A:A,Products!D:D,,0)</f>
        <v>130</v>
      </c>
      <c r="I2964">
        <v>549</v>
      </c>
      <c r="J2964">
        <v>494</v>
      </c>
      <c r="K2964" t="s">
        <v>1107</v>
      </c>
      <c r="L2964">
        <v>1976</v>
      </c>
      <c r="M2964" t="s">
        <v>1093</v>
      </c>
      <c r="N2964" t="s">
        <v>1099</v>
      </c>
      <c r="O2964">
        <f>Table1[[#This Row],[Unit_Price]]*Table1[[#This Row],[Quantity]]</f>
        <v>520</v>
      </c>
    </row>
    <row r="2965" spans="1:15" x14ac:dyDescent="0.3">
      <c r="A2965" t="s">
        <v>4780</v>
      </c>
      <c r="B2965" t="s">
        <v>1168</v>
      </c>
      <c r="C2965" t="s">
        <v>355</v>
      </c>
      <c r="D2965" t="s">
        <v>1075</v>
      </c>
      <c r="E2965">
        <v>1</v>
      </c>
      <c r="F2965">
        <f>_xlfn.XLOOKUP(Table1[[#This Row],[ProductID]],Products!A:A,Products!D:D,,0)</f>
        <v>80</v>
      </c>
      <c r="I2965">
        <v>499</v>
      </c>
      <c r="J2965">
        <v>449</v>
      </c>
      <c r="K2965" t="s">
        <v>1107</v>
      </c>
      <c r="L2965">
        <v>449</v>
      </c>
      <c r="M2965" t="s">
        <v>1098</v>
      </c>
      <c r="N2965" t="s">
        <v>1099</v>
      </c>
      <c r="O2965">
        <f>Table1[[#This Row],[Unit_Price]]*Table1[[#This Row],[Quantity]]</f>
        <v>80</v>
      </c>
    </row>
    <row r="2966" spans="1:15" x14ac:dyDescent="0.3">
      <c r="A2966" t="s">
        <v>4781</v>
      </c>
      <c r="B2966" t="s">
        <v>2184</v>
      </c>
      <c r="C2966" t="s">
        <v>411</v>
      </c>
      <c r="D2966" t="s">
        <v>1071</v>
      </c>
      <c r="E2966">
        <v>2</v>
      </c>
      <c r="F2966">
        <f>_xlfn.XLOOKUP(Table1[[#This Row],[ProductID]],Products!A:A,Products!D:D,,0)</f>
        <v>125</v>
      </c>
      <c r="I2966">
        <v>399</v>
      </c>
      <c r="J2966">
        <v>359</v>
      </c>
      <c r="K2966" t="s">
        <v>1107</v>
      </c>
      <c r="L2966">
        <v>718</v>
      </c>
      <c r="M2966" t="s">
        <v>1098</v>
      </c>
      <c r="N2966" t="s">
        <v>1099</v>
      </c>
      <c r="O2966">
        <f>Table1[[#This Row],[Unit_Price]]*Table1[[#This Row],[Quantity]]</f>
        <v>250</v>
      </c>
    </row>
    <row r="2967" spans="1:15" x14ac:dyDescent="0.3">
      <c r="A2967" t="s">
        <v>4782</v>
      </c>
      <c r="B2967" t="s">
        <v>1816</v>
      </c>
      <c r="C2967" t="s">
        <v>749</v>
      </c>
      <c r="D2967" t="s">
        <v>1066</v>
      </c>
      <c r="E2967">
        <v>1</v>
      </c>
      <c r="F2967">
        <f>_xlfn.XLOOKUP(Table1[[#This Row],[ProductID]],Products!A:A,Products!D:D,,0)</f>
        <v>140</v>
      </c>
      <c r="I2967">
        <v>499</v>
      </c>
      <c r="J2967">
        <v>449</v>
      </c>
      <c r="K2967" t="s">
        <v>1107</v>
      </c>
      <c r="L2967">
        <v>449</v>
      </c>
      <c r="M2967" t="s">
        <v>1098</v>
      </c>
      <c r="N2967" t="s">
        <v>1099</v>
      </c>
      <c r="O2967">
        <f>Table1[[#This Row],[Unit_Price]]*Table1[[#This Row],[Quantity]]</f>
        <v>140</v>
      </c>
    </row>
    <row r="2968" spans="1:15" x14ac:dyDescent="0.3">
      <c r="A2968" t="s">
        <v>4783</v>
      </c>
      <c r="B2968" t="s">
        <v>1799</v>
      </c>
      <c r="C2968" t="s">
        <v>377</v>
      </c>
      <c r="D2968" t="s">
        <v>1073</v>
      </c>
      <c r="E2968">
        <v>4</v>
      </c>
      <c r="F2968">
        <f>_xlfn.XLOOKUP(Table1[[#This Row],[ProductID]],Products!A:A,Products!D:D,,0)</f>
        <v>100</v>
      </c>
      <c r="I2968">
        <v>349</v>
      </c>
      <c r="J2968">
        <v>279</v>
      </c>
      <c r="K2968" t="s">
        <v>1097</v>
      </c>
      <c r="L2968">
        <v>1116</v>
      </c>
      <c r="M2968" t="s">
        <v>1118</v>
      </c>
      <c r="N2968" t="s">
        <v>1099</v>
      </c>
      <c r="O2968">
        <f>Table1[[#This Row],[Unit_Price]]*Table1[[#This Row],[Quantity]]</f>
        <v>400</v>
      </c>
    </row>
    <row r="2969" spans="1:15" x14ac:dyDescent="0.3">
      <c r="A2969" t="s">
        <v>4784</v>
      </c>
      <c r="B2969" t="s">
        <v>1296</v>
      </c>
      <c r="C2969" t="s">
        <v>701</v>
      </c>
      <c r="D2969" t="s">
        <v>1057</v>
      </c>
      <c r="E2969">
        <v>1</v>
      </c>
      <c r="F2969">
        <f>_xlfn.XLOOKUP(Table1[[#This Row],[ProductID]],Products!A:A,Products!D:D,,0)</f>
        <v>130</v>
      </c>
      <c r="I2969">
        <v>549</v>
      </c>
      <c r="J2969">
        <v>549</v>
      </c>
      <c r="K2969" t="s">
        <v>1102</v>
      </c>
      <c r="L2969">
        <v>549</v>
      </c>
      <c r="M2969" t="s">
        <v>1098</v>
      </c>
      <c r="N2969" t="s">
        <v>1099</v>
      </c>
      <c r="O2969">
        <f>Table1[[#This Row],[Unit_Price]]*Table1[[#This Row],[Quantity]]</f>
        <v>130</v>
      </c>
    </row>
    <row r="2970" spans="1:15" x14ac:dyDescent="0.3">
      <c r="A2970" t="s">
        <v>4785</v>
      </c>
      <c r="B2970" t="s">
        <v>2751</v>
      </c>
      <c r="C2970" t="s">
        <v>645</v>
      </c>
      <c r="D2970" t="s">
        <v>1068</v>
      </c>
      <c r="E2970">
        <v>1</v>
      </c>
      <c r="F2970">
        <f>_xlfn.XLOOKUP(Table1[[#This Row],[ProductID]],Products!A:A,Products!D:D,,0)</f>
        <v>180</v>
      </c>
      <c r="I2970">
        <v>449</v>
      </c>
      <c r="J2970">
        <v>382</v>
      </c>
      <c r="K2970" t="s">
        <v>1092</v>
      </c>
      <c r="L2970">
        <v>382</v>
      </c>
      <c r="M2970" t="s">
        <v>1098</v>
      </c>
      <c r="N2970" t="s">
        <v>1099</v>
      </c>
      <c r="O2970">
        <f>Table1[[#This Row],[Unit_Price]]*Table1[[#This Row],[Quantity]]</f>
        <v>180</v>
      </c>
    </row>
    <row r="2971" spans="1:15" x14ac:dyDescent="0.3">
      <c r="A2971" t="s">
        <v>4786</v>
      </c>
      <c r="B2971" t="s">
        <v>1628</v>
      </c>
      <c r="C2971" t="s">
        <v>505</v>
      </c>
      <c r="D2971" t="s">
        <v>1051</v>
      </c>
      <c r="E2971">
        <v>1</v>
      </c>
      <c r="F2971">
        <f>_xlfn.XLOOKUP(Table1[[#This Row],[ProductID]],Products!A:A,Products!D:D,,0)</f>
        <v>150</v>
      </c>
      <c r="I2971">
        <v>499</v>
      </c>
      <c r="J2971">
        <v>499</v>
      </c>
      <c r="K2971" t="s">
        <v>1102</v>
      </c>
      <c r="L2971">
        <v>499</v>
      </c>
      <c r="M2971" t="s">
        <v>1098</v>
      </c>
      <c r="N2971" t="s">
        <v>1099</v>
      </c>
      <c r="O2971">
        <f>Table1[[#This Row],[Unit_Price]]*Table1[[#This Row],[Quantity]]</f>
        <v>150</v>
      </c>
    </row>
    <row r="2972" spans="1:15" x14ac:dyDescent="0.3">
      <c r="A2972" t="s">
        <v>4787</v>
      </c>
      <c r="B2972" t="s">
        <v>2431</v>
      </c>
      <c r="C2972" t="s">
        <v>557</v>
      </c>
      <c r="D2972" t="s">
        <v>1048</v>
      </c>
      <c r="E2972">
        <v>1</v>
      </c>
      <c r="F2972">
        <f>_xlfn.XLOOKUP(Table1[[#This Row],[ProductID]],Products!A:A,Products!D:D,,0)</f>
        <v>120</v>
      </c>
      <c r="I2972">
        <v>599</v>
      </c>
      <c r="J2972">
        <v>479</v>
      </c>
      <c r="K2972" t="s">
        <v>1097</v>
      </c>
      <c r="L2972">
        <v>479</v>
      </c>
      <c r="M2972" t="s">
        <v>1093</v>
      </c>
      <c r="N2972" t="s">
        <v>1099</v>
      </c>
      <c r="O2972">
        <f>Table1[[#This Row],[Unit_Price]]*Table1[[#This Row],[Quantity]]</f>
        <v>120</v>
      </c>
    </row>
    <row r="2973" spans="1:15" x14ac:dyDescent="0.3">
      <c r="A2973" t="s">
        <v>4788</v>
      </c>
      <c r="B2973" t="s">
        <v>1828</v>
      </c>
      <c r="C2973" t="s">
        <v>373</v>
      </c>
      <c r="D2973" t="s">
        <v>1066</v>
      </c>
      <c r="E2973">
        <v>2</v>
      </c>
      <c r="F2973">
        <f>_xlfn.XLOOKUP(Table1[[#This Row],[ProductID]],Products!A:A,Products!D:D,,0)</f>
        <v>140</v>
      </c>
      <c r="I2973">
        <v>499</v>
      </c>
      <c r="J2973">
        <v>424</v>
      </c>
      <c r="K2973" t="s">
        <v>1092</v>
      </c>
      <c r="L2973">
        <v>848</v>
      </c>
      <c r="M2973" t="s">
        <v>1093</v>
      </c>
      <c r="N2973" t="s">
        <v>1099</v>
      </c>
      <c r="O2973">
        <f>Table1[[#This Row],[Unit_Price]]*Table1[[#This Row],[Quantity]]</f>
        <v>280</v>
      </c>
    </row>
    <row r="2974" spans="1:15" x14ac:dyDescent="0.3">
      <c r="A2974" t="s">
        <v>4789</v>
      </c>
      <c r="B2974" t="s">
        <v>1205</v>
      </c>
      <c r="C2974" t="s">
        <v>833</v>
      </c>
      <c r="D2974" t="s">
        <v>1062</v>
      </c>
      <c r="E2974">
        <v>1</v>
      </c>
      <c r="F2974">
        <f>_xlfn.XLOOKUP(Table1[[#This Row],[ProductID]],Products!A:A,Products!D:D,,0)</f>
        <v>95</v>
      </c>
      <c r="I2974">
        <v>349</v>
      </c>
      <c r="J2974">
        <v>314</v>
      </c>
      <c r="K2974" t="s">
        <v>1107</v>
      </c>
      <c r="L2974">
        <v>314</v>
      </c>
      <c r="M2974" t="s">
        <v>1093</v>
      </c>
      <c r="N2974" t="s">
        <v>1094</v>
      </c>
      <c r="O2974">
        <f>Table1[[#This Row],[Unit_Price]]*Table1[[#This Row],[Quantity]]</f>
        <v>95</v>
      </c>
    </row>
    <row r="2975" spans="1:15" x14ac:dyDescent="0.3">
      <c r="A2975" t="s">
        <v>4790</v>
      </c>
      <c r="B2975" t="s">
        <v>2805</v>
      </c>
      <c r="C2975" t="s">
        <v>925</v>
      </c>
      <c r="D2975" t="s">
        <v>1068</v>
      </c>
      <c r="E2975">
        <v>1</v>
      </c>
      <c r="F2975">
        <f>_xlfn.XLOOKUP(Table1[[#This Row],[ProductID]],Products!A:A,Products!D:D,,0)</f>
        <v>180</v>
      </c>
      <c r="I2975">
        <v>449</v>
      </c>
      <c r="J2975">
        <v>359</v>
      </c>
      <c r="K2975" t="s">
        <v>1097</v>
      </c>
      <c r="L2975">
        <v>359</v>
      </c>
      <c r="M2975" t="s">
        <v>1093</v>
      </c>
      <c r="N2975" t="s">
        <v>1099</v>
      </c>
      <c r="O2975">
        <f>Table1[[#This Row],[Unit_Price]]*Table1[[#This Row],[Quantity]]</f>
        <v>180</v>
      </c>
    </row>
    <row r="2976" spans="1:15" x14ac:dyDescent="0.3">
      <c r="A2976" t="s">
        <v>4791</v>
      </c>
      <c r="B2976" t="s">
        <v>1736</v>
      </c>
      <c r="C2976" t="s">
        <v>1005</v>
      </c>
      <c r="D2976" t="s">
        <v>1062</v>
      </c>
      <c r="E2976">
        <v>1</v>
      </c>
      <c r="F2976">
        <f>_xlfn.XLOOKUP(Table1[[#This Row],[ProductID]],Products!A:A,Products!D:D,,0)</f>
        <v>95</v>
      </c>
      <c r="I2976">
        <v>349</v>
      </c>
      <c r="J2976">
        <v>297</v>
      </c>
      <c r="K2976" t="s">
        <v>1092</v>
      </c>
      <c r="L2976">
        <v>297</v>
      </c>
      <c r="M2976" t="s">
        <v>1098</v>
      </c>
      <c r="N2976" t="s">
        <v>1099</v>
      </c>
      <c r="O2976">
        <f>Table1[[#This Row],[Unit_Price]]*Table1[[#This Row],[Quantity]]</f>
        <v>95</v>
      </c>
    </row>
    <row r="2977" spans="1:15" x14ac:dyDescent="0.3">
      <c r="A2977" t="s">
        <v>4792</v>
      </c>
      <c r="B2977" t="s">
        <v>1389</v>
      </c>
      <c r="C2977" t="s">
        <v>577</v>
      </c>
      <c r="D2977" t="s">
        <v>1064</v>
      </c>
      <c r="E2977">
        <v>1</v>
      </c>
      <c r="F2977">
        <f>_xlfn.XLOOKUP(Table1[[#This Row],[ProductID]],Products!A:A,Products!D:D,,0)</f>
        <v>160</v>
      </c>
      <c r="I2977">
        <v>699</v>
      </c>
      <c r="J2977">
        <v>629</v>
      </c>
      <c r="K2977" t="s">
        <v>1107</v>
      </c>
      <c r="L2977">
        <v>629</v>
      </c>
      <c r="M2977" t="s">
        <v>1093</v>
      </c>
      <c r="N2977" t="s">
        <v>1099</v>
      </c>
      <c r="O2977">
        <f>Table1[[#This Row],[Unit_Price]]*Table1[[#This Row],[Quantity]]</f>
        <v>160</v>
      </c>
    </row>
    <row r="2978" spans="1:15" x14ac:dyDescent="0.3">
      <c r="A2978" t="s">
        <v>4793</v>
      </c>
      <c r="B2978" t="s">
        <v>2491</v>
      </c>
      <c r="C2978" t="s">
        <v>471</v>
      </c>
      <c r="D2978" t="s">
        <v>1071</v>
      </c>
      <c r="E2978">
        <v>1</v>
      </c>
      <c r="F2978">
        <f>_xlfn.XLOOKUP(Table1[[#This Row],[ProductID]],Products!A:A,Products!D:D,,0)</f>
        <v>125</v>
      </c>
      <c r="I2978">
        <v>399</v>
      </c>
      <c r="J2978">
        <v>359</v>
      </c>
      <c r="K2978" t="s">
        <v>1107</v>
      </c>
      <c r="L2978">
        <v>359</v>
      </c>
      <c r="M2978" t="s">
        <v>1093</v>
      </c>
      <c r="N2978" t="s">
        <v>1094</v>
      </c>
      <c r="O2978">
        <f>Table1[[#This Row],[Unit_Price]]*Table1[[#This Row],[Quantity]]</f>
        <v>125</v>
      </c>
    </row>
    <row r="2979" spans="1:15" x14ac:dyDescent="0.3">
      <c r="A2979" t="s">
        <v>4794</v>
      </c>
      <c r="B2979" t="s">
        <v>3516</v>
      </c>
      <c r="C2979" t="s">
        <v>623</v>
      </c>
      <c r="D2979" t="s">
        <v>1066</v>
      </c>
      <c r="E2979">
        <v>1</v>
      </c>
      <c r="F2979">
        <f>_xlfn.XLOOKUP(Table1[[#This Row],[ProductID]],Products!A:A,Products!D:D,,0)</f>
        <v>140</v>
      </c>
      <c r="I2979">
        <v>499</v>
      </c>
      <c r="J2979">
        <v>424</v>
      </c>
      <c r="K2979" t="s">
        <v>1092</v>
      </c>
      <c r="L2979">
        <v>424</v>
      </c>
      <c r="M2979" t="s">
        <v>1118</v>
      </c>
      <c r="N2979" t="s">
        <v>1099</v>
      </c>
      <c r="O2979">
        <f>Table1[[#This Row],[Unit_Price]]*Table1[[#This Row],[Quantity]]</f>
        <v>140</v>
      </c>
    </row>
    <row r="2980" spans="1:15" x14ac:dyDescent="0.3">
      <c r="A2980" t="s">
        <v>4795</v>
      </c>
      <c r="B2980" t="s">
        <v>1830</v>
      </c>
      <c r="C2980" t="s">
        <v>621</v>
      </c>
      <c r="D2980" t="s">
        <v>1064</v>
      </c>
      <c r="E2980">
        <v>3</v>
      </c>
      <c r="F2980">
        <f>_xlfn.XLOOKUP(Table1[[#This Row],[ProductID]],Products!A:A,Products!D:D,,0)</f>
        <v>160</v>
      </c>
      <c r="I2980">
        <v>699</v>
      </c>
      <c r="J2980">
        <v>699</v>
      </c>
      <c r="K2980" t="s">
        <v>1102</v>
      </c>
      <c r="L2980">
        <v>2097</v>
      </c>
      <c r="M2980" t="s">
        <v>1093</v>
      </c>
      <c r="N2980" t="s">
        <v>1099</v>
      </c>
      <c r="O2980">
        <f>Table1[[#This Row],[Unit_Price]]*Table1[[#This Row],[Quantity]]</f>
        <v>480</v>
      </c>
    </row>
    <row r="2981" spans="1:15" x14ac:dyDescent="0.3">
      <c r="A2981" t="s">
        <v>4796</v>
      </c>
      <c r="B2981" t="s">
        <v>2645</v>
      </c>
      <c r="C2981" t="s">
        <v>355</v>
      </c>
      <c r="D2981" t="s">
        <v>1059</v>
      </c>
      <c r="E2981">
        <v>1</v>
      </c>
      <c r="F2981">
        <f>_xlfn.XLOOKUP(Table1[[#This Row],[ProductID]],Products!A:A,Products!D:D,,0)</f>
        <v>110</v>
      </c>
      <c r="I2981">
        <v>399</v>
      </c>
      <c r="J2981">
        <v>399</v>
      </c>
      <c r="K2981" t="s">
        <v>1102</v>
      </c>
      <c r="L2981">
        <v>399</v>
      </c>
      <c r="M2981" t="s">
        <v>1126</v>
      </c>
      <c r="N2981" t="s">
        <v>1099</v>
      </c>
      <c r="O2981">
        <f>Table1[[#This Row],[Unit_Price]]*Table1[[#This Row],[Quantity]]</f>
        <v>110</v>
      </c>
    </row>
    <row r="2982" spans="1:15" x14ac:dyDescent="0.3">
      <c r="A2982" t="s">
        <v>4797</v>
      </c>
      <c r="B2982" t="s">
        <v>4190</v>
      </c>
      <c r="C2982" t="s">
        <v>847</v>
      </c>
      <c r="D2982" t="s">
        <v>1055</v>
      </c>
      <c r="E2982">
        <v>2</v>
      </c>
      <c r="F2982">
        <f>_xlfn.XLOOKUP(Table1[[#This Row],[ProductID]],Products!A:A,Products!D:D,,0)</f>
        <v>75</v>
      </c>
      <c r="I2982">
        <v>299</v>
      </c>
      <c r="J2982">
        <v>269</v>
      </c>
      <c r="K2982" t="s">
        <v>1107</v>
      </c>
      <c r="L2982">
        <v>538</v>
      </c>
      <c r="M2982" t="s">
        <v>1093</v>
      </c>
      <c r="N2982" t="s">
        <v>1099</v>
      </c>
      <c r="O2982">
        <f>Table1[[#This Row],[Unit_Price]]*Table1[[#This Row],[Quantity]]</f>
        <v>150</v>
      </c>
    </row>
    <row r="2983" spans="1:15" x14ac:dyDescent="0.3">
      <c r="A2983" t="s">
        <v>4798</v>
      </c>
      <c r="B2983" t="s">
        <v>2413</v>
      </c>
      <c r="C2983" t="s">
        <v>711</v>
      </c>
      <c r="D2983" t="s">
        <v>1048</v>
      </c>
      <c r="E2983">
        <v>2</v>
      </c>
      <c r="F2983">
        <f>_xlfn.XLOOKUP(Table1[[#This Row],[ProductID]],Products!A:A,Products!D:D,,0)</f>
        <v>120</v>
      </c>
      <c r="I2983">
        <v>599</v>
      </c>
      <c r="J2983">
        <v>479</v>
      </c>
      <c r="K2983" t="s">
        <v>1097</v>
      </c>
      <c r="L2983">
        <v>958</v>
      </c>
      <c r="M2983" t="s">
        <v>1093</v>
      </c>
      <c r="N2983" t="s">
        <v>1099</v>
      </c>
      <c r="O2983">
        <f>Table1[[#This Row],[Unit_Price]]*Table1[[#This Row],[Quantity]]</f>
        <v>240</v>
      </c>
    </row>
    <row r="2984" spans="1:15" x14ac:dyDescent="0.3">
      <c r="A2984" t="s">
        <v>4799</v>
      </c>
      <c r="B2984" t="s">
        <v>2382</v>
      </c>
      <c r="C2984" t="s">
        <v>731</v>
      </c>
      <c r="D2984" t="s">
        <v>1053</v>
      </c>
      <c r="E2984">
        <v>1</v>
      </c>
      <c r="F2984">
        <f>_xlfn.XLOOKUP(Table1[[#This Row],[ProductID]],Products!A:A,Products!D:D,,0)</f>
        <v>200</v>
      </c>
      <c r="I2984">
        <v>899</v>
      </c>
      <c r="J2984">
        <v>899</v>
      </c>
      <c r="K2984" t="s">
        <v>1102</v>
      </c>
      <c r="L2984">
        <v>899</v>
      </c>
      <c r="M2984" t="s">
        <v>1126</v>
      </c>
      <c r="N2984" t="s">
        <v>1123</v>
      </c>
      <c r="O2984">
        <f>Table1[[#This Row],[Unit_Price]]*Table1[[#This Row],[Quantity]]</f>
        <v>200</v>
      </c>
    </row>
    <row r="2985" spans="1:15" x14ac:dyDescent="0.3">
      <c r="A2985" t="s">
        <v>4800</v>
      </c>
      <c r="B2985" t="s">
        <v>2001</v>
      </c>
      <c r="C2985" t="s">
        <v>471</v>
      </c>
      <c r="D2985" t="s">
        <v>1055</v>
      </c>
      <c r="E2985">
        <v>2</v>
      </c>
      <c r="F2985">
        <f>_xlfn.XLOOKUP(Table1[[#This Row],[ProductID]],Products!A:A,Products!D:D,,0)</f>
        <v>75</v>
      </c>
      <c r="I2985">
        <v>299</v>
      </c>
      <c r="J2985">
        <v>269</v>
      </c>
      <c r="K2985" t="s">
        <v>1107</v>
      </c>
      <c r="L2985">
        <v>538</v>
      </c>
      <c r="M2985" t="s">
        <v>1093</v>
      </c>
      <c r="N2985" t="s">
        <v>1099</v>
      </c>
      <c r="O2985">
        <f>Table1[[#This Row],[Unit_Price]]*Table1[[#This Row],[Quantity]]</f>
        <v>150</v>
      </c>
    </row>
    <row r="2986" spans="1:15" x14ac:dyDescent="0.3">
      <c r="A2986" t="s">
        <v>4801</v>
      </c>
      <c r="B2986" t="s">
        <v>1755</v>
      </c>
      <c r="C2986" t="s">
        <v>455</v>
      </c>
      <c r="D2986" t="s">
        <v>1053</v>
      </c>
      <c r="E2986">
        <v>1</v>
      </c>
      <c r="F2986">
        <f>_xlfn.XLOOKUP(Table1[[#This Row],[ProductID]],Products!A:A,Products!D:D,,0)</f>
        <v>200</v>
      </c>
      <c r="I2986">
        <v>899</v>
      </c>
      <c r="J2986">
        <v>764</v>
      </c>
      <c r="K2986" t="s">
        <v>1092</v>
      </c>
      <c r="L2986">
        <v>764</v>
      </c>
      <c r="M2986" t="s">
        <v>1098</v>
      </c>
      <c r="N2986" t="s">
        <v>1123</v>
      </c>
      <c r="O2986">
        <f>Table1[[#This Row],[Unit_Price]]*Table1[[#This Row],[Quantity]]</f>
        <v>200</v>
      </c>
    </row>
    <row r="2987" spans="1:15" x14ac:dyDescent="0.3">
      <c r="A2987" t="s">
        <v>4802</v>
      </c>
      <c r="B2987" t="s">
        <v>3320</v>
      </c>
      <c r="C2987" t="s">
        <v>267</v>
      </c>
      <c r="D2987" t="s">
        <v>1057</v>
      </c>
      <c r="E2987">
        <v>1</v>
      </c>
      <c r="F2987">
        <f>_xlfn.XLOOKUP(Table1[[#This Row],[ProductID]],Products!A:A,Products!D:D,,0)</f>
        <v>130</v>
      </c>
      <c r="I2987">
        <v>549</v>
      </c>
      <c r="J2987">
        <v>494</v>
      </c>
      <c r="K2987" t="s">
        <v>1107</v>
      </c>
      <c r="L2987">
        <v>494</v>
      </c>
      <c r="M2987" t="s">
        <v>1093</v>
      </c>
      <c r="N2987" t="s">
        <v>1123</v>
      </c>
      <c r="O2987">
        <f>Table1[[#This Row],[Unit_Price]]*Table1[[#This Row],[Quantity]]</f>
        <v>130</v>
      </c>
    </row>
    <row r="2988" spans="1:15" x14ac:dyDescent="0.3">
      <c r="A2988" t="s">
        <v>4803</v>
      </c>
      <c r="B2988" t="s">
        <v>1438</v>
      </c>
      <c r="C2988" t="s">
        <v>753</v>
      </c>
      <c r="D2988" t="s">
        <v>1066</v>
      </c>
      <c r="E2988">
        <v>1</v>
      </c>
      <c r="F2988">
        <f>_xlfn.XLOOKUP(Table1[[#This Row],[ProductID]],Products!A:A,Products!D:D,,0)</f>
        <v>140</v>
      </c>
      <c r="I2988">
        <v>499</v>
      </c>
      <c r="J2988">
        <v>399</v>
      </c>
      <c r="K2988" t="s">
        <v>1097</v>
      </c>
      <c r="L2988">
        <v>399</v>
      </c>
      <c r="M2988" t="s">
        <v>1098</v>
      </c>
      <c r="N2988" t="s">
        <v>1099</v>
      </c>
      <c r="O2988">
        <f>Table1[[#This Row],[Unit_Price]]*Table1[[#This Row],[Quantity]]</f>
        <v>140</v>
      </c>
    </row>
    <row r="2989" spans="1:15" x14ac:dyDescent="0.3">
      <c r="A2989" t="s">
        <v>4804</v>
      </c>
      <c r="B2989" t="s">
        <v>1597</v>
      </c>
      <c r="C2989" t="s">
        <v>243</v>
      </c>
      <c r="D2989" t="s">
        <v>1062</v>
      </c>
      <c r="E2989">
        <v>1</v>
      </c>
      <c r="F2989">
        <f>_xlfn.XLOOKUP(Table1[[#This Row],[ProductID]],Products!A:A,Products!D:D,,0)</f>
        <v>95</v>
      </c>
      <c r="I2989">
        <v>349</v>
      </c>
      <c r="J2989">
        <v>349</v>
      </c>
      <c r="K2989" t="s">
        <v>1102</v>
      </c>
      <c r="L2989">
        <v>349</v>
      </c>
      <c r="M2989" t="s">
        <v>1098</v>
      </c>
      <c r="N2989" t="s">
        <v>1099</v>
      </c>
      <c r="O2989">
        <f>Table1[[#This Row],[Unit_Price]]*Table1[[#This Row],[Quantity]]</f>
        <v>95</v>
      </c>
    </row>
    <row r="2990" spans="1:15" x14ac:dyDescent="0.3">
      <c r="A2990" t="s">
        <v>4805</v>
      </c>
      <c r="B2990" t="s">
        <v>1780</v>
      </c>
      <c r="C2990" t="s">
        <v>353</v>
      </c>
      <c r="D2990" t="s">
        <v>1075</v>
      </c>
      <c r="E2990">
        <v>1</v>
      </c>
      <c r="F2990">
        <f>_xlfn.XLOOKUP(Table1[[#This Row],[ProductID]],Products!A:A,Products!D:D,,0)</f>
        <v>80</v>
      </c>
      <c r="I2990">
        <v>499</v>
      </c>
      <c r="J2990">
        <v>499</v>
      </c>
      <c r="K2990" t="s">
        <v>1102</v>
      </c>
      <c r="L2990">
        <v>499</v>
      </c>
      <c r="M2990" t="s">
        <v>1098</v>
      </c>
      <c r="N2990" t="s">
        <v>1099</v>
      </c>
      <c r="O2990">
        <f>Table1[[#This Row],[Unit_Price]]*Table1[[#This Row],[Quantity]]</f>
        <v>80</v>
      </c>
    </row>
    <row r="2991" spans="1:15" x14ac:dyDescent="0.3">
      <c r="A2991" t="s">
        <v>4806</v>
      </c>
      <c r="B2991" t="s">
        <v>1459</v>
      </c>
      <c r="C2991" t="s">
        <v>108</v>
      </c>
      <c r="D2991" t="s">
        <v>1053</v>
      </c>
      <c r="E2991">
        <v>2</v>
      </c>
      <c r="F2991">
        <f>_xlfn.XLOOKUP(Table1[[#This Row],[ProductID]],Products!A:A,Products!D:D,,0)</f>
        <v>200</v>
      </c>
      <c r="I2991">
        <v>899</v>
      </c>
      <c r="J2991">
        <v>899</v>
      </c>
      <c r="K2991" t="s">
        <v>1102</v>
      </c>
      <c r="L2991">
        <v>1798</v>
      </c>
      <c r="M2991" t="s">
        <v>1098</v>
      </c>
      <c r="N2991" t="s">
        <v>1099</v>
      </c>
      <c r="O2991">
        <f>Table1[[#This Row],[Unit_Price]]*Table1[[#This Row],[Quantity]]</f>
        <v>400</v>
      </c>
    </row>
    <row r="2992" spans="1:15" x14ac:dyDescent="0.3">
      <c r="A2992" t="s">
        <v>4807</v>
      </c>
      <c r="B2992" t="s">
        <v>1797</v>
      </c>
      <c r="C2992" t="s">
        <v>901</v>
      </c>
      <c r="D2992" t="s">
        <v>1064</v>
      </c>
      <c r="E2992">
        <v>1</v>
      </c>
      <c r="F2992">
        <f>_xlfn.XLOOKUP(Table1[[#This Row],[ProductID]],Products!A:A,Products!D:D,,0)</f>
        <v>160</v>
      </c>
      <c r="I2992">
        <v>699</v>
      </c>
      <c r="J2992">
        <v>594</v>
      </c>
      <c r="K2992" t="s">
        <v>1092</v>
      </c>
      <c r="L2992">
        <v>594</v>
      </c>
      <c r="M2992" t="s">
        <v>1098</v>
      </c>
      <c r="N2992" t="s">
        <v>1099</v>
      </c>
      <c r="O2992">
        <f>Table1[[#This Row],[Unit_Price]]*Table1[[#This Row],[Quantity]]</f>
        <v>160</v>
      </c>
    </row>
    <row r="2993" spans="1:15" x14ac:dyDescent="0.3">
      <c r="A2993" t="s">
        <v>4808</v>
      </c>
      <c r="B2993" t="s">
        <v>2898</v>
      </c>
      <c r="C2993" t="s">
        <v>827</v>
      </c>
      <c r="D2993" t="s">
        <v>1059</v>
      </c>
      <c r="E2993">
        <v>1</v>
      </c>
      <c r="F2993">
        <f>_xlfn.XLOOKUP(Table1[[#This Row],[ProductID]],Products!A:A,Products!D:D,,0)</f>
        <v>110</v>
      </c>
      <c r="I2993">
        <v>399</v>
      </c>
      <c r="J2993">
        <v>339</v>
      </c>
      <c r="K2993" t="s">
        <v>1092</v>
      </c>
      <c r="L2993">
        <v>339</v>
      </c>
      <c r="M2993" t="s">
        <v>1093</v>
      </c>
      <c r="N2993" t="s">
        <v>1094</v>
      </c>
      <c r="O2993">
        <f>Table1[[#This Row],[Unit_Price]]*Table1[[#This Row],[Quantity]]</f>
        <v>110</v>
      </c>
    </row>
    <row r="2994" spans="1:15" x14ac:dyDescent="0.3">
      <c r="A2994" t="s">
        <v>4809</v>
      </c>
      <c r="B2994" t="s">
        <v>3694</v>
      </c>
      <c r="C2994" t="s">
        <v>853</v>
      </c>
      <c r="D2994" t="s">
        <v>1066</v>
      </c>
      <c r="E2994">
        <v>1</v>
      </c>
      <c r="F2994">
        <f>_xlfn.XLOOKUP(Table1[[#This Row],[ProductID]],Products!A:A,Products!D:D,,0)</f>
        <v>140</v>
      </c>
      <c r="I2994">
        <v>499</v>
      </c>
      <c r="J2994">
        <v>449</v>
      </c>
      <c r="K2994" t="s">
        <v>1107</v>
      </c>
      <c r="L2994">
        <v>449</v>
      </c>
      <c r="M2994" t="s">
        <v>1098</v>
      </c>
      <c r="N2994" t="s">
        <v>1099</v>
      </c>
      <c r="O2994">
        <f>Table1[[#This Row],[Unit_Price]]*Table1[[#This Row],[Quantity]]</f>
        <v>140</v>
      </c>
    </row>
    <row r="2995" spans="1:15" x14ac:dyDescent="0.3">
      <c r="A2995" t="s">
        <v>4810</v>
      </c>
      <c r="B2995" t="s">
        <v>1628</v>
      </c>
      <c r="C2995" t="s">
        <v>785</v>
      </c>
      <c r="D2995" t="s">
        <v>1078</v>
      </c>
      <c r="E2995">
        <v>3</v>
      </c>
      <c r="F2995">
        <f>_xlfn.XLOOKUP(Table1[[#This Row],[ProductID]],Products!A:A,Products!D:D,,0)</f>
        <v>80</v>
      </c>
      <c r="I2995">
        <v>499</v>
      </c>
      <c r="J2995">
        <v>449</v>
      </c>
      <c r="K2995" t="s">
        <v>1107</v>
      </c>
      <c r="L2995">
        <v>1347</v>
      </c>
      <c r="M2995" t="s">
        <v>1126</v>
      </c>
      <c r="N2995" t="s">
        <v>1099</v>
      </c>
      <c r="O2995">
        <f>Table1[[#This Row],[Unit_Price]]*Table1[[#This Row],[Quantity]]</f>
        <v>240</v>
      </c>
    </row>
    <row r="2996" spans="1:15" x14ac:dyDescent="0.3">
      <c r="A2996" t="s">
        <v>4811</v>
      </c>
      <c r="B2996" t="s">
        <v>1392</v>
      </c>
      <c r="C2996" t="s">
        <v>753</v>
      </c>
      <c r="D2996" t="s">
        <v>1055</v>
      </c>
      <c r="E2996">
        <v>3</v>
      </c>
      <c r="F2996">
        <f>_xlfn.XLOOKUP(Table1[[#This Row],[ProductID]],Products!A:A,Products!D:D,,0)</f>
        <v>75</v>
      </c>
      <c r="I2996">
        <v>299</v>
      </c>
      <c r="J2996">
        <v>299</v>
      </c>
      <c r="K2996" t="s">
        <v>1102</v>
      </c>
      <c r="L2996">
        <v>897</v>
      </c>
      <c r="M2996" t="s">
        <v>1098</v>
      </c>
      <c r="N2996" t="s">
        <v>1099</v>
      </c>
      <c r="O2996">
        <f>Table1[[#This Row],[Unit_Price]]*Table1[[#This Row],[Quantity]]</f>
        <v>225</v>
      </c>
    </row>
    <row r="2997" spans="1:15" x14ac:dyDescent="0.3">
      <c r="A2997" t="s">
        <v>4812</v>
      </c>
      <c r="B2997" t="s">
        <v>4178</v>
      </c>
      <c r="C2997" t="s">
        <v>825</v>
      </c>
      <c r="D2997" t="s">
        <v>1078</v>
      </c>
      <c r="E2997">
        <v>1</v>
      </c>
      <c r="F2997">
        <f>_xlfn.XLOOKUP(Table1[[#This Row],[ProductID]],Products!A:A,Products!D:D,,0)</f>
        <v>80</v>
      </c>
      <c r="I2997">
        <v>499</v>
      </c>
      <c r="J2997">
        <v>424</v>
      </c>
      <c r="K2997" t="s">
        <v>1092</v>
      </c>
      <c r="L2997">
        <v>424</v>
      </c>
      <c r="M2997" t="s">
        <v>1098</v>
      </c>
      <c r="N2997" t="s">
        <v>1099</v>
      </c>
      <c r="O2997">
        <f>Table1[[#This Row],[Unit_Price]]*Table1[[#This Row],[Quantity]]</f>
        <v>80</v>
      </c>
    </row>
    <row r="2998" spans="1:15" x14ac:dyDescent="0.3">
      <c r="A2998" t="s">
        <v>4813</v>
      </c>
      <c r="B2998" t="s">
        <v>2963</v>
      </c>
      <c r="C2998" t="s">
        <v>263</v>
      </c>
      <c r="D2998" t="s">
        <v>1068</v>
      </c>
      <c r="E2998">
        <v>2</v>
      </c>
      <c r="F2998">
        <f>_xlfn.XLOOKUP(Table1[[#This Row],[ProductID]],Products!A:A,Products!D:D,,0)</f>
        <v>180</v>
      </c>
      <c r="I2998">
        <v>449</v>
      </c>
      <c r="J2998">
        <v>449</v>
      </c>
      <c r="K2998" t="s">
        <v>1102</v>
      </c>
      <c r="L2998">
        <v>898</v>
      </c>
      <c r="M2998" t="s">
        <v>1093</v>
      </c>
      <c r="N2998" t="s">
        <v>1094</v>
      </c>
      <c r="O2998">
        <f>Table1[[#This Row],[Unit_Price]]*Table1[[#This Row],[Quantity]]</f>
        <v>360</v>
      </c>
    </row>
    <row r="2999" spans="1:15" x14ac:dyDescent="0.3">
      <c r="A2999" t="s">
        <v>4814</v>
      </c>
      <c r="B2999" t="s">
        <v>2927</v>
      </c>
      <c r="C2999" t="s">
        <v>381</v>
      </c>
      <c r="D2999" t="s">
        <v>1055</v>
      </c>
      <c r="E2999">
        <v>2</v>
      </c>
      <c r="F2999">
        <f>_xlfn.XLOOKUP(Table1[[#This Row],[ProductID]],Products!A:A,Products!D:D,,0)</f>
        <v>75</v>
      </c>
      <c r="I2999">
        <v>299</v>
      </c>
      <c r="J2999">
        <v>239</v>
      </c>
      <c r="K2999" t="s">
        <v>1097</v>
      </c>
      <c r="L2999">
        <v>478</v>
      </c>
      <c r="M2999" t="s">
        <v>1126</v>
      </c>
      <c r="N2999" t="s">
        <v>1099</v>
      </c>
      <c r="O2999">
        <f>Table1[[#This Row],[Unit_Price]]*Table1[[#This Row],[Quantity]]</f>
        <v>150</v>
      </c>
    </row>
    <row r="3000" spans="1:15" x14ac:dyDescent="0.3">
      <c r="A3000" t="s">
        <v>4815</v>
      </c>
      <c r="B3000" t="s">
        <v>1790</v>
      </c>
      <c r="C3000" t="s">
        <v>517</v>
      </c>
      <c r="D3000" t="s">
        <v>1073</v>
      </c>
      <c r="E3000">
        <v>1</v>
      </c>
      <c r="F3000">
        <f>_xlfn.XLOOKUP(Table1[[#This Row],[ProductID]],Products!A:A,Products!D:D,,0)</f>
        <v>100</v>
      </c>
      <c r="I3000">
        <v>349</v>
      </c>
      <c r="J3000">
        <v>297</v>
      </c>
      <c r="K3000" t="s">
        <v>1092</v>
      </c>
      <c r="L3000">
        <v>297</v>
      </c>
      <c r="M3000" t="s">
        <v>1098</v>
      </c>
      <c r="N3000" t="s">
        <v>1099</v>
      </c>
      <c r="O3000">
        <f>Table1[[#This Row],[Unit_Price]]*Table1[[#This Row],[Quantity]]</f>
        <v>100</v>
      </c>
    </row>
    <row r="3001" spans="1:15" x14ac:dyDescent="0.3">
      <c r="A3001" t="s">
        <v>4816</v>
      </c>
      <c r="B3001" t="s">
        <v>2106</v>
      </c>
      <c r="C3001" t="s">
        <v>623</v>
      </c>
      <c r="D3001" t="s">
        <v>1066</v>
      </c>
      <c r="E3001">
        <v>2</v>
      </c>
      <c r="F3001">
        <f>_xlfn.XLOOKUP(Table1[[#This Row],[ProductID]],Products!A:A,Products!D:D,,0)</f>
        <v>140</v>
      </c>
      <c r="I3001">
        <v>499</v>
      </c>
      <c r="J3001">
        <v>399</v>
      </c>
      <c r="K3001" t="s">
        <v>1097</v>
      </c>
      <c r="L3001">
        <v>798</v>
      </c>
      <c r="M3001" t="s">
        <v>1093</v>
      </c>
      <c r="N3001" t="s">
        <v>1099</v>
      </c>
      <c r="O3001">
        <f>Table1[[#This Row],[Unit_Price]]*Table1[[#This Row],[Quantity]]</f>
        <v>280</v>
      </c>
    </row>
    <row r="3002" spans="1:15" x14ac:dyDescent="0.3">
      <c r="A3002" t="s">
        <v>4817</v>
      </c>
      <c r="B3002" t="s">
        <v>1406</v>
      </c>
      <c r="C3002" t="s">
        <v>445</v>
      </c>
      <c r="D3002" t="s">
        <v>1071</v>
      </c>
      <c r="E3002">
        <v>1</v>
      </c>
      <c r="F3002">
        <f>_xlfn.XLOOKUP(Table1[[#This Row],[ProductID]],Products!A:A,Products!D:D,,0)</f>
        <v>125</v>
      </c>
      <c r="I3002">
        <v>399</v>
      </c>
      <c r="J3002">
        <v>319</v>
      </c>
      <c r="K3002" t="s">
        <v>1097</v>
      </c>
      <c r="L3002">
        <v>319</v>
      </c>
      <c r="M3002" t="s">
        <v>1098</v>
      </c>
      <c r="N3002" t="s">
        <v>1099</v>
      </c>
      <c r="O3002">
        <f>Table1[[#This Row],[Unit_Price]]*Table1[[#This Row],[Quantity]]</f>
        <v>125</v>
      </c>
    </row>
    <row r="3003" spans="1:15" x14ac:dyDescent="0.3">
      <c r="A3003" t="s">
        <v>4818</v>
      </c>
      <c r="B3003" t="s">
        <v>1833</v>
      </c>
      <c r="C3003" t="s">
        <v>1025</v>
      </c>
      <c r="D3003" t="s">
        <v>1048</v>
      </c>
      <c r="E3003">
        <v>1</v>
      </c>
      <c r="F3003">
        <f>_xlfn.XLOOKUP(Table1[[#This Row],[ProductID]],Products!A:A,Products!D:D,,0)</f>
        <v>120</v>
      </c>
      <c r="I3003">
        <v>599</v>
      </c>
      <c r="J3003">
        <v>479</v>
      </c>
      <c r="K3003" t="s">
        <v>1097</v>
      </c>
      <c r="L3003">
        <v>479</v>
      </c>
      <c r="M3003" t="s">
        <v>1098</v>
      </c>
      <c r="N3003" t="s">
        <v>1099</v>
      </c>
      <c r="O3003">
        <f>Table1[[#This Row],[Unit_Price]]*Table1[[#This Row],[Quantity]]</f>
        <v>120</v>
      </c>
    </row>
    <row r="3004" spans="1:15" x14ac:dyDescent="0.3">
      <c r="A3004" t="s">
        <v>4819</v>
      </c>
      <c r="B3004" t="s">
        <v>1392</v>
      </c>
      <c r="C3004" t="s">
        <v>461</v>
      </c>
      <c r="D3004" t="s">
        <v>1073</v>
      </c>
      <c r="E3004">
        <v>2</v>
      </c>
      <c r="F3004">
        <f>_xlfn.XLOOKUP(Table1[[#This Row],[ProductID]],Products!A:A,Products!D:D,,0)</f>
        <v>100</v>
      </c>
      <c r="I3004">
        <v>349</v>
      </c>
      <c r="J3004">
        <v>279</v>
      </c>
      <c r="K3004" t="s">
        <v>1097</v>
      </c>
      <c r="L3004">
        <v>558</v>
      </c>
      <c r="M3004" t="s">
        <v>1126</v>
      </c>
      <c r="N3004" t="s">
        <v>1099</v>
      </c>
      <c r="O3004">
        <f>Table1[[#This Row],[Unit_Price]]*Table1[[#This Row],[Quantity]]</f>
        <v>200</v>
      </c>
    </row>
    <row r="3005" spans="1:15" x14ac:dyDescent="0.3">
      <c r="A3005" t="s">
        <v>4820</v>
      </c>
      <c r="B3005" t="s">
        <v>1707</v>
      </c>
      <c r="C3005" t="s">
        <v>104</v>
      </c>
      <c r="D3005" t="s">
        <v>1071</v>
      </c>
      <c r="E3005">
        <v>2</v>
      </c>
      <c r="F3005">
        <f>_xlfn.XLOOKUP(Table1[[#This Row],[ProductID]],Products!A:A,Products!D:D,,0)</f>
        <v>125</v>
      </c>
      <c r="I3005">
        <v>399</v>
      </c>
      <c r="J3005">
        <v>339</v>
      </c>
      <c r="K3005" t="s">
        <v>1092</v>
      </c>
      <c r="L3005">
        <v>678</v>
      </c>
      <c r="M3005" t="s">
        <v>1098</v>
      </c>
      <c r="N3005" t="s">
        <v>1099</v>
      </c>
      <c r="O3005">
        <f>Table1[[#This Row],[Unit_Price]]*Table1[[#This Row],[Quantity]]</f>
        <v>250</v>
      </c>
    </row>
    <row r="3006" spans="1:15" x14ac:dyDescent="0.3">
      <c r="A3006" t="s">
        <v>4821</v>
      </c>
      <c r="B3006" t="s">
        <v>1531</v>
      </c>
      <c r="C3006" t="s">
        <v>753</v>
      </c>
      <c r="D3006" t="s">
        <v>1055</v>
      </c>
      <c r="E3006">
        <v>3</v>
      </c>
      <c r="F3006">
        <f>_xlfn.XLOOKUP(Table1[[#This Row],[ProductID]],Products!A:A,Products!D:D,,0)</f>
        <v>75</v>
      </c>
      <c r="I3006">
        <v>299</v>
      </c>
      <c r="J3006">
        <v>299</v>
      </c>
      <c r="K3006" t="s">
        <v>1102</v>
      </c>
      <c r="L3006">
        <v>897</v>
      </c>
      <c r="M3006" t="s">
        <v>1118</v>
      </c>
      <c r="N3006" t="s">
        <v>1099</v>
      </c>
      <c r="O3006">
        <f>Table1[[#This Row],[Unit_Price]]*Table1[[#This Row],[Quantity]]</f>
        <v>225</v>
      </c>
    </row>
    <row r="3007" spans="1:15" x14ac:dyDescent="0.3">
      <c r="A3007" t="s">
        <v>4822</v>
      </c>
      <c r="B3007" t="s">
        <v>2898</v>
      </c>
      <c r="C3007" t="s">
        <v>505</v>
      </c>
      <c r="D3007" t="s">
        <v>1062</v>
      </c>
      <c r="E3007">
        <v>3</v>
      </c>
      <c r="F3007">
        <f>_xlfn.XLOOKUP(Table1[[#This Row],[ProductID]],Products!A:A,Products!D:D,,0)</f>
        <v>95</v>
      </c>
      <c r="I3007">
        <v>349</v>
      </c>
      <c r="J3007">
        <v>349</v>
      </c>
      <c r="K3007" t="s">
        <v>1102</v>
      </c>
      <c r="L3007">
        <v>1047</v>
      </c>
      <c r="M3007" t="s">
        <v>1093</v>
      </c>
      <c r="N3007" t="s">
        <v>1094</v>
      </c>
      <c r="O3007">
        <f>Table1[[#This Row],[Unit_Price]]*Table1[[#This Row],[Quantity]]</f>
        <v>285</v>
      </c>
    </row>
    <row r="3008" spans="1:15" x14ac:dyDescent="0.3">
      <c r="A3008" t="s">
        <v>4823</v>
      </c>
      <c r="B3008" t="s">
        <v>1368</v>
      </c>
      <c r="C3008" t="s">
        <v>417</v>
      </c>
      <c r="D3008" t="s">
        <v>1048</v>
      </c>
      <c r="E3008">
        <v>1</v>
      </c>
      <c r="F3008">
        <f>_xlfn.XLOOKUP(Table1[[#This Row],[ProductID]],Products!A:A,Products!D:D,,0)</f>
        <v>120</v>
      </c>
      <c r="I3008">
        <v>599</v>
      </c>
      <c r="J3008">
        <v>509</v>
      </c>
      <c r="K3008" t="s">
        <v>1092</v>
      </c>
      <c r="L3008">
        <v>509</v>
      </c>
      <c r="M3008" t="s">
        <v>1093</v>
      </c>
      <c r="N3008" t="s">
        <v>1099</v>
      </c>
      <c r="O3008">
        <f>Table1[[#This Row],[Unit_Price]]*Table1[[#This Row],[Quantity]]</f>
        <v>120</v>
      </c>
    </row>
    <row r="3009" spans="1:15" x14ac:dyDescent="0.3">
      <c r="A3009" t="s">
        <v>4824</v>
      </c>
      <c r="B3009" t="s">
        <v>2085</v>
      </c>
      <c r="C3009" t="s">
        <v>561</v>
      </c>
      <c r="D3009" t="s">
        <v>1057</v>
      </c>
      <c r="E3009">
        <v>2</v>
      </c>
      <c r="F3009">
        <f>_xlfn.XLOOKUP(Table1[[#This Row],[ProductID]],Products!A:A,Products!D:D,,0)</f>
        <v>130</v>
      </c>
      <c r="I3009">
        <v>549</v>
      </c>
      <c r="J3009">
        <v>494</v>
      </c>
      <c r="K3009" t="s">
        <v>1107</v>
      </c>
      <c r="L3009">
        <v>988</v>
      </c>
      <c r="M3009" t="s">
        <v>1093</v>
      </c>
      <c r="N3009" t="s">
        <v>1099</v>
      </c>
      <c r="O3009">
        <f>Table1[[#This Row],[Unit_Price]]*Table1[[#This Row],[Quantity]]</f>
        <v>260</v>
      </c>
    </row>
    <row r="3010" spans="1:15" x14ac:dyDescent="0.3">
      <c r="A3010" t="s">
        <v>4825</v>
      </c>
      <c r="B3010" t="s">
        <v>1674</v>
      </c>
      <c r="C3010" t="s">
        <v>181</v>
      </c>
      <c r="D3010" t="s">
        <v>1080</v>
      </c>
      <c r="E3010">
        <v>1</v>
      </c>
      <c r="F3010">
        <f>_xlfn.XLOOKUP(Table1[[#This Row],[ProductID]],Products!A:A,Products!D:D,,0)</f>
        <v>45</v>
      </c>
      <c r="I3010">
        <v>249</v>
      </c>
      <c r="J3010">
        <v>224</v>
      </c>
      <c r="K3010" t="s">
        <v>1107</v>
      </c>
      <c r="L3010">
        <v>224</v>
      </c>
      <c r="M3010" t="s">
        <v>1098</v>
      </c>
      <c r="N3010" t="s">
        <v>1099</v>
      </c>
      <c r="O3010">
        <f>Table1[[#This Row],[Unit_Price]]*Table1[[#This Row],[Quantity]]</f>
        <v>45</v>
      </c>
    </row>
    <row r="3011" spans="1:15" x14ac:dyDescent="0.3">
      <c r="A3011" t="s">
        <v>4826</v>
      </c>
      <c r="B3011" t="s">
        <v>2760</v>
      </c>
      <c r="C3011" t="s">
        <v>851</v>
      </c>
      <c r="D3011" t="s">
        <v>1075</v>
      </c>
      <c r="E3011">
        <v>2</v>
      </c>
      <c r="F3011">
        <f>_xlfn.XLOOKUP(Table1[[#This Row],[ProductID]],Products!A:A,Products!D:D,,0)</f>
        <v>80</v>
      </c>
      <c r="I3011">
        <v>499</v>
      </c>
      <c r="J3011">
        <v>499</v>
      </c>
      <c r="K3011" t="s">
        <v>1102</v>
      </c>
      <c r="L3011">
        <v>998</v>
      </c>
      <c r="M3011" t="s">
        <v>1098</v>
      </c>
      <c r="N3011" t="s">
        <v>1099</v>
      </c>
      <c r="O3011">
        <f>Table1[[#This Row],[Unit_Price]]*Table1[[#This Row],[Quantity]]</f>
        <v>160</v>
      </c>
    </row>
    <row r="3012" spans="1:15" x14ac:dyDescent="0.3">
      <c r="A3012" t="s">
        <v>4827</v>
      </c>
      <c r="B3012" t="s">
        <v>3399</v>
      </c>
      <c r="C3012" t="s">
        <v>847</v>
      </c>
      <c r="D3012" t="s">
        <v>1064</v>
      </c>
      <c r="E3012">
        <v>1</v>
      </c>
      <c r="F3012">
        <f>_xlfn.XLOOKUP(Table1[[#This Row],[ProductID]],Products!A:A,Products!D:D,,0)</f>
        <v>160</v>
      </c>
      <c r="I3012">
        <v>699</v>
      </c>
      <c r="J3012">
        <v>559</v>
      </c>
      <c r="K3012" t="s">
        <v>1097</v>
      </c>
      <c r="L3012">
        <v>559</v>
      </c>
      <c r="M3012" t="s">
        <v>1098</v>
      </c>
      <c r="N3012" t="s">
        <v>1099</v>
      </c>
      <c r="O3012">
        <f>Table1[[#This Row],[Unit_Price]]*Table1[[#This Row],[Quantity]]</f>
        <v>160</v>
      </c>
    </row>
    <row r="3013" spans="1:15" x14ac:dyDescent="0.3">
      <c r="A3013" t="s">
        <v>4828</v>
      </c>
      <c r="B3013" t="s">
        <v>2080</v>
      </c>
      <c r="C3013" t="s">
        <v>517</v>
      </c>
      <c r="D3013" t="s">
        <v>1062</v>
      </c>
      <c r="E3013">
        <v>4</v>
      </c>
      <c r="F3013">
        <f>_xlfn.XLOOKUP(Table1[[#This Row],[ProductID]],Products!A:A,Products!D:D,,0)</f>
        <v>95</v>
      </c>
      <c r="I3013">
        <v>349</v>
      </c>
      <c r="J3013">
        <v>349</v>
      </c>
      <c r="K3013" t="s">
        <v>1102</v>
      </c>
      <c r="L3013">
        <v>1396</v>
      </c>
      <c r="M3013" t="s">
        <v>1098</v>
      </c>
      <c r="N3013" t="s">
        <v>1094</v>
      </c>
      <c r="O3013">
        <f>Table1[[#This Row],[Unit_Price]]*Table1[[#This Row],[Quantity]]</f>
        <v>380</v>
      </c>
    </row>
    <row r="3014" spans="1:15" x14ac:dyDescent="0.3">
      <c r="A3014" t="s">
        <v>4829</v>
      </c>
      <c r="B3014" t="s">
        <v>1252</v>
      </c>
      <c r="C3014" t="s">
        <v>583</v>
      </c>
      <c r="D3014" t="s">
        <v>1059</v>
      </c>
      <c r="E3014">
        <v>3</v>
      </c>
      <c r="F3014">
        <f>_xlfn.XLOOKUP(Table1[[#This Row],[ProductID]],Products!A:A,Products!D:D,,0)</f>
        <v>110</v>
      </c>
      <c r="I3014">
        <v>399</v>
      </c>
      <c r="J3014">
        <v>359</v>
      </c>
      <c r="K3014" t="s">
        <v>1107</v>
      </c>
      <c r="L3014">
        <v>1077</v>
      </c>
      <c r="M3014" t="s">
        <v>1098</v>
      </c>
      <c r="N3014" t="s">
        <v>1099</v>
      </c>
      <c r="O3014">
        <f>Table1[[#This Row],[Unit_Price]]*Table1[[#This Row],[Quantity]]</f>
        <v>330</v>
      </c>
    </row>
    <row r="3015" spans="1:15" x14ac:dyDescent="0.3">
      <c r="A3015" t="s">
        <v>4830</v>
      </c>
      <c r="B3015" t="s">
        <v>3399</v>
      </c>
      <c r="C3015" t="s">
        <v>355</v>
      </c>
      <c r="D3015" t="s">
        <v>1078</v>
      </c>
      <c r="E3015">
        <v>1</v>
      </c>
      <c r="F3015">
        <f>_xlfn.XLOOKUP(Table1[[#This Row],[ProductID]],Products!A:A,Products!D:D,,0)</f>
        <v>80</v>
      </c>
      <c r="I3015">
        <v>499</v>
      </c>
      <c r="J3015">
        <v>424</v>
      </c>
      <c r="K3015" t="s">
        <v>1092</v>
      </c>
      <c r="L3015">
        <v>424</v>
      </c>
      <c r="M3015" t="s">
        <v>1098</v>
      </c>
      <c r="N3015" t="s">
        <v>1099</v>
      </c>
      <c r="O3015">
        <f>Table1[[#This Row],[Unit_Price]]*Table1[[#This Row],[Quantity]]</f>
        <v>80</v>
      </c>
    </row>
    <row r="3016" spans="1:15" x14ac:dyDescent="0.3">
      <c r="A3016" t="s">
        <v>4831</v>
      </c>
      <c r="B3016" t="s">
        <v>1995</v>
      </c>
      <c r="C3016" t="s">
        <v>110</v>
      </c>
      <c r="D3016" t="s">
        <v>1066</v>
      </c>
      <c r="E3016">
        <v>1</v>
      </c>
      <c r="F3016">
        <f>_xlfn.XLOOKUP(Table1[[#This Row],[ProductID]],Products!A:A,Products!D:D,,0)</f>
        <v>140</v>
      </c>
      <c r="I3016">
        <v>499</v>
      </c>
      <c r="J3016">
        <v>399</v>
      </c>
      <c r="K3016" t="s">
        <v>1097</v>
      </c>
      <c r="L3016">
        <v>399</v>
      </c>
      <c r="M3016" t="s">
        <v>1098</v>
      </c>
      <c r="N3016" t="s">
        <v>1099</v>
      </c>
      <c r="O3016">
        <f>Table1[[#This Row],[Unit_Price]]*Table1[[#This Row],[Quantity]]</f>
        <v>140</v>
      </c>
    </row>
    <row r="3017" spans="1:15" x14ac:dyDescent="0.3">
      <c r="A3017" t="s">
        <v>4832</v>
      </c>
      <c r="B3017" t="s">
        <v>1547</v>
      </c>
      <c r="C3017" t="s">
        <v>709</v>
      </c>
      <c r="D3017" t="s">
        <v>1053</v>
      </c>
      <c r="E3017">
        <v>3</v>
      </c>
      <c r="F3017">
        <f>_xlfn.XLOOKUP(Table1[[#This Row],[ProductID]],Products!A:A,Products!D:D,,0)</f>
        <v>200</v>
      </c>
      <c r="I3017">
        <v>899</v>
      </c>
      <c r="J3017">
        <v>719</v>
      </c>
      <c r="K3017" t="s">
        <v>1097</v>
      </c>
      <c r="L3017">
        <v>2157</v>
      </c>
      <c r="M3017" t="s">
        <v>1093</v>
      </c>
      <c r="N3017" t="s">
        <v>1099</v>
      </c>
      <c r="O3017">
        <f>Table1[[#This Row],[Unit_Price]]*Table1[[#This Row],[Quantity]]</f>
        <v>600</v>
      </c>
    </row>
    <row r="3018" spans="1:15" x14ac:dyDescent="0.3">
      <c r="A3018" t="s">
        <v>4833</v>
      </c>
      <c r="B3018" t="s">
        <v>4834</v>
      </c>
      <c r="C3018" t="s">
        <v>993</v>
      </c>
      <c r="D3018" t="s">
        <v>1057</v>
      </c>
      <c r="E3018">
        <v>1</v>
      </c>
      <c r="F3018">
        <f>_xlfn.XLOOKUP(Table1[[#This Row],[ProductID]],Products!A:A,Products!D:D,,0)</f>
        <v>130</v>
      </c>
      <c r="I3018">
        <v>549</v>
      </c>
      <c r="J3018">
        <v>549</v>
      </c>
      <c r="K3018" t="s">
        <v>1102</v>
      </c>
      <c r="L3018">
        <v>549</v>
      </c>
      <c r="M3018" t="s">
        <v>1093</v>
      </c>
      <c r="N3018" t="s">
        <v>1094</v>
      </c>
      <c r="O3018">
        <f>Table1[[#This Row],[Unit_Price]]*Table1[[#This Row],[Quantity]]</f>
        <v>130</v>
      </c>
    </row>
    <row r="3019" spans="1:15" x14ac:dyDescent="0.3">
      <c r="A3019" t="s">
        <v>4835</v>
      </c>
      <c r="B3019" t="s">
        <v>2035</v>
      </c>
      <c r="C3019" t="s">
        <v>93</v>
      </c>
      <c r="D3019" t="s">
        <v>1053</v>
      </c>
      <c r="E3019">
        <v>2</v>
      </c>
      <c r="F3019">
        <f>_xlfn.XLOOKUP(Table1[[#This Row],[ProductID]],Products!A:A,Products!D:D,,0)</f>
        <v>200</v>
      </c>
      <c r="I3019">
        <v>899</v>
      </c>
      <c r="J3019">
        <v>764</v>
      </c>
      <c r="K3019" t="s">
        <v>1092</v>
      </c>
      <c r="L3019">
        <v>1528</v>
      </c>
      <c r="M3019" t="s">
        <v>1093</v>
      </c>
      <c r="N3019" t="s">
        <v>1099</v>
      </c>
      <c r="O3019">
        <f>Table1[[#This Row],[Unit_Price]]*Table1[[#This Row],[Quantity]]</f>
        <v>400</v>
      </c>
    </row>
    <row r="3020" spans="1:15" x14ac:dyDescent="0.3">
      <c r="A3020" t="s">
        <v>4836</v>
      </c>
      <c r="B3020" t="s">
        <v>1703</v>
      </c>
      <c r="C3020" t="s">
        <v>14</v>
      </c>
      <c r="D3020" t="s">
        <v>1064</v>
      </c>
      <c r="E3020">
        <v>2</v>
      </c>
      <c r="F3020">
        <f>_xlfn.XLOOKUP(Table1[[#This Row],[ProductID]],Products!A:A,Products!D:D,,0)</f>
        <v>160</v>
      </c>
      <c r="I3020">
        <v>699</v>
      </c>
      <c r="J3020">
        <v>594</v>
      </c>
      <c r="K3020" t="s">
        <v>1092</v>
      </c>
      <c r="L3020">
        <v>1188</v>
      </c>
      <c r="M3020" t="s">
        <v>1093</v>
      </c>
      <c r="N3020" t="s">
        <v>1123</v>
      </c>
      <c r="O3020">
        <f>Table1[[#This Row],[Unit_Price]]*Table1[[#This Row],[Quantity]]</f>
        <v>320</v>
      </c>
    </row>
    <row r="3021" spans="1:15" x14ac:dyDescent="0.3">
      <c r="A3021" t="s">
        <v>4837</v>
      </c>
      <c r="B3021" t="s">
        <v>1166</v>
      </c>
      <c r="C3021" t="s">
        <v>797</v>
      </c>
      <c r="D3021" t="s">
        <v>1066</v>
      </c>
      <c r="E3021">
        <v>2</v>
      </c>
      <c r="F3021">
        <f>_xlfn.XLOOKUP(Table1[[#This Row],[ProductID]],Products!A:A,Products!D:D,,0)</f>
        <v>140</v>
      </c>
      <c r="I3021">
        <v>499</v>
      </c>
      <c r="J3021">
        <v>449</v>
      </c>
      <c r="K3021" t="s">
        <v>1107</v>
      </c>
      <c r="L3021">
        <v>898</v>
      </c>
      <c r="M3021" t="s">
        <v>1098</v>
      </c>
      <c r="N3021" t="s">
        <v>1099</v>
      </c>
      <c r="O3021">
        <f>Table1[[#This Row],[Unit_Price]]*Table1[[#This Row],[Quantity]]</f>
        <v>280</v>
      </c>
    </row>
    <row r="3022" spans="1:15" x14ac:dyDescent="0.3">
      <c r="A3022" t="s">
        <v>4838</v>
      </c>
      <c r="B3022" t="s">
        <v>2949</v>
      </c>
      <c r="C3022" t="s">
        <v>449</v>
      </c>
      <c r="D3022" t="s">
        <v>1066</v>
      </c>
      <c r="E3022">
        <v>3</v>
      </c>
      <c r="F3022">
        <f>_xlfn.XLOOKUP(Table1[[#This Row],[ProductID]],Products!A:A,Products!D:D,,0)</f>
        <v>140</v>
      </c>
      <c r="I3022">
        <v>499</v>
      </c>
      <c r="J3022">
        <v>499</v>
      </c>
      <c r="K3022" t="s">
        <v>1102</v>
      </c>
      <c r="L3022">
        <v>1497</v>
      </c>
      <c r="M3022" t="s">
        <v>1126</v>
      </c>
      <c r="N3022" t="s">
        <v>1099</v>
      </c>
      <c r="O3022">
        <f>Table1[[#This Row],[Unit_Price]]*Table1[[#This Row],[Quantity]]</f>
        <v>420</v>
      </c>
    </row>
    <row r="3023" spans="1:15" x14ac:dyDescent="0.3">
      <c r="A3023" t="s">
        <v>4839</v>
      </c>
      <c r="B3023" t="s">
        <v>1283</v>
      </c>
      <c r="C3023" t="s">
        <v>154</v>
      </c>
      <c r="D3023" t="s">
        <v>1051</v>
      </c>
      <c r="E3023">
        <v>3</v>
      </c>
      <c r="F3023">
        <f>_xlfn.XLOOKUP(Table1[[#This Row],[ProductID]],Products!A:A,Products!D:D,,0)</f>
        <v>150</v>
      </c>
      <c r="I3023">
        <v>499</v>
      </c>
      <c r="J3023">
        <v>424</v>
      </c>
      <c r="K3023" t="s">
        <v>1092</v>
      </c>
      <c r="L3023">
        <v>1272</v>
      </c>
      <c r="M3023" t="s">
        <v>1098</v>
      </c>
      <c r="N3023" t="s">
        <v>1099</v>
      </c>
      <c r="O3023">
        <f>Table1[[#This Row],[Unit_Price]]*Table1[[#This Row],[Quantity]]</f>
        <v>450</v>
      </c>
    </row>
    <row r="3024" spans="1:15" x14ac:dyDescent="0.3">
      <c r="A3024" t="s">
        <v>4840</v>
      </c>
      <c r="B3024" t="s">
        <v>4260</v>
      </c>
      <c r="C3024" t="s">
        <v>158</v>
      </c>
      <c r="D3024" t="s">
        <v>1064</v>
      </c>
      <c r="E3024">
        <v>2</v>
      </c>
      <c r="F3024">
        <f>_xlfn.XLOOKUP(Table1[[#This Row],[ProductID]],Products!A:A,Products!D:D,,0)</f>
        <v>160</v>
      </c>
      <c r="I3024">
        <v>699</v>
      </c>
      <c r="J3024">
        <v>699</v>
      </c>
      <c r="K3024" t="s">
        <v>1102</v>
      </c>
      <c r="L3024">
        <v>1398</v>
      </c>
      <c r="M3024" t="s">
        <v>1098</v>
      </c>
      <c r="N3024" t="s">
        <v>1099</v>
      </c>
      <c r="O3024">
        <f>Table1[[#This Row],[Unit_Price]]*Table1[[#This Row],[Quantity]]</f>
        <v>320</v>
      </c>
    </row>
    <row r="3025" spans="1:15" x14ac:dyDescent="0.3">
      <c r="A3025" t="s">
        <v>4841</v>
      </c>
      <c r="B3025" t="s">
        <v>1905</v>
      </c>
      <c r="C3025" t="s">
        <v>491</v>
      </c>
      <c r="D3025" t="s">
        <v>1051</v>
      </c>
      <c r="E3025">
        <v>1</v>
      </c>
      <c r="F3025">
        <f>_xlfn.XLOOKUP(Table1[[#This Row],[ProductID]],Products!A:A,Products!D:D,,0)</f>
        <v>150</v>
      </c>
      <c r="I3025">
        <v>499</v>
      </c>
      <c r="J3025">
        <v>499</v>
      </c>
      <c r="K3025" t="s">
        <v>1102</v>
      </c>
      <c r="L3025">
        <v>499</v>
      </c>
      <c r="M3025" t="s">
        <v>1093</v>
      </c>
      <c r="N3025" t="s">
        <v>1099</v>
      </c>
      <c r="O3025">
        <f>Table1[[#This Row],[Unit_Price]]*Table1[[#This Row],[Quantity]]</f>
        <v>150</v>
      </c>
    </row>
    <row r="3026" spans="1:15" x14ac:dyDescent="0.3">
      <c r="A3026" t="s">
        <v>4842</v>
      </c>
      <c r="B3026" t="s">
        <v>1398</v>
      </c>
      <c r="C3026" t="s">
        <v>867</v>
      </c>
      <c r="D3026" t="s">
        <v>1057</v>
      </c>
      <c r="E3026">
        <v>1</v>
      </c>
      <c r="F3026">
        <f>_xlfn.XLOOKUP(Table1[[#This Row],[ProductID]],Products!A:A,Products!D:D,,0)</f>
        <v>130</v>
      </c>
      <c r="I3026">
        <v>549</v>
      </c>
      <c r="J3026">
        <v>494</v>
      </c>
      <c r="K3026" t="s">
        <v>1107</v>
      </c>
      <c r="L3026">
        <v>494</v>
      </c>
      <c r="M3026" t="s">
        <v>1093</v>
      </c>
      <c r="N3026" t="s">
        <v>1094</v>
      </c>
      <c r="O3026">
        <f>Table1[[#This Row],[Unit_Price]]*Table1[[#This Row],[Quantity]]</f>
        <v>130</v>
      </c>
    </row>
    <row r="3027" spans="1:15" x14ac:dyDescent="0.3">
      <c r="A3027" t="s">
        <v>4843</v>
      </c>
      <c r="B3027" t="s">
        <v>2032</v>
      </c>
      <c r="C3027" t="s">
        <v>863</v>
      </c>
      <c r="D3027" t="s">
        <v>1051</v>
      </c>
      <c r="E3027">
        <v>3</v>
      </c>
      <c r="F3027">
        <f>_xlfn.XLOOKUP(Table1[[#This Row],[ProductID]],Products!A:A,Products!D:D,,0)</f>
        <v>150</v>
      </c>
      <c r="I3027">
        <v>499</v>
      </c>
      <c r="J3027">
        <v>449</v>
      </c>
      <c r="K3027" t="s">
        <v>1107</v>
      </c>
      <c r="L3027">
        <v>1347</v>
      </c>
      <c r="M3027" t="s">
        <v>1126</v>
      </c>
      <c r="N3027" t="s">
        <v>1099</v>
      </c>
      <c r="O3027">
        <f>Table1[[#This Row],[Unit_Price]]*Table1[[#This Row],[Quantity]]</f>
        <v>450</v>
      </c>
    </row>
    <row r="3028" spans="1:15" x14ac:dyDescent="0.3">
      <c r="A3028" t="s">
        <v>4844</v>
      </c>
      <c r="B3028" t="s">
        <v>1734</v>
      </c>
      <c r="C3028" t="s">
        <v>807</v>
      </c>
      <c r="D3028" t="s">
        <v>1080</v>
      </c>
      <c r="E3028">
        <v>1</v>
      </c>
      <c r="F3028">
        <f>_xlfn.XLOOKUP(Table1[[#This Row],[ProductID]],Products!A:A,Products!D:D,,0)</f>
        <v>45</v>
      </c>
      <c r="I3028">
        <v>249</v>
      </c>
      <c r="J3028">
        <v>212</v>
      </c>
      <c r="K3028" t="s">
        <v>1092</v>
      </c>
      <c r="L3028">
        <v>212</v>
      </c>
      <c r="M3028" t="s">
        <v>1098</v>
      </c>
      <c r="N3028" t="s">
        <v>1099</v>
      </c>
      <c r="O3028">
        <f>Table1[[#This Row],[Unit_Price]]*Table1[[#This Row],[Quantity]]</f>
        <v>45</v>
      </c>
    </row>
    <row r="3029" spans="1:15" x14ac:dyDescent="0.3">
      <c r="A3029" t="s">
        <v>4845</v>
      </c>
      <c r="B3029" t="s">
        <v>2658</v>
      </c>
      <c r="C3029" t="s">
        <v>673</v>
      </c>
      <c r="D3029" t="s">
        <v>1064</v>
      </c>
      <c r="E3029">
        <v>3</v>
      </c>
      <c r="F3029">
        <f>_xlfn.XLOOKUP(Table1[[#This Row],[ProductID]],Products!A:A,Products!D:D,,0)</f>
        <v>160</v>
      </c>
      <c r="I3029">
        <v>699</v>
      </c>
      <c r="J3029">
        <v>699</v>
      </c>
      <c r="K3029" t="s">
        <v>1102</v>
      </c>
      <c r="L3029">
        <v>2097</v>
      </c>
      <c r="M3029" t="s">
        <v>1118</v>
      </c>
      <c r="N3029" t="s">
        <v>1099</v>
      </c>
      <c r="O3029">
        <f>Table1[[#This Row],[Unit_Price]]*Table1[[#This Row],[Quantity]]</f>
        <v>480</v>
      </c>
    </row>
    <row r="3030" spans="1:15" x14ac:dyDescent="0.3">
      <c r="A3030" t="s">
        <v>4846</v>
      </c>
      <c r="B3030" t="s">
        <v>1389</v>
      </c>
      <c r="C3030" t="s">
        <v>156</v>
      </c>
      <c r="D3030" t="s">
        <v>1062</v>
      </c>
      <c r="E3030">
        <v>1</v>
      </c>
      <c r="F3030">
        <f>_xlfn.XLOOKUP(Table1[[#This Row],[ProductID]],Products!A:A,Products!D:D,,0)</f>
        <v>95</v>
      </c>
      <c r="I3030">
        <v>349</v>
      </c>
      <c r="J3030">
        <v>314</v>
      </c>
      <c r="K3030" t="s">
        <v>1107</v>
      </c>
      <c r="L3030">
        <v>314</v>
      </c>
      <c r="M3030" t="s">
        <v>1098</v>
      </c>
      <c r="N3030" t="s">
        <v>1099</v>
      </c>
      <c r="O3030">
        <f>Table1[[#This Row],[Unit_Price]]*Table1[[#This Row],[Quantity]]</f>
        <v>95</v>
      </c>
    </row>
    <row r="3031" spans="1:15" x14ac:dyDescent="0.3">
      <c r="A3031" t="s">
        <v>4847</v>
      </c>
      <c r="B3031" t="s">
        <v>2102</v>
      </c>
      <c r="C3031" t="s">
        <v>47</v>
      </c>
      <c r="D3031" t="s">
        <v>1068</v>
      </c>
      <c r="E3031">
        <v>1</v>
      </c>
      <c r="F3031">
        <f>_xlfn.XLOOKUP(Table1[[#This Row],[ProductID]],Products!A:A,Products!D:D,,0)</f>
        <v>180</v>
      </c>
      <c r="I3031">
        <v>449</v>
      </c>
      <c r="J3031">
        <v>449</v>
      </c>
      <c r="K3031" t="s">
        <v>1102</v>
      </c>
      <c r="L3031">
        <v>449</v>
      </c>
      <c r="M3031" t="s">
        <v>1093</v>
      </c>
      <c r="N3031" t="s">
        <v>1099</v>
      </c>
      <c r="O3031">
        <f>Table1[[#This Row],[Unit_Price]]*Table1[[#This Row],[Quantity]]</f>
        <v>180</v>
      </c>
    </row>
    <row r="3032" spans="1:15" x14ac:dyDescent="0.3">
      <c r="A3032" t="s">
        <v>4848</v>
      </c>
      <c r="B3032" t="s">
        <v>2391</v>
      </c>
      <c r="C3032" t="s">
        <v>515</v>
      </c>
      <c r="D3032" t="s">
        <v>1057</v>
      </c>
      <c r="E3032">
        <v>1</v>
      </c>
      <c r="F3032">
        <f>_xlfn.XLOOKUP(Table1[[#This Row],[ProductID]],Products!A:A,Products!D:D,,0)</f>
        <v>130</v>
      </c>
      <c r="I3032">
        <v>549</v>
      </c>
      <c r="J3032">
        <v>467</v>
      </c>
      <c r="K3032" t="s">
        <v>1092</v>
      </c>
      <c r="L3032">
        <v>467</v>
      </c>
      <c r="M3032" t="s">
        <v>1098</v>
      </c>
      <c r="N3032" t="s">
        <v>1099</v>
      </c>
      <c r="O3032">
        <f>Table1[[#This Row],[Unit_Price]]*Table1[[#This Row],[Quantity]]</f>
        <v>130</v>
      </c>
    </row>
    <row r="3033" spans="1:15" x14ac:dyDescent="0.3">
      <c r="A3033" t="s">
        <v>4849</v>
      </c>
      <c r="B3033" t="s">
        <v>1931</v>
      </c>
      <c r="C3033" t="s">
        <v>1013</v>
      </c>
      <c r="D3033" t="s">
        <v>1078</v>
      </c>
      <c r="E3033">
        <v>1</v>
      </c>
      <c r="F3033">
        <f>_xlfn.XLOOKUP(Table1[[#This Row],[ProductID]],Products!A:A,Products!D:D,,0)</f>
        <v>80</v>
      </c>
      <c r="I3033">
        <v>499</v>
      </c>
      <c r="J3033">
        <v>499</v>
      </c>
      <c r="K3033" t="s">
        <v>1102</v>
      </c>
      <c r="L3033">
        <v>499</v>
      </c>
      <c r="M3033" t="s">
        <v>1098</v>
      </c>
      <c r="N3033" t="s">
        <v>1099</v>
      </c>
      <c r="O3033">
        <f>Table1[[#This Row],[Unit_Price]]*Table1[[#This Row],[Quantity]]</f>
        <v>80</v>
      </c>
    </row>
    <row r="3034" spans="1:15" x14ac:dyDescent="0.3">
      <c r="A3034" t="s">
        <v>4850</v>
      </c>
      <c r="B3034" t="s">
        <v>1172</v>
      </c>
      <c r="C3034" t="s">
        <v>275</v>
      </c>
      <c r="D3034" t="s">
        <v>1080</v>
      </c>
      <c r="E3034">
        <v>1</v>
      </c>
      <c r="F3034">
        <f>_xlfn.XLOOKUP(Table1[[#This Row],[ProductID]],Products!A:A,Products!D:D,,0)</f>
        <v>45</v>
      </c>
      <c r="I3034">
        <v>249</v>
      </c>
      <c r="J3034">
        <v>212</v>
      </c>
      <c r="K3034" t="s">
        <v>1092</v>
      </c>
      <c r="L3034">
        <v>212</v>
      </c>
      <c r="M3034" t="s">
        <v>1098</v>
      </c>
      <c r="N3034" t="s">
        <v>1099</v>
      </c>
      <c r="O3034">
        <f>Table1[[#This Row],[Unit_Price]]*Table1[[#This Row],[Quantity]]</f>
        <v>45</v>
      </c>
    </row>
    <row r="3035" spans="1:15" x14ac:dyDescent="0.3">
      <c r="A3035" t="s">
        <v>4851</v>
      </c>
      <c r="B3035" t="s">
        <v>2690</v>
      </c>
      <c r="C3035" t="s">
        <v>905</v>
      </c>
      <c r="D3035" t="s">
        <v>1051</v>
      </c>
      <c r="E3035">
        <v>1</v>
      </c>
      <c r="F3035">
        <f>_xlfn.XLOOKUP(Table1[[#This Row],[ProductID]],Products!A:A,Products!D:D,,0)</f>
        <v>150</v>
      </c>
      <c r="I3035">
        <v>499</v>
      </c>
      <c r="J3035">
        <v>449</v>
      </c>
      <c r="K3035" t="s">
        <v>1107</v>
      </c>
      <c r="L3035">
        <v>449</v>
      </c>
      <c r="M3035" t="s">
        <v>1098</v>
      </c>
      <c r="N3035" t="s">
        <v>1099</v>
      </c>
      <c r="O3035">
        <f>Table1[[#This Row],[Unit_Price]]*Table1[[#This Row],[Quantity]]</f>
        <v>150</v>
      </c>
    </row>
    <row r="3036" spans="1:15" x14ac:dyDescent="0.3">
      <c r="A3036" t="s">
        <v>4852</v>
      </c>
      <c r="B3036" t="s">
        <v>2001</v>
      </c>
      <c r="C3036" t="s">
        <v>893</v>
      </c>
      <c r="D3036" t="s">
        <v>1080</v>
      </c>
      <c r="E3036">
        <v>4</v>
      </c>
      <c r="F3036">
        <f>_xlfn.XLOOKUP(Table1[[#This Row],[ProductID]],Products!A:A,Products!D:D,,0)</f>
        <v>45</v>
      </c>
      <c r="I3036">
        <v>249</v>
      </c>
      <c r="J3036">
        <v>249</v>
      </c>
      <c r="K3036" t="s">
        <v>1102</v>
      </c>
      <c r="L3036">
        <v>996</v>
      </c>
      <c r="M3036" t="s">
        <v>1126</v>
      </c>
      <c r="N3036" t="s">
        <v>1099</v>
      </c>
      <c r="O3036">
        <f>Table1[[#This Row],[Unit_Price]]*Table1[[#This Row],[Quantity]]</f>
        <v>180</v>
      </c>
    </row>
    <row r="3037" spans="1:15" x14ac:dyDescent="0.3">
      <c r="A3037" t="s">
        <v>4853</v>
      </c>
      <c r="B3037" t="s">
        <v>1106</v>
      </c>
      <c r="C3037" t="s">
        <v>365</v>
      </c>
      <c r="D3037" t="s">
        <v>1075</v>
      </c>
      <c r="E3037">
        <v>2</v>
      </c>
      <c r="F3037">
        <f>_xlfn.XLOOKUP(Table1[[#This Row],[ProductID]],Products!A:A,Products!D:D,,0)</f>
        <v>80</v>
      </c>
      <c r="I3037">
        <v>499</v>
      </c>
      <c r="J3037">
        <v>424</v>
      </c>
      <c r="K3037" t="s">
        <v>1092</v>
      </c>
      <c r="L3037">
        <v>848</v>
      </c>
      <c r="M3037" t="s">
        <v>1093</v>
      </c>
      <c r="N3037" t="s">
        <v>1094</v>
      </c>
      <c r="O3037">
        <f>Table1[[#This Row],[Unit_Price]]*Table1[[#This Row],[Quantity]]</f>
        <v>160</v>
      </c>
    </row>
    <row r="3038" spans="1:15" x14ac:dyDescent="0.3">
      <c r="A3038" t="s">
        <v>4854</v>
      </c>
      <c r="B3038" t="s">
        <v>3265</v>
      </c>
      <c r="C3038" t="s">
        <v>59</v>
      </c>
      <c r="D3038" t="s">
        <v>1071</v>
      </c>
      <c r="E3038">
        <v>1</v>
      </c>
      <c r="F3038">
        <f>_xlfn.XLOOKUP(Table1[[#This Row],[ProductID]],Products!A:A,Products!D:D,,0)</f>
        <v>125</v>
      </c>
      <c r="I3038">
        <v>399</v>
      </c>
      <c r="J3038">
        <v>399</v>
      </c>
      <c r="K3038" t="s">
        <v>1102</v>
      </c>
      <c r="L3038">
        <v>399</v>
      </c>
      <c r="M3038" t="s">
        <v>1098</v>
      </c>
      <c r="N3038" t="s">
        <v>1099</v>
      </c>
      <c r="O3038">
        <f>Table1[[#This Row],[Unit_Price]]*Table1[[#This Row],[Quantity]]</f>
        <v>125</v>
      </c>
    </row>
    <row r="3039" spans="1:15" x14ac:dyDescent="0.3">
      <c r="A3039" t="s">
        <v>4855</v>
      </c>
      <c r="B3039" t="s">
        <v>3470</v>
      </c>
      <c r="C3039" t="s">
        <v>130</v>
      </c>
      <c r="D3039" t="s">
        <v>1080</v>
      </c>
      <c r="E3039">
        <v>1</v>
      </c>
      <c r="F3039">
        <f>_xlfn.XLOOKUP(Table1[[#This Row],[ProductID]],Products!A:A,Products!D:D,,0)</f>
        <v>45</v>
      </c>
      <c r="I3039">
        <v>249</v>
      </c>
      <c r="J3039">
        <v>212</v>
      </c>
      <c r="K3039" t="s">
        <v>1092</v>
      </c>
      <c r="L3039">
        <v>212</v>
      </c>
      <c r="M3039" t="s">
        <v>1098</v>
      </c>
      <c r="N3039" t="s">
        <v>1099</v>
      </c>
      <c r="O3039">
        <f>Table1[[#This Row],[Unit_Price]]*Table1[[#This Row],[Quantity]]</f>
        <v>45</v>
      </c>
    </row>
    <row r="3040" spans="1:15" x14ac:dyDescent="0.3">
      <c r="A3040" t="s">
        <v>4856</v>
      </c>
      <c r="B3040" t="s">
        <v>1451</v>
      </c>
      <c r="C3040" t="s">
        <v>18</v>
      </c>
      <c r="D3040" t="s">
        <v>1073</v>
      </c>
      <c r="E3040">
        <v>1</v>
      </c>
      <c r="F3040">
        <f>_xlfn.XLOOKUP(Table1[[#This Row],[ProductID]],Products!A:A,Products!D:D,,0)</f>
        <v>100</v>
      </c>
      <c r="I3040">
        <v>349</v>
      </c>
      <c r="J3040">
        <v>297</v>
      </c>
      <c r="K3040" t="s">
        <v>1092</v>
      </c>
      <c r="L3040">
        <v>297</v>
      </c>
      <c r="M3040" t="s">
        <v>1098</v>
      </c>
      <c r="N3040" t="s">
        <v>1099</v>
      </c>
      <c r="O3040">
        <f>Table1[[#This Row],[Unit_Price]]*Table1[[#This Row],[Quantity]]</f>
        <v>100</v>
      </c>
    </row>
    <row r="3041" spans="1:15" x14ac:dyDescent="0.3">
      <c r="A3041" t="s">
        <v>4857</v>
      </c>
      <c r="B3041" t="s">
        <v>1472</v>
      </c>
      <c r="C3041" t="s">
        <v>447</v>
      </c>
      <c r="D3041" t="s">
        <v>1051</v>
      </c>
      <c r="E3041">
        <v>2</v>
      </c>
      <c r="F3041">
        <f>_xlfn.XLOOKUP(Table1[[#This Row],[ProductID]],Products!A:A,Products!D:D,,0)</f>
        <v>150</v>
      </c>
      <c r="I3041">
        <v>499</v>
      </c>
      <c r="J3041">
        <v>499</v>
      </c>
      <c r="K3041" t="s">
        <v>1102</v>
      </c>
      <c r="L3041">
        <v>998</v>
      </c>
      <c r="M3041" t="s">
        <v>1126</v>
      </c>
      <c r="N3041" t="s">
        <v>1099</v>
      </c>
      <c r="O3041">
        <f>Table1[[#This Row],[Unit_Price]]*Table1[[#This Row],[Quantity]]</f>
        <v>300</v>
      </c>
    </row>
    <row r="3042" spans="1:15" x14ac:dyDescent="0.3">
      <c r="A3042" t="s">
        <v>4858</v>
      </c>
      <c r="B3042" t="s">
        <v>2557</v>
      </c>
      <c r="C3042" t="s">
        <v>1009</v>
      </c>
      <c r="D3042" t="s">
        <v>1066</v>
      </c>
      <c r="E3042">
        <v>1</v>
      </c>
      <c r="F3042">
        <f>_xlfn.XLOOKUP(Table1[[#This Row],[ProductID]],Products!A:A,Products!D:D,,0)</f>
        <v>140</v>
      </c>
      <c r="I3042">
        <v>499</v>
      </c>
      <c r="J3042">
        <v>449</v>
      </c>
      <c r="K3042" t="s">
        <v>1107</v>
      </c>
      <c r="L3042">
        <v>449</v>
      </c>
      <c r="M3042" t="s">
        <v>1098</v>
      </c>
      <c r="N3042" t="s">
        <v>1099</v>
      </c>
      <c r="O3042">
        <f>Table1[[#This Row],[Unit_Price]]*Table1[[#This Row],[Quantity]]</f>
        <v>140</v>
      </c>
    </row>
    <row r="3043" spans="1:15" x14ac:dyDescent="0.3">
      <c r="A3043" t="s">
        <v>4859</v>
      </c>
      <c r="B3043" t="s">
        <v>3032</v>
      </c>
      <c r="C3043" t="s">
        <v>333</v>
      </c>
      <c r="D3043" t="s">
        <v>1051</v>
      </c>
      <c r="E3043">
        <v>1</v>
      </c>
      <c r="F3043">
        <f>_xlfn.XLOOKUP(Table1[[#This Row],[ProductID]],Products!A:A,Products!D:D,,0)</f>
        <v>150</v>
      </c>
      <c r="I3043">
        <v>499</v>
      </c>
      <c r="J3043">
        <v>449</v>
      </c>
      <c r="K3043" t="s">
        <v>1107</v>
      </c>
      <c r="L3043">
        <v>449</v>
      </c>
      <c r="M3043" t="s">
        <v>1126</v>
      </c>
      <c r="N3043" t="s">
        <v>1099</v>
      </c>
      <c r="O3043">
        <f>Table1[[#This Row],[Unit_Price]]*Table1[[#This Row],[Quantity]]</f>
        <v>150</v>
      </c>
    </row>
    <row r="3044" spans="1:15" x14ac:dyDescent="0.3">
      <c r="A3044" t="s">
        <v>4860</v>
      </c>
      <c r="B3044" t="s">
        <v>1971</v>
      </c>
      <c r="C3044" t="s">
        <v>1027</v>
      </c>
      <c r="D3044" t="s">
        <v>1078</v>
      </c>
      <c r="E3044">
        <v>1</v>
      </c>
      <c r="F3044">
        <f>_xlfn.XLOOKUP(Table1[[#This Row],[ProductID]],Products!A:A,Products!D:D,,0)</f>
        <v>80</v>
      </c>
      <c r="I3044">
        <v>499</v>
      </c>
      <c r="J3044">
        <v>499</v>
      </c>
      <c r="K3044" t="s">
        <v>1102</v>
      </c>
      <c r="L3044">
        <v>499</v>
      </c>
      <c r="M3044" t="s">
        <v>1098</v>
      </c>
      <c r="N3044" t="s">
        <v>1099</v>
      </c>
      <c r="O3044">
        <f>Table1[[#This Row],[Unit_Price]]*Table1[[#This Row],[Quantity]]</f>
        <v>80</v>
      </c>
    </row>
    <row r="3045" spans="1:15" x14ac:dyDescent="0.3">
      <c r="A3045" t="s">
        <v>4861</v>
      </c>
      <c r="B3045" t="s">
        <v>1882</v>
      </c>
      <c r="C3045" t="s">
        <v>931</v>
      </c>
      <c r="D3045" t="s">
        <v>1051</v>
      </c>
      <c r="E3045">
        <v>1</v>
      </c>
      <c r="F3045">
        <f>_xlfn.XLOOKUP(Table1[[#This Row],[ProductID]],Products!A:A,Products!D:D,,0)</f>
        <v>150</v>
      </c>
      <c r="I3045">
        <v>499</v>
      </c>
      <c r="J3045">
        <v>449</v>
      </c>
      <c r="K3045" t="s">
        <v>1107</v>
      </c>
      <c r="L3045">
        <v>449</v>
      </c>
      <c r="M3045" t="s">
        <v>1093</v>
      </c>
      <c r="N3045" t="s">
        <v>1094</v>
      </c>
      <c r="O3045">
        <f>Table1[[#This Row],[Unit_Price]]*Table1[[#This Row],[Quantity]]</f>
        <v>150</v>
      </c>
    </row>
    <row r="3046" spans="1:15" x14ac:dyDescent="0.3">
      <c r="A3046" t="s">
        <v>4862</v>
      </c>
      <c r="B3046" t="s">
        <v>1379</v>
      </c>
      <c r="C3046" t="s">
        <v>177</v>
      </c>
      <c r="D3046" t="s">
        <v>1051</v>
      </c>
      <c r="E3046">
        <v>1</v>
      </c>
      <c r="F3046">
        <f>_xlfn.XLOOKUP(Table1[[#This Row],[ProductID]],Products!A:A,Products!D:D,,0)</f>
        <v>150</v>
      </c>
      <c r="I3046">
        <v>499</v>
      </c>
      <c r="J3046">
        <v>499</v>
      </c>
      <c r="K3046" t="s">
        <v>1102</v>
      </c>
      <c r="L3046">
        <v>499</v>
      </c>
      <c r="M3046" t="s">
        <v>1093</v>
      </c>
      <c r="N3046" t="s">
        <v>1094</v>
      </c>
      <c r="O3046">
        <f>Table1[[#This Row],[Unit_Price]]*Table1[[#This Row],[Quantity]]</f>
        <v>150</v>
      </c>
    </row>
    <row r="3047" spans="1:15" x14ac:dyDescent="0.3">
      <c r="A3047" t="s">
        <v>4863</v>
      </c>
      <c r="B3047" t="s">
        <v>3826</v>
      </c>
      <c r="C3047" t="s">
        <v>1011</v>
      </c>
      <c r="D3047" t="s">
        <v>1068</v>
      </c>
      <c r="E3047">
        <v>2</v>
      </c>
      <c r="F3047">
        <f>_xlfn.XLOOKUP(Table1[[#This Row],[ProductID]],Products!A:A,Products!D:D,,0)</f>
        <v>180</v>
      </c>
      <c r="I3047">
        <v>449</v>
      </c>
      <c r="J3047">
        <v>449</v>
      </c>
      <c r="K3047" t="s">
        <v>1102</v>
      </c>
      <c r="L3047">
        <v>898</v>
      </c>
      <c r="M3047" t="s">
        <v>1093</v>
      </c>
      <c r="N3047" t="s">
        <v>1099</v>
      </c>
      <c r="O3047">
        <f>Table1[[#This Row],[Unit_Price]]*Table1[[#This Row],[Quantity]]</f>
        <v>360</v>
      </c>
    </row>
    <row r="3048" spans="1:15" x14ac:dyDescent="0.3">
      <c r="A3048" t="s">
        <v>4864</v>
      </c>
      <c r="B3048" t="s">
        <v>4662</v>
      </c>
      <c r="C3048" t="s">
        <v>557</v>
      </c>
      <c r="D3048" t="s">
        <v>1055</v>
      </c>
      <c r="E3048">
        <v>2</v>
      </c>
      <c r="F3048">
        <f>_xlfn.XLOOKUP(Table1[[#This Row],[ProductID]],Products!A:A,Products!D:D,,0)</f>
        <v>75</v>
      </c>
      <c r="I3048">
        <v>299</v>
      </c>
      <c r="J3048">
        <v>239</v>
      </c>
      <c r="K3048" t="s">
        <v>1097</v>
      </c>
      <c r="L3048">
        <v>478</v>
      </c>
      <c r="M3048" t="s">
        <v>1126</v>
      </c>
      <c r="N3048" t="s">
        <v>1099</v>
      </c>
      <c r="O3048">
        <f>Table1[[#This Row],[Unit_Price]]*Table1[[#This Row],[Quantity]]</f>
        <v>150</v>
      </c>
    </row>
    <row r="3049" spans="1:15" x14ac:dyDescent="0.3">
      <c r="A3049" t="s">
        <v>4865</v>
      </c>
      <c r="B3049" t="s">
        <v>1672</v>
      </c>
      <c r="C3049" t="s">
        <v>605</v>
      </c>
      <c r="D3049" t="s">
        <v>1064</v>
      </c>
      <c r="E3049">
        <v>3</v>
      </c>
      <c r="F3049">
        <f>_xlfn.XLOOKUP(Table1[[#This Row],[ProductID]],Products!A:A,Products!D:D,,0)</f>
        <v>160</v>
      </c>
      <c r="I3049">
        <v>699</v>
      </c>
      <c r="J3049">
        <v>699</v>
      </c>
      <c r="K3049" t="s">
        <v>1102</v>
      </c>
      <c r="L3049">
        <v>2097</v>
      </c>
      <c r="M3049" t="s">
        <v>1098</v>
      </c>
      <c r="N3049" t="s">
        <v>1099</v>
      </c>
      <c r="O3049">
        <f>Table1[[#This Row],[Unit_Price]]*Table1[[#This Row],[Quantity]]</f>
        <v>480</v>
      </c>
    </row>
    <row r="3050" spans="1:15" x14ac:dyDescent="0.3">
      <c r="A3050" t="s">
        <v>4866</v>
      </c>
      <c r="B3050" t="s">
        <v>3610</v>
      </c>
      <c r="C3050" t="s">
        <v>229</v>
      </c>
      <c r="D3050" t="s">
        <v>1073</v>
      </c>
      <c r="E3050">
        <v>1</v>
      </c>
      <c r="F3050">
        <f>_xlfn.XLOOKUP(Table1[[#This Row],[ProductID]],Products!A:A,Products!D:D,,0)</f>
        <v>100</v>
      </c>
      <c r="I3050">
        <v>349</v>
      </c>
      <c r="J3050">
        <v>279</v>
      </c>
      <c r="K3050" t="s">
        <v>1097</v>
      </c>
      <c r="L3050">
        <v>279</v>
      </c>
      <c r="M3050" t="s">
        <v>1093</v>
      </c>
      <c r="N3050" t="s">
        <v>1099</v>
      </c>
      <c r="O3050">
        <f>Table1[[#This Row],[Unit_Price]]*Table1[[#This Row],[Quantity]]</f>
        <v>100</v>
      </c>
    </row>
    <row r="3051" spans="1:15" x14ac:dyDescent="0.3">
      <c r="A3051" t="s">
        <v>4867</v>
      </c>
      <c r="B3051" t="s">
        <v>1113</v>
      </c>
      <c r="C3051" t="s">
        <v>167</v>
      </c>
      <c r="D3051" t="s">
        <v>1057</v>
      </c>
      <c r="E3051">
        <v>1</v>
      </c>
      <c r="F3051">
        <f>_xlfn.XLOOKUP(Table1[[#This Row],[ProductID]],Products!A:A,Products!D:D,,0)</f>
        <v>130</v>
      </c>
      <c r="I3051">
        <v>549</v>
      </c>
      <c r="J3051">
        <v>549</v>
      </c>
      <c r="K3051" t="s">
        <v>1102</v>
      </c>
      <c r="L3051">
        <v>549</v>
      </c>
      <c r="M3051" t="s">
        <v>1098</v>
      </c>
      <c r="N3051" t="s">
        <v>1099</v>
      </c>
      <c r="O3051">
        <f>Table1[[#This Row],[Unit_Price]]*Table1[[#This Row],[Quantity]]</f>
        <v>130</v>
      </c>
    </row>
    <row r="3052" spans="1:15" x14ac:dyDescent="0.3">
      <c r="A3052" t="s">
        <v>4868</v>
      </c>
      <c r="B3052" t="s">
        <v>2078</v>
      </c>
      <c r="C3052" t="s">
        <v>433</v>
      </c>
      <c r="D3052" t="s">
        <v>1053</v>
      </c>
      <c r="E3052">
        <v>2</v>
      </c>
      <c r="F3052">
        <f>_xlfn.XLOOKUP(Table1[[#This Row],[ProductID]],Products!A:A,Products!D:D,,0)</f>
        <v>200</v>
      </c>
      <c r="I3052">
        <v>899</v>
      </c>
      <c r="J3052">
        <v>809</v>
      </c>
      <c r="K3052" t="s">
        <v>1107</v>
      </c>
      <c r="L3052">
        <v>1618</v>
      </c>
      <c r="M3052" t="s">
        <v>1098</v>
      </c>
      <c r="N3052" t="s">
        <v>1099</v>
      </c>
      <c r="O3052">
        <f>Table1[[#This Row],[Unit_Price]]*Table1[[#This Row],[Quantity]]</f>
        <v>400</v>
      </c>
    </row>
    <row r="3053" spans="1:15" x14ac:dyDescent="0.3">
      <c r="A3053" t="s">
        <v>4869</v>
      </c>
      <c r="B3053" t="s">
        <v>1420</v>
      </c>
      <c r="C3053" t="s">
        <v>849</v>
      </c>
      <c r="D3053" t="s">
        <v>1059</v>
      </c>
      <c r="E3053">
        <v>2</v>
      </c>
      <c r="F3053">
        <f>_xlfn.XLOOKUP(Table1[[#This Row],[ProductID]],Products!A:A,Products!D:D,,0)</f>
        <v>110</v>
      </c>
      <c r="I3053">
        <v>399</v>
      </c>
      <c r="J3053">
        <v>339</v>
      </c>
      <c r="K3053" t="s">
        <v>1092</v>
      </c>
      <c r="L3053">
        <v>678</v>
      </c>
      <c r="M3053" t="s">
        <v>1098</v>
      </c>
      <c r="N3053" t="s">
        <v>1099</v>
      </c>
      <c r="O3053">
        <f>Table1[[#This Row],[Unit_Price]]*Table1[[#This Row],[Quantity]]</f>
        <v>220</v>
      </c>
    </row>
    <row r="3054" spans="1:15" x14ac:dyDescent="0.3">
      <c r="A3054" t="s">
        <v>4870</v>
      </c>
      <c r="B3054" t="s">
        <v>3650</v>
      </c>
      <c r="C3054" t="s">
        <v>683</v>
      </c>
      <c r="D3054" t="s">
        <v>1059</v>
      </c>
      <c r="E3054">
        <v>1</v>
      </c>
      <c r="F3054">
        <f>_xlfn.XLOOKUP(Table1[[#This Row],[ProductID]],Products!A:A,Products!D:D,,0)</f>
        <v>110</v>
      </c>
      <c r="I3054">
        <v>399</v>
      </c>
      <c r="J3054">
        <v>319</v>
      </c>
      <c r="K3054" t="s">
        <v>1097</v>
      </c>
      <c r="L3054">
        <v>319</v>
      </c>
      <c r="M3054" t="s">
        <v>1093</v>
      </c>
      <c r="N3054" t="s">
        <v>1123</v>
      </c>
      <c r="O3054">
        <f>Table1[[#This Row],[Unit_Price]]*Table1[[#This Row],[Quantity]]</f>
        <v>110</v>
      </c>
    </row>
    <row r="3055" spans="1:15" x14ac:dyDescent="0.3">
      <c r="A3055" t="s">
        <v>4871</v>
      </c>
      <c r="B3055" t="s">
        <v>2389</v>
      </c>
      <c r="C3055" t="s">
        <v>245</v>
      </c>
      <c r="D3055" t="s">
        <v>1071</v>
      </c>
      <c r="E3055">
        <v>2</v>
      </c>
      <c r="F3055">
        <f>_xlfn.XLOOKUP(Table1[[#This Row],[ProductID]],Products!A:A,Products!D:D,,0)</f>
        <v>125</v>
      </c>
      <c r="I3055">
        <v>399</v>
      </c>
      <c r="J3055">
        <v>359</v>
      </c>
      <c r="K3055" t="s">
        <v>1107</v>
      </c>
      <c r="L3055">
        <v>718</v>
      </c>
      <c r="M3055" t="s">
        <v>1093</v>
      </c>
      <c r="N3055" t="s">
        <v>1099</v>
      </c>
      <c r="O3055">
        <f>Table1[[#This Row],[Unit_Price]]*Table1[[#This Row],[Quantity]]</f>
        <v>250</v>
      </c>
    </row>
    <row r="3056" spans="1:15" x14ac:dyDescent="0.3">
      <c r="A3056" t="s">
        <v>4872</v>
      </c>
      <c r="B3056" t="s">
        <v>1134</v>
      </c>
      <c r="C3056" t="s">
        <v>145</v>
      </c>
      <c r="D3056" t="s">
        <v>1053</v>
      </c>
      <c r="E3056">
        <v>1</v>
      </c>
      <c r="F3056">
        <f>_xlfn.XLOOKUP(Table1[[#This Row],[ProductID]],Products!A:A,Products!D:D,,0)</f>
        <v>200</v>
      </c>
      <c r="I3056">
        <v>899</v>
      </c>
      <c r="J3056">
        <v>899</v>
      </c>
      <c r="K3056" t="s">
        <v>1102</v>
      </c>
      <c r="L3056">
        <v>899</v>
      </c>
      <c r="M3056" t="s">
        <v>1098</v>
      </c>
      <c r="N3056" t="s">
        <v>1099</v>
      </c>
      <c r="O3056">
        <f>Table1[[#This Row],[Unit_Price]]*Table1[[#This Row],[Quantity]]</f>
        <v>200</v>
      </c>
    </row>
    <row r="3057" spans="1:15" x14ac:dyDescent="0.3">
      <c r="A3057" t="s">
        <v>4873</v>
      </c>
      <c r="B3057" t="s">
        <v>2210</v>
      </c>
      <c r="C3057" t="s">
        <v>885</v>
      </c>
      <c r="D3057" t="s">
        <v>1071</v>
      </c>
      <c r="E3057">
        <v>1</v>
      </c>
      <c r="F3057">
        <f>_xlfn.XLOOKUP(Table1[[#This Row],[ProductID]],Products!A:A,Products!D:D,,0)</f>
        <v>125</v>
      </c>
      <c r="I3057">
        <v>399</v>
      </c>
      <c r="J3057">
        <v>399</v>
      </c>
      <c r="K3057" t="s">
        <v>1102</v>
      </c>
      <c r="L3057">
        <v>399</v>
      </c>
      <c r="M3057" t="s">
        <v>1118</v>
      </c>
      <c r="N3057" t="s">
        <v>1099</v>
      </c>
      <c r="O3057">
        <f>Table1[[#This Row],[Unit_Price]]*Table1[[#This Row],[Quantity]]</f>
        <v>125</v>
      </c>
    </row>
    <row r="3058" spans="1:15" x14ac:dyDescent="0.3">
      <c r="A3058" t="s">
        <v>4874</v>
      </c>
      <c r="B3058" t="s">
        <v>2862</v>
      </c>
      <c r="C3058" t="s">
        <v>873</v>
      </c>
      <c r="D3058" t="s">
        <v>1048</v>
      </c>
      <c r="E3058">
        <v>1</v>
      </c>
      <c r="F3058">
        <f>_xlfn.XLOOKUP(Table1[[#This Row],[ProductID]],Products!A:A,Products!D:D,,0)</f>
        <v>120</v>
      </c>
      <c r="I3058">
        <v>599</v>
      </c>
      <c r="J3058">
        <v>479</v>
      </c>
      <c r="K3058" t="s">
        <v>1097</v>
      </c>
      <c r="L3058">
        <v>479</v>
      </c>
      <c r="M3058" t="s">
        <v>1093</v>
      </c>
      <c r="N3058" t="s">
        <v>1099</v>
      </c>
      <c r="O3058">
        <f>Table1[[#This Row],[Unit_Price]]*Table1[[#This Row],[Quantity]]</f>
        <v>120</v>
      </c>
    </row>
    <row r="3059" spans="1:15" x14ac:dyDescent="0.3">
      <c r="A3059" t="s">
        <v>4875</v>
      </c>
      <c r="B3059" t="s">
        <v>1595</v>
      </c>
      <c r="C3059" t="s">
        <v>565</v>
      </c>
      <c r="D3059" t="s">
        <v>1055</v>
      </c>
      <c r="E3059">
        <v>1</v>
      </c>
      <c r="F3059">
        <f>_xlfn.XLOOKUP(Table1[[#This Row],[ProductID]],Products!A:A,Products!D:D,,0)</f>
        <v>75</v>
      </c>
      <c r="I3059">
        <v>299</v>
      </c>
      <c r="J3059">
        <v>254</v>
      </c>
      <c r="K3059" t="s">
        <v>1092</v>
      </c>
      <c r="L3059">
        <v>254</v>
      </c>
      <c r="M3059" t="s">
        <v>1098</v>
      </c>
      <c r="N3059" t="s">
        <v>1099</v>
      </c>
      <c r="O3059">
        <f>Table1[[#This Row],[Unit_Price]]*Table1[[#This Row],[Quantity]]</f>
        <v>75</v>
      </c>
    </row>
    <row r="3060" spans="1:15" x14ac:dyDescent="0.3">
      <c r="A3060" t="s">
        <v>4876</v>
      </c>
      <c r="B3060" t="s">
        <v>1125</v>
      </c>
      <c r="C3060" t="s">
        <v>679</v>
      </c>
      <c r="D3060" t="s">
        <v>1062</v>
      </c>
      <c r="E3060">
        <v>3</v>
      </c>
      <c r="F3060">
        <f>_xlfn.XLOOKUP(Table1[[#This Row],[ProductID]],Products!A:A,Products!D:D,,0)</f>
        <v>95</v>
      </c>
      <c r="I3060">
        <v>349</v>
      </c>
      <c r="J3060">
        <v>279</v>
      </c>
      <c r="K3060" t="s">
        <v>1097</v>
      </c>
      <c r="L3060">
        <v>837</v>
      </c>
      <c r="M3060" t="s">
        <v>1093</v>
      </c>
      <c r="N3060" t="s">
        <v>1099</v>
      </c>
      <c r="O3060">
        <f>Table1[[#This Row],[Unit_Price]]*Table1[[#This Row],[Quantity]]</f>
        <v>285</v>
      </c>
    </row>
    <row r="3061" spans="1:15" x14ac:dyDescent="0.3">
      <c r="A3061" t="s">
        <v>4877</v>
      </c>
      <c r="B3061" t="s">
        <v>1509</v>
      </c>
      <c r="C3061" t="s">
        <v>651</v>
      </c>
      <c r="D3061" t="s">
        <v>1080</v>
      </c>
      <c r="E3061">
        <v>3</v>
      </c>
      <c r="F3061">
        <f>_xlfn.XLOOKUP(Table1[[#This Row],[ProductID]],Products!A:A,Products!D:D,,0)</f>
        <v>45</v>
      </c>
      <c r="I3061">
        <v>249</v>
      </c>
      <c r="J3061">
        <v>249</v>
      </c>
      <c r="K3061" t="s">
        <v>1102</v>
      </c>
      <c r="L3061">
        <v>747</v>
      </c>
      <c r="M3061" t="s">
        <v>1093</v>
      </c>
      <c r="N3061" t="s">
        <v>1123</v>
      </c>
      <c r="O3061">
        <f>Table1[[#This Row],[Unit_Price]]*Table1[[#This Row],[Quantity]]</f>
        <v>135</v>
      </c>
    </row>
    <row r="3062" spans="1:15" x14ac:dyDescent="0.3">
      <c r="A3062" t="s">
        <v>4878</v>
      </c>
      <c r="B3062" t="s">
        <v>1653</v>
      </c>
      <c r="C3062" t="s">
        <v>595</v>
      </c>
      <c r="D3062" t="s">
        <v>1059</v>
      </c>
      <c r="E3062">
        <v>1</v>
      </c>
      <c r="F3062">
        <f>_xlfn.XLOOKUP(Table1[[#This Row],[ProductID]],Products!A:A,Products!D:D,,0)</f>
        <v>110</v>
      </c>
      <c r="I3062">
        <v>399</v>
      </c>
      <c r="J3062">
        <v>399</v>
      </c>
      <c r="K3062" t="s">
        <v>1102</v>
      </c>
      <c r="L3062">
        <v>399</v>
      </c>
      <c r="M3062" t="s">
        <v>1126</v>
      </c>
      <c r="N3062" t="s">
        <v>1099</v>
      </c>
      <c r="O3062">
        <f>Table1[[#This Row],[Unit_Price]]*Table1[[#This Row],[Quantity]]</f>
        <v>110</v>
      </c>
    </row>
    <row r="3063" spans="1:15" x14ac:dyDescent="0.3">
      <c r="A3063" t="s">
        <v>4879</v>
      </c>
      <c r="B3063" t="s">
        <v>1882</v>
      </c>
      <c r="C3063" t="s">
        <v>647</v>
      </c>
      <c r="D3063" t="s">
        <v>1055</v>
      </c>
      <c r="E3063">
        <v>3</v>
      </c>
      <c r="F3063">
        <f>_xlfn.XLOOKUP(Table1[[#This Row],[ProductID]],Products!A:A,Products!D:D,,0)</f>
        <v>75</v>
      </c>
      <c r="I3063">
        <v>299</v>
      </c>
      <c r="J3063">
        <v>254</v>
      </c>
      <c r="K3063" t="s">
        <v>1092</v>
      </c>
      <c r="L3063">
        <v>762</v>
      </c>
      <c r="M3063" t="s">
        <v>1093</v>
      </c>
      <c r="N3063" t="s">
        <v>1099</v>
      </c>
      <c r="O3063">
        <f>Table1[[#This Row],[Unit_Price]]*Table1[[#This Row],[Quantity]]</f>
        <v>225</v>
      </c>
    </row>
    <row r="3064" spans="1:15" x14ac:dyDescent="0.3">
      <c r="A3064" t="s">
        <v>4880</v>
      </c>
      <c r="B3064" t="s">
        <v>1404</v>
      </c>
      <c r="C3064" t="s">
        <v>891</v>
      </c>
      <c r="D3064" t="s">
        <v>1080</v>
      </c>
      <c r="E3064">
        <v>2</v>
      </c>
      <c r="F3064">
        <f>_xlfn.XLOOKUP(Table1[[#This Row],[ProductID]],Products!A:A,Products!D:D,,0)</f>
        <v>45</v>
      </c>
      <c r="I3064">
        <v>249</v>
      </c>
      <c r="J3064">
        <v>249</v>
      </c>
      <c r="K3064" t="s">
        <v>1102</v>
      </c>
      <c r="L3064">
        <v>498</v>
      </c>
      <c r="M3064" t="s">
        <v>1098</v>
      </c>
      <c r="N3064" t="s">
        <v>1094</v>
      </c>
      <c r="O3064">
        <f>Table1[[#This Row],[Unit_Price]]*Table1[[#This Row],[Quantity]]</f>
        <v>90</v>
      </c>
    </row>
    <row r="3065" spans="1:15" x14ac:dyDescent="0.3">
      <c r="A3065" t="s">
        <v>4881</v>
      </c>
      <c r="B3065" t="s">
        <v>3240</v>
      </c>
      <c r="C3065" t="s">
        <v>375</v>
      </c>
      <c r="D3065" t="s">
        <v>1064</v>
      </c>
      <c r="E3065">
        <v>2</v>
      </c>
      <c r="F3065">
        <f>_xlfn.XLOOKUP(Table1[[#This Row],[ProductID]],Products!A:A,Products!D:D,,0)</f>
        <v>160</v>
      </c>
      <c r="I3065">
        <v>699</v>
      </c>
      <c r="J3065">
        <v>629</v>
      </c>
      <c r="K3065" t="s">
        <v>1107</v>
      </c>
      <c r="L3065">
        <v>1258</v>
      </c>
      <c r="M3065" t="s">
        <v>1098</v>
      </c>
      <c r="N3065" t="s">
        <v>1099</v>
      </c>
      <c r="O3065">
        <f>Table1[[#This Row],[Unit_Price]]*Table1[[#This Row],[Quantity]]</f>
        <v>320</v>
      </c>
    </row>
    <row r="3066" spans="1:15" x14ac:dyDescent="0.3">
      <c r="A3066" t="s">
        <v>4882</v>
      </c>
      <c r="B3066" t="s">
        <v>3470</v>
      </c>
      <c r="C3066" t="s">
        <v>289</v>
      </c>
      <c r="D3066" t="s">
        <v>1071</v>
      </c>
      <c r="E3066">
        <v>3</v>
      </c>
      <c r="F3066">
        <f>_xlfn.XLOOKUP(Table1[[#This Row],[ProductID]],Products!A:A,Products!D:D,,0)</f>
        <v>125</v>
      </c>
      <c r="I3066">
        <v>399</v>
      </c>
      <c r="J3066">
        <v>339</v>
      </c>
      <c r="K3066" t="s">
        <v>1092</v>
      </c>
      <c r="L3066">
        <v>1017</v>
      </c>
      <c r="M3066" t="s">
        <v>1093</v>
      </c>
      <c r="N3066" t="s">
        <v>1099</v>
      </c>
      <c r="O3066">
        <f>Table1[[#This Row],[Unit_Price]]*Table1[[#This Row],[Quantity]]</f>
        <v>375</v>
      </c>
    </row>
    <row r="3067" spans="1:15" x14ac:dyDescent="0.3">
      <c r="A3067" t="s">
        <v>4883</v>
      </c>
      <c r="B3067" t="s">
        <v>2237</v>
      </c>
      <c r="C3067" t="s">
        <v>467</v>
      </c>
      <c r="D3067" t="s">
        <v>1078</v>
      </c>
      <c r="E3067">
        <v>3</v>
      </c>
      <c r="F3067">
        <f>_xlfn.XLOOKUP(Table1[[#This Row],[ProductID]],Products!A:A,Products!D:D,,0)</f>
        <v>80</v>
      </c>
      <c r="I3067">
        <v>499</v>
      </c>
      <c r="J3067">
        <v>424</v>
      </c>
      <c r="K3067" t="s">
        <v>1092</v>
      </c>
      <c r="L3067">
        <v>1272</v>
      </c>
      <c r="M3067" t="s">
        <v>1098</v>
      </c>
      <c r="N3067" t="s">
        <v>1099</v>
      </c>
      <c r="O3067">
        <f>Table1[[#This Row],[Unit_Price]]*Table1[[#This Row],[Quantity]]</f>
        <v>240</v>
      </c>
    </row>
    <row r="3068" spans="1:15" x14ac:dyDescent="0.3">
      <c r="A3068" t="s">
        <v>4884</v>
      </c>
      <c r="B3068" t="s">
        <v>3399</v>
      </c>
      <c r="C3068" t="s">
        <v>965</v>
      </c>
      <c r="D3068" t="s">
        <v>1068</v>
      </c>
      <c r="E3068">
        <v>1</v>
      </c>
      <c r="F3068">
        <f>_xlfn.XLOOKUP(Table1[[#This Row],[ProductID]],Products!A:A,Products!D:D,,0)</f>
        <v>180</v>
      </c>
      <c r="I3068">
        <v>449</v>
      </c>
      <c r="J3068">
        <v>449</v>
      </c>
      <c r="K3068" t="s">
        <v>1102</v>
      </c>
      <c r="L3068">
        <v>449</v>
      </c>
      <c r="M3068" t="s">
        <v>1093</v>
      </c>
      <c r="N3068" t="s">
        <v>1099</v>
      </c>
      <c r="O3068">
        <f>Table1[[#This Row],[Unit_Price]]*Table1[[#This Row],[Quantity]]</f>
        <v>180</v>
      </c>
    </row>
    <row r="3069" spans="1:15" x14ac:dyDescent="0.3">
      <c r="A3069" t="s">
        <v>4885</v>
      </c>
      <c r="B3069" t="s">
        <v>1412</v>
      </c>
      <c r="C3069" t="s">
        <v>93</v>
      </c>
      <c r="D3069" t="s">
        <v>1062</v>
      </c>
      <c r="E3069">
        <v>1</v>
      </c>
      <c r="F3069">
        <f>_xlfn.XLOOKUP(Table1[[#This Row],[ProductID]],Products!A:A,Products!D:D,,0)</f>
        <v>95</v>
      </c>
      <c r="I3069">
        <v>349</v>
      </c>
      <c r="J3069">
        <v>279</v>
      </c>
      <c r="K3069" t="s">
        <v>1097</v>
      </c>
      <c r="L3069">
        <v>279</v>
      </c>
      <c r="M3069" t="s">
        <v>1093</v>
      </c>
      <c r="N3069" t="s">
        <v>1099</v>
      </c>
      <c r="O3069">
        <f>Table1[[#This Row],[Unit_Price]]*Table1[[#This Row],[Quantity]]</f>
        <v>95</v>
      </c>
    </row>
    <row r="3070" spans="1:15" x14ac:dyDescent="0.3">
      <c r="A3070" t="s">
        <v>4886</v>
      </c>
      <c r="B3070" t="s">
        <v>2454</v>
      </c>
      <c r="C3070" t="s">
        <v>981</v>
      </c>
      <c r="D3070" t="s">
        <v>1053</v>
      </c>
      <c r="E3070">
        <v>3</v>
      </c>
      <c r="F3070">
        <f>_xlfn.XLOOKUP(Table1[[#This Row],[ProductID]],Products!A:A,Products!D:D,,0)</f>
        <v>200</v>
      </c>
      <c r="I3070">
        <v>899</v>
      </c>
      <c r="J3070">
        <v>809</v>
      </c>
      <c r="K3070" t="s">
        <v>1107</v>
      </c>
      <c r="L3070">
        <v>2427</v>
      </c>
      <c r="M3070" t="s">
        <v>1098</v>
      </c>
      <c r="N3070" t="s">
        <v>1099</v>
      </c>
      <c r="O3070">
        <f>Table1[[#This Row],[Unit_Price]]*Table1[[#This Row],[Quantity]]</f>
        <v>600</v>
      </c>
    </row>
    <row r="3071" spans="1:15" x14ac:dyDescent="0.3">
      <c r="A3071" t="s">
        <v>4887</v>
      </c>
      <c r="B3071" t="s">
        <v>1402</v>
      </c>
      <c r="C3071" t="s">
        <v>853</v>
      </c>
      <c r="D3071" t="s">
        <v>1053</v>
      </c>
      <c r="E3071">
        <v>2</v>
      </c>
      <c r="F3071">
        <f>_xlfn.XLOOKUP(Table1[[#This Row],[ProductID]],Products!A:A,Products!D:D,,0)</f>
        <v>200</v>
      </c>
      <c r="I3071">
        <v>899</v>
      </c>
      <c r="J3071">
        <v>899</v>
      </c>
      <c r="K3071" t="s">
        <v>1102</v>
      </c>
      <c r="L3071">
        <v>1798</v>
      </c>
      <c r="M3071" t="s">
        <v>1118</v>
      </c>
      <c r="N3071" t="s">
        <v>1099</v>
      </c>
      <c r="O3071">
        <f>Table1[[#This Row],[Unit_Price]]*Table1[[#This Row],[Quantity]]</f>
        <v>400</v>
      </c>
    </row>
    <row r="3072" spans="1:15" x14ac:dyDescent="0.3">
      <c r="A3072" t="s">
        <v>4888</v>
      </c>
      <c r="B3072" t="s">
        <v>2187</v>
      </c>
      <c r="C3072" t="s">
        <v>729</v>
      </c>
      <c r="D3072" t="s">
        <v>1062</v>
      </c>
      <c r="E3072">
        <v>1</v>
      </c>
      <c r="F3072">
        <f>_xlfn.XLOOKUP(Table1[[#This Row],[ProductID]],Products!A:A,Products!D:D,,0)</f>
        <v>95</v>
      </c>
      <c r="I3072">
        <v>349</v>
      </c>
      <c r="J3072">
        <v>314</v>
      </c>
      <c r="K3072" t="s">
        <v>1107</v>
      </c>
      <c r="L3072">
        <v>314</v>
      </c>
      <c r="M3072" t="s">
        <v>1093</v>
      </c>
      <c r="N3072" t="s">
        <v>1094</v>
      </c>
      <c r="O3072">
        <f>Table1[[#This Row],[Unit_Price]]*Table1[[#This Row],[Quantity]]</f>
        <v>95</v>
      </c>
    </row>
    <row r="3073" spans="1:15" x14ac:dyDescent="0.3">
      <c r="A3073" t="s">
        <v>4889</v>
      </c>
      <c r="B3073" t="s">
        <v>1929</v>
      </c>
      <c r="C3073" t="s">
        <v>647</v>
      </c>
      <c r="D3073" t="s">
        <v>1073</v>
      </c>
      <c r="E3073">
        <v>1</v>
      </c>
      <c r="F3073">
        <f>_xlfn.XLOOKUP(Table1[[#This Row],[ProductID]],Products!A:A,Products!D:D,,0)</f>
        <v>100</v>
      </c>
      <c r="I3073">
        <v>349</v>
      </c>
      <c r="J3073">
        <v>349</v>
      </c>
      <c r="K3073" t="s">
        <v>1102</v>
      </c>
      <c r="L3073">
        <v>349</v>
      </c>
      <c r="M3073" t="s">
        <v>1098</v>
      </c>
      <c r="N3073" t="s">
        <v>1099</v>
      </c>
      <c r="O3073">
        <f>Table1[[#This Row],[Unit_Price]]*Table1[[#This Row],[Quantity]]</f>
        <v>100</v>
      </c>
    </row>
    <row r="3074" spans="1:15" x14ac:dyDescent="0.3">
      <c r="A3074" t="s">
        <v>4890</v>
      </c>
      <c r="B3074" t="s">
        <v>2365</v>
      </c>
      <c r="C3074" t="s">
        <v>71</v>
      </c>
      <c r="D3074" t="s">
        <v>1073</v>
      </c>
      <c r="E3074">
        <v>4</v>
      </c>
      <c r="F3074">
        <f>_xlfn.XLOOKUP(Table1[[#This Row],[ProductID]],Products!A:A,Products!D:D,,0)</f>
        <v>100</v>
      </c>
      <c r="I3074">
        <v>349</v>
      </c>
      <c r="J3074">
        <v>314</v>
      </c>
      <c r="K3074" t="s">
        <v>1107</v>
      </c>
      <c r="L3074">
        <v>1256</v>
      </c>
      <c r="M3074" t="s">
        <v>1098</v>
      </c>
      <c r="N3074" t="s">
        <v>1099</v>
      </c>
      <c r="O3074">
        <f>Table1[[#This Row],[Unit_Price]]*Table1[[#This Row],[Quantity]]</f>
        <v>400</v>
      </c>
    </row>
    <row r="3075" spans="1:15" x14ac:dyDescent="0.3">
      <c r="A3075" t="s">
        <v>4891</v>
      </c>
      <c r="B3075" t="s">
        <v>1275</v>
      </c>
      <c r="C3075" t="s">
        <v>905</v>
      </c>
      <c r="D3075" t="s">
        <v>1051</v>
      </c>
      <c r="E3075">
        <v>4</v>
      </c>
      <c r="F3075">
        <f>_xlfn.XLOOKUP(Table1[[#This Row],[ProductID]],Products!A:A,Products!D:D,,0)</f>
        <v>150</v>
      </c>
      <c r="I3075">
        <v>499</v>
      </c>
      <c r="J3075">
        <v>499</v>
      </c>
      <c r="K3075" t="s">
        <v>1102</v>
      </c>
      <c r="L3075">
        <v>1996</v>
      </c>
      <c r="M3075" t="s">
        <v>1093</v>
      </c>
      <c r="N3075" t="s">
        <v>1094</v>
      </c>
      <c r="O3075">
        <f>Table1[[#This Row],[Unit_Price]]*Table1[[#This Row],[Quantity]]</f>
        <v>600</v>
      </c>
    </row>
    <row r="3076" spans="1:15" x14ac:dyDescent="0.3">
      <c r="A3076" t="s">
        <v>4892</v>
      </c>
      <c r="B3076" t="s">
        <v>3902</v>
      </c>
      <c r="C3076" t="s">
        <v>473</v>
      </c>
      <c r="D3076" t="s">
        <v>1078</v>
      </c>
      <c r="E3076">
        <v>1</v>
      </c>
      <c r="F3076">
        <f>_xlfn.XLOOKUP(Table1[[#This Row],[ProductID]],Products!A:A,Products!D:D,,0)</f>
        <v>80</v>
      </c>
      <c r="I3076">
        <v>499</v>
      </c>
      <c r="J3076">
        <v>424</v>
      </c>
      <c r="K3076" t="s">
        <v>1092</v>
      </c>
      <c r="L3076">
        <v>424</v>
      </c>
      <c r="M3076" t="s">
        <v>1098</v>
      </c>
      <c r="N3076" t="s">
        <v>1099</v>
      </c>
      <c r="O3076">
        <f>Table1[[#This Row],[Unit_Price]]*Table1[[#This Row],[Quantity]]</f>
        <v>80</v>
      </c>
    </row>
    <row r="3077" spans="1:15" x14ac:dyDescent="0.3">
      <c r="A3077" t="s">
        <v>4893</v>
      </c>
      <c r="B3077" t="s">
        <v>1674</v>
      </c>
      <c r="C3077" t="s">
        <v>711</v>
      </c>
      <c r="D3077" t="s">
        <v>1048</v>
      </c>
      <c r="E3077">
        <v>2</v>
      </c>
      <c r="F3077">
        <f>_xlfn.XLOOKUP(Table1[[#This Row],[ProductID]],Products!A:A,Products!D:D,,0)</f>
        <v>120</v>
      </c>
      <c r="I3077">
        <v>599</v>
      </c>
      <c r="J3077">
        <v>479</v>
      </c>
      <c r="K3077" t="s">
        <v>1097</v>
      </c>
      <c r="L3077">
        <v>958</v>
      </c>
      <c r="M3077" t="s">
        <v>1126</v>
      </c>
      <c r="N3077" t="s">
        <v>1099</v>
      </c>
      <c r="O3077">
        <f>Table1[[#This Row],[Unit_Price]]*Table1[[#This Row],[Quantity]]</f>
        <v>240</v>
      </c>
    </row>
    <row r="3078" spans="1:15" x14ac:dyDescent="0.3">
      <c r="A3078" t="s">
        <v>4894</v>
      </c>
      <c r="B3078" t="s">
        <v>1383</v>
      </c>
      <c r="C3078" t="s">
        <v>917</v>
      </c>
      <c r="D3078" t="s">
        <v>1066</v>
      </c>
      <c r="E3078">
        <v>1</v>
      </c>
      <c r="F3078">
        <f>_xlfn.XLOOKUP(Table1[[#This Row],[ProductID]],Products!A:A,Products!D:D,,0)</f>
        <v>140</v>
      </c>
      <c r="I3078">
        <v>499</v>
      </c>
      <c r="J3078">
        <v>424</v>
      </c>
      <c r="K3078" t="s">
        <v>1092</v>
      </c>
      <c r="L3078">
        <v>424</v>
      </c>
      <c r="M3078" t="s">
        <v>1098</v>
      </c>
      <c r="N3078" t="s">
        <v>1099</v>
      </c>
      <c r="O3078">
        <f>Table1[[#This Row],[Unit_Price]]*Table1[[#This Row],[Quantity]]</f>
        <v>140</v>
      </c>
    </row>
    <row r="3079" spans="1:15" x14ac:dyDescent="0.3">
      <c r="A3079" t="s">
        <v>4895</v>
      </c>
      <c r="B3079" t="s">
        <v>1414</v>
      </c>
      <c r="C3079" t="s">
        <v>457</v>
      </c>
      <c r="D3079" t="s">
        <v>1053</v>
      </c>
      <c r="E3079">
        <v>2</v>
      </c>
      <c r="F3079">
        <f>_xlfn.XLOOKUP(Table1[[#This Row],[ProductID]],Products!A:A,Products!D:D,,0)</f>
        <v>200</v>
      </c>
      <c r="I3079">
        <v>899</v>
      </c>
      <c r="J3079">
        <v>764</v>
      </c>
      <c r="K3079" t="s">
        <v>1092</v>
      </c>
      <c r="L3079">
        <v>1528</v>
      </c>
      <c r="M3079" t="s">
        <v>1093</v>
      </c>
      <c r="N3079" t="s">
        <v>1094</v>
      </c>
      <c r="O3079">
        <f>Table1[[#This Row],[Unit_Price]]*Table1[[#This Row],[Quantity]]</f>
        <v>400</v>
      </c>
    </row>
    <row r="3080" spans="1:15" x14ac:dyDescent="0.3">
      <c r="A3080" t="s">
        <v>4896</v>
      </c>
      <c r="B3080" t="s">
        <v>1634</v>
      </c>
      <c r="C3080" t="s">
        <v>209</v>
      </c>
      <c r="D3080" t="s">
        <v>1075</v>
      </c>
      <c r="E3080">
        <v>1</v>
      </c>
      <c r="F3080">
        <f>_xlfn.XLOOKUP(Table1[[#This Row],[ProductID]],Products!A:A,Products!D:D,,0)</f>
        <v>80</v>
      </c>
      <c r="I3080">
        <v>499</v>
      </c>
      <c r="J3080">
        <v>449</v>
      </c>
      <c r="K3080" t="s">
        <v>1107</v>
      </c>
      <c r="L3080">
        <v>449</v>
      </c>
      <c r="M3080" t="s">
        <v>1093</v>
      </c>
      <c r="N3080" t="s">
        <v>1123</v>
      </c>
      <c r="O3080">
        <f>Table1[[#This Row],[Unit_Price]]*Table1[[#This Row],[Quantity]]</f>
        <v>80</v>
      </c>
    </row>
    <row r="3081" spans="1:15" x14ac:dyDescent="0.3">
      <c r="A3081" t="s">
        <v>4897</v>
      </c>
      <c r="B3081" t="s">
        <v>1236</v>
      </c>
      <c r="C3081" t="s">
        <v>881</v>
      </c>
      <c r="D3081" t="s">
        <v>1068</v>
      </c>
      <c r="E3081">
        <v>2</v>
      </c>
      <c r="F3081">
        <f>_xlfn.XLOOKUP(Table1[[#This Row],[ProductID]],Products!A:A,Products!D:D,,0)</f>
        <v>180</v>
      </c>
      <c r="I3081">
        <v>449</v>
      </c>
      <c r="J3081">
        <v>404</v>
      </c>
      <c r="K3081" t="s">
        <v>1107</v>
      </c>
      <c r="L3081">
        <v>808</v>
      </c>
      <c r="M3081" t="s">
        <v>1098</v>
      </c>
      <c r="N3081" t="s">
        <v>1099</v>
      </c>
      <c r="O3081">
        <f>Table1[[#This Row],[Unit_Price]]*Table1[[#This Row],[Quantity]]</f>
        <v>360</v>
      </c>
    </row>
    <row r="3082" spans="1:15" x14ac:dyDescent="0.3">
      <c r="A3082" t="s">
        <v>4898</v>
      </c>
      <c r="B3082" t="s">
        <v>3448</v>
      </c>
      <c r="C3082" t="s">
        <v>959</v>
      </c>
      <c r="D3082" t="s">
        <v>1053</v>
      </c>
      <c r="E3082">
        <v>1</v>
      </c>
      <c r="F3082">
        <f>_xlfn.XLOOKUP(Table1[[#This Row],[ProductID]],Products!A:A,Products!D:D,,0)</f>
        <v>200</v>
      </c>
      <c r="I3082">
        <v>899</v>
      </c>
      <c r="J3082">
        <v>899</v>
      </c>
      <c r="K3082" t="s">
        <v>1102</v>
      </c>
      <c r="L3082">
        <v>899</v>
      </c>
      <c r="M3082" t="s">
        <v>1126</v>
      </c>
      <c r="N3082" t="s">
        <v>1099</v>
      </c>
      <c r="O3082">
        <f>Table1[[#This Row],[Unit_Price]]*Table1[[#This Row],[Quantity]]</f>
        <v>200</v>
      </c>
    </row>
    <row r="3083" spans="1:15" x14ac:dyDescent="0.3">
      <c r="A3083" t="s">
        <v>4899</v>
      </c>
      <c r="B3083" t="s">
        <v>2862</v>
      </c>
      <c r="C3083" t="s">
        <v>589</v>
      </c>
      <c r="D3083" t="s">
        <v>1071</v>
      </c>
      <c r="E3083">
        <v>1</v>
      </c>
      <c r="F3083">
        <f>_xlfn.XLOOKUP(Table1[[#This Row],[ProductID]],Products!A:A,Products!D:D,,0)</f>
        <v>125</v>
      </c>
      <c r="I3083">
        <v>399</v>
      </c>
      <c r="J3083">
        <v>359</v>
      </c>
      <c r="K3083" t="s">
        <v>1107</v>
      </c>
      <c r="L3083">
        <v>359</v>
      </c>
      <c r="M3083" t="s">
        <v>1126</v>
      </c>
      <c r="N3083" t="s">
        <v>1099</v>
      </c>
      <c r="O3083">
        <f>Table1[[#This Row],[Unit_Price]]*Table1[[#This Row],[Quantity]]</f>
        <v>125</v>
      </c>
    </row>
    <row r="3084" spans="1:15" x14ac:dyDescent="0.3">
      <c r="A3084" t="s">
        <v>4900</v>
      </c>
      <c r="B3084" t="s">
        <v>4372</v>
      </c>
      <c r="C3084" t="s">
        <v>91</v>
      </c>
      <c r="D3084" t="s">
        <v>1068</v>
      </c>
      <c r="E3084">
        <v>2</v>
      </c>
      <c r="F3084">
        <f>_xlfn.XLOOKUP(Table1[[#This Row],[ProductID]],Products!A:A,Products!D:D,,0)</f>
        <v>180</v>
      </c>
      <c r="I3084">
        <v>449</v>
      </c>
      <c r="J3084">
        <v>449</v>
      </c>
      <c r="K3084" t="s">
        <v>1102</v>
      </c>
      <c r="L3084">
        <v>898</v>
      </c>
      <c r="M3084" t="s">
        <v>1118</v>
      </c>
      <c r="N3084" t="s">
        <v>1099</v>
      </c>
      <c r="O3084">
        <f>Table1[[#This Row],[Unit_Price]]*Table1[[#This Row],[Quantity]]</f>
        <v>360</v>
      </c>
    </row>
    <row r="3085" spans="1:15" x14ac:dyDescent="0.3">
      <c r="A3085" t="s">
        <v>4901</v>
      </c>
      <c r="B3085" t="s">
        <v>1416</v>
      </c>
      <c r="C3085" t="s">
        <v>445</v>
      </c>
      <c r="D3085" t="s">
        <v>1062</v>
      </c>
      <c r="E3085">
        <v>1</v>
      </c>
      <c r="F3085">
        <f>_xlfn.XLOOKUP(Table1[[#This Row],[ProductID]],Products!A:A,Products!D:D,,0)</f>
        <v>95</v>
      </c>
      <c r="I3085">
        <v>349</v>
      </c>
      <c r="J3085">
        <v>297</v>
      </c>
      <c r="K3085" t="s">
        <v>1092</v>
      </c>
      <c r="L3085">
        <v>297</v>
      </c>
      <c r="M3085" t="s">
        <v>1093</v>
      </c>
      <c r="N3085" t="s">
        <v>1099</v>
      </c>
      <c r="O3085">
        <f>Table1[[#This Row],[Unit_Price]]*Table1[[#This Row],[Quantity]]</f>
        <v>95</v>
      </c>
    </row>
    <row r="3086" spans="1:15" x14ac:dyDescent="0.3">
      <c r="A3086" t="s">
        <v>4902</v>
      </c>
      <c r="B3086" t="s">
        <v>1965</v>
      </c>
      <c r="C3086" t="s">
        <v>735</v>
      </c>
      <c r="D3086" t="s">
        <v>1055</v>
      </c>
      <c r="E3086">
        <v>1</v>
      </c>
      <c r="F3086">
        <f>_xlfn.XLOOKUP(Table1[[#This Row],[ProductID]],Products!A:A,Products!D:D,,0)</f>
        <v>75</v>
      </c>
      <c r="I3086">
        <v>299</v>
      </c>
      <c r="J3086">
        <v>239</v>
      </c>
      <c r="K3086" t="s">
        <v>1097</v>
      </c>
      <c r="L3086">
        <v>239</v>
      </c>
      <c r="M3086" t="s">
        <v>1093</v>
      </c>
      <c r="N3086" t="s">
        <v>1099</v>
      </c>
      <c r="O3086">
        <f>Table1[[#This Row],[Unit_Price]]*Table1[[#This Row],[Quantity]]</f>
        <v>75</v>
      </c>
    </row>
    <row r="3087" spans="1:15" x14ac:dyDescent="0.3">
      <c r="A3087" t="s">
        <v>4903</v>
      </c>
      <c r="B3087" t="s">
        <v>3191</v>
      </c>
      <c r="C3087" t="s">
        <v>985</v>
      </c>
      <c r="D3087" t="s">
        <v>1066</v>
      </c>
      <c r="E3087">
        <v>2</v>
      </c>
      <c r="F3087">
        <f>_xlfn.XLOOKUP(Table1[[#This Row],[ProductID]],Products!A:A,Products!D:D,,0)</f>
        <v>140</v>
      </c>
      <c r="I3087">
        <v>499</v>
      </c>
      <c r="J3087">
        <v>499</v>
      </c>
      <c r="K3087" t="s">
        <v>1102</v>
      </c>
      <c r="L3087">
        <v>998</v>
      </c>
      <c r="M3087" t="s">
        <v>1093</v>
      </c>
      <c r="N3087" t="s">
        <v>1094</v>
      </c>
      <c r="O3087">
        <f>Table1[[#This Row],[Unit_Price]]*Table1[[#This Row],[Quantity]]</f>
        <v>280</v>
      </c>
    </row>
    <row r="3088" spans="1:15" x14ac:dyDescent="0.3">
      <c r="A3088" t="s">
        <v>4904</v>
      </c>
      <c r="B3088" t="s">
        <v>3067</v>
      </c>
      <c r="C3088" t="s">
        <v>1009</v>
      </c>
      <c r="D3088" t="s">
        <v>1051</v>
      </c>
      <c r="E3088">
        <v>1</v>
      </c>
      <c r="F3088">
        <f>_xlfn.XLOOKUP(Table1[[#This Row],[ProductID]],Products!A:A,Products!D:D,,0)</f>
        <v>150</v>
      </c>
      <c r="I3088">
        <v>499</v>
      </c>
      <c r="J3088">
        <v>449</v>
      </c>
      <c r="K3088" t="s">
        <v>1107</v>
      </c>
      <c r="L3088">
        <v>449</v>
      </c>
      <c r="M3088" t="s">
        <v>1098</v>
      </c>
      <c r="N3088" t="s">
        <v>1099</v>
      </c>
      <c r="O3088">
        <f>Table1[[#This Row],[Unit_Price]]*Table1[[#This Row],[Quantity]]</f>
        <v>150</v>
      </c>
    </row>
    <row r="3089" spans="1:15" x14ac:dyDescent="0.3">
      <c r="A3089" t="s">
        <v>4905</v>
      </c>
      <c r="B3089" t="s">
        <v>3470</v>
      </c>
      <c r="C3089" t="s">
        <v>907</v>
      </c>
      <c r="D3089" t="s">
        <v>1080</v>
      </c>
      <c r="E3089">
        <v>1</v>
      </c>
      <c r="F3089">
        <f>_xlfn.XLOOKUP(Table1[[#This Row],[ProductID]],Products!A:A,Products!D:D,,0)</f>
        <v>45</v>
      </c>
      <c r="I3089">
        <v>249</v>
      </c>
      <c r="J3089">
        <v>224</v>
      </c>
      <c r="K3089" t="s">
        <v>1107</v>
      </c>
      <c r="L3089">
        <v>224</v>
      </c>
      <c r="M3089" t="s">
        <v>1093</v>
      </c>
      <c r="N3089" t="s">
        <v>1099</v>
      </c>
      <c r="O3089">
        <f>Table1[[#This Row],[Unit_Price]]*Table1[[#This Row],[Quantity]]</f>
        <v>45</v>
      </c>
    </row>
    <row r="3090" spans="1:15" x14ac:dyDescent="0.3">
      <c r="A3090" t="s">
        <v>4906</v>
      </c>
      <c r="B3090" t="s">
        <v>1591</v>
      </c>
      <c r="C3090" t="s">
        <v>136</v>
      </c>
      <c r="D3090" t="s">
        <v>1068</v>
      </c>
      <c r="E3090">
        <v>1</v>
      </c>
      <c r="F3090">
        <f>_xlfn.XLOOKUP(Table1[[#This Row],[ProductID]],Products!A:A,Products!D:D,,0)</f>
        <v>180</v>
      </c>
      <c r="I3090">
        <v>449</v>
      </c>
      <c r="J3090">
        <v>404</v>
      </c>
      <c r="K3090" t="s">
        <v>1107</v>
      </c>
      <c r="L3090">
        <v>404</v>
      </c>
      <c r="M3090" t="s">
        <v>1126</v>
      </c>
      <c r="N3090" t="s">
        <v>1099</v>
      </c>
      <c r="O3090">
        <f>Table1[[#This Row],[Unit_Price]]*Table1[[#This Row],[Quantity]]</f>
        <v>180</v>
      </c>
    </row>
    <row r="3091" spans="1:15" x14ac:dyDescent="0.3">
      <c r="A3091" t="s">
        <v>4907</v>
      </c>
      <c r="B3091" t="s">
        <v>2963</v>
      </c>
      <c r="C3091" t="s">
        <v>737</v>
      </c>
      <c r="D3091" t="s">
        <v>1062</v>
      </c>
      <c r="E3091">
        <v>1</v>
      </c>
      <c r="F3091">
        <f>_xlfn.XLOOKUP(Table1[[#This Row],[ProductID]],Products!A:A,Products!D:D,,0)</f>
        <v>95</v>
      </c>
      <c r="I3091">
        <v>349</v>
      </c>
      <c r="J3091">
        <v>314</v>
      </c>
      <c r="K3091" t="s">
        <v>1107</v>
      </c>
      <c r="L3091">
        <v>314</v>
      </c>
      <c r="M3091" t="s">
        <v>1098</v>
      </c>
      <c r="N3091" t="s">
        <v>1099</v>
      </c>
      <c r="O3091">
        <f>Table1[[#This Row],[Unit_Price]]*Table1[[#This Row],[Quantity]]</f>
        <v>95</v>
      </c>
    </row>
    <row r="3092" spans="1:15" x14ac:dyDescent="0.3">
      <c r="A3092" t="s">
        <v>4908</v>
      </c>
      <c r="B3092" t="s">
        <v>2333</v>
      </c>
      <c r="C3092" t="s">
        <v>969</v>
      </c>
      <c r="D3092" t="s">
        <v>1053</v>
      </c>
      <c r="E3092">
        <v>1</v>
      </c>
      <c r="F3092">
        <f>_xlfn.XLOOKUP(Table1[[#This Row],[ProductID]],Products!A:A,Products!D:D,,0)</f>
        <v>200</v>
      </c>
      <c r="I3092">
        <v>899</v>
      </c>
      <c r="J3092">
        <v>719</v>
      </c>
      <c r="K3092" t="s">
        <v>1097</v>
      </c>
      <c r="L3092">
        <v>719</v>
      </c>
      <c r="M3092" t="s">
        <v>1098</v>
      </c>
      <c r="N3092" t="s">
        <v>1099</v>
      </c>
      <c r="O3092">
        <f>Table1[[#This Row],[Unit_Price]]*Table1[[#This Row],[Quantity]]</f>
        <v>200</v>
      </c>
    </row>
    <row r="3093" spans="1:15" x14ac:dyDescent="0.3">
      <c r="A3093" t="s">
        <v>4909</v>
      </c>
      <c r="B3093" t="s">
        <v>2137</v>
      </c>
      <c r="C3093" t="s">
        <v>719</v>
      </c>
      <c r="D3093" t="s">
        <v>1071</v>
      </c>
      <c r="E3093">
        <v>1</v>
      </c>
      <c r="F3093">
        <f>_xlfn.XLOOKUP(Table1[[#This Row],[ProductID]],Products!A:A,Products!D:D,,0)</f>
        <v>125</v>
      </c>
      <c r="I3093">
        <v>399</v>
      </c>
      <c r="J3093">
        <v>319</v>
      </c>
      <c r="K3093" t="s">
        <v>1097</v>
      </c>
      <c r="L3093">
        <v>319</v>
      </c>
      <c r="M3093" t="s">
        <v>1093</v>
      </c>
      <c r="N3093" t="s">
        <v>1094</v>
      </c>
      <c r="O3093">
        <f>Table1[[#This Row],[Unit_Price]]*Table1[[#This Row],[Quantity]]</f>
        <v>125</v>
      </c>
    </row>
    <row r="3094" spans="1:15" x14ac:dyDescent="0.3">
      <c r="A3094" t="s">
        <v>4910</v>
      </c>
      <c r="B3094" t="s">
        <v>1349</v>
      </c>
      <c r="C3094" t="s">
        <v>319</v>
      </c>
      <c r="D3094" t="s">
        <v>1048</v>
      </c>
      <c r="E3094">
        <v>3</v>
      </c>
      <c r="F3094">
        <f>_xlfn.XLOOKUP(Table1[[#This Row],[ProductID]],Products!A:A,Products!D:D,,0)</f>
        <v>120</v>
      </c>
      <c r="I3094">
        <v>599</v>
      </c>
      <c r="J3094">
        <v>539</v>
      </c>
      <c r="K3094" t="s">
        <v>1107</v>
      </c>
      <c r="L3094">
        <v>1617</v>
      </c>
      <c r="M3094" t="s">
        <v>1098</v>
      </c>
      <c r="N3094" t="s">
        <v>1099</v>
      </c>
      <c r="O3094">
        <f>Table1[[#This Row],[Unit_Price]]*Table1[[#This Row],[Quantity]]</f>
        <v>360</v>
      </c>
    </row>
    <row r="3095" spans="1:15" x14ac:dyDescent="0.3">
      <c r="A3095" t="s">
        <v>4911</v>
      </c>
      <c r="B3095" t="s">
        <v>1909</v>
      </c>
      <c r="C3095" t="s">
        <v>573</v>
      </c>
      <c r="D3095" t="s">
        <v>1057</v>
      </c>
      <c r="E3095">
        <v>1</v>
      </c>
      <c r="F3095">
        <f>_xlfn.XLOOKUP(Table1[[#This Row],[ProductID]],Products!A:A,Products!D:D,,0)</f>
        <v>130</v>
      </c>
      <c r="I3095">
        <v>549</v>
      </c>
      <c r="J3095">
        <v>549</v>
      </c>
      <c r="K3095" t="s">
        <v>1102</v>
      </c>
      <c r="L3095">
        <v>549</v>
      </c>
      <c r="M3095" t="s">
        <v>1098</v>
      </c>
      <c r="N3095" t="s">
        <v>1099</v>
      </c>
      <c r="O3095">
        <f>Table1[[#This Row],[Unit_Price]]*Table1[[#This Row],[Quantity]]</f>
        <v>130</v>
      </c>
    </row>
    <row r="3096" spans="1:15" x14ac:dyDescent="0.3">
      <c r="A3096" t="s">
        <v>4912</v>
      </c>
      <c r="B3096" t="s">
        <v>1406</v>
      </c>
      <c r="C3096" t="s">
        <v>257</v>
      </c>
      <c r="D3096" t="s">
        <v>1078</v>
      </c>
      <c r="E3096">
        <v>1</v>
      </c>
      <c r="F3096">
        <f>_xlfn.XLOOKUP(Table1[[#This Row],[ProductID]],Products!A:A,Products!D:D,,0)</f>
        <v>80</v>
      </c>
      <c r="I3096">
        <v>499</v>
      </c>
      <c r="J3096">
        <v>424</v>
      </c>
      <c r="K3096" t="s">
        <v>1092</v>
      </c>
      <c r="L3096">
        <v>424</v>
      </c>
      <c r="M3096" t="s">
        <v>1098</v>
      </c>
      <c r="N3096" t="s">
        <v>1099</v>
      </c>
      <c r="O3096">
        <f>Table1[[#This Row],[Unit_Price]]*Table1[[#This Row],[Quantity]]</f>
        <v>80</v>
      </c>
    </row>
    <row r="3097" spans="1:15" x14ac:dyDescent="0.3">
      <c r="A3097" t="s">
        <v>4913</v>
      </c>
      <c r="B3097" t="s">
        <v>1549</v>
      </c>
      <c r="C3097" t="s">
        <v>219</v>
      </c>
      <c r="D3097" t="s">
        <v>1073</v>
      </c>
      <c r="E3097">
        <v>1</v>
      </c>
      <c r="F3097">
        <f>_xlfn.XLOOKUP(Table1[[#This Row],[ProductID]],Products!A:A,Products!D:D,,0)</f>
        <v>100</v>
      </c>
      <c r="I3097">
        <v>349</v>
      </c>
      <c r="J3097">
        <v>297</v>
      </c>
      <c r="K3097" t="s">
        <v>1092</v>
      </c>
      <c r="L3097">
        <v>297</v>
      </c>
      <c r="M3097" t="s">
        <v>1126</v>
      </c>
      <c r="N3097" t="s">
        <v>1123</v>
      </c>
      <c r="O3097">
        <f>Table1[[#This Row],[Unit_Price]]*Table1[[#This Row],[Quantity]]</f>
        <v>100</v>
      </c>
    </row>
    <row r="3098" spans="1:15" x14ac:dyDescent="0.3">
      <c r="A3098" t="s">
        <v>4914</v>
      </c>
      <c r="B3098" t="s">
        <v>1351</v>
      </c>
      <c r="C3098" t="s">
        <v>727</v>
      </c>
      <c r="D3098" t="s">
        <v>1068</v>
      </c>
      <c r="E3098">
        <v>3</v>
      </c>
      <c r="F3098">
        <f>_xlfn.XLOOKUP(Table1[[#This Row],[ProductID]],Products!A:A,Products!D:D,,0)</f>
        <v>180</v>
      </c>
      <c r="I3098">
        <v>449</v>
      </c>
      <c r="J3098">
        <v>404</v>
      </c>
      <c r="K3098" t="s">
        <v>1107</v>
      </c>
      <c r="L3098">
        <v>1212</v>
      </c>
      <c r="M3098" t="s">
        <v>1093</v>
      </c>
      <c r="N3098" t="s">
        <v>1099</v>
      </c>
      <c r="O3098">
        <f>Table1[[#This Row],[Unit_Price]]*Table1[[#This Row],[Quantity]]</f>
        <v>540</v>
      </c>
    </row>
    <row r="3099" spans="1:15" x14ac:dyDescent="0.3">
      <c r="A3099" t="s">
        <v>4915</v>
      </c>
      <c r="B3099" t="s">
        <v>2967</v>
      </c>
      <c r="C3099" t="s">
        <v>811</v>
      </c>
      <c r="D3099" t="s">
        <v>1068</v>
      </c>
      <c r="E3099">
        <v>1</v>
      </c>
      <c r="F3099">
        <f>_xlfn.XLOOKUP(Table1[[#This Row],[ProductID]],Products!A:A,Products!D:D,,0)</f>
        <v>180</v>
      </c>
      <c r="I3099">
        <v>449</v>
      </c>
      <c r="J3099">
        <v>449</v>
      </c>
      <c r="K3099" t="s">
        <v>1102</v>
      </c>
      <c r="L3099">
        <v>449</v>
      </c>
      <c r="M3099" t="s">
        <v>1098</v>
      </c>
      <c r="N3099" t="s">
        <v>1099</v>
      </c>
      <c r="O3099">
        <f>Table1[[#This Row],[Unit_Price]]*Table1[[#This Row],[Quantity]]</f>
        <v>180</v>
      </c>
    </row>
    <row r="3100" spans="1:15" x14ac:dyDescent="0.3">
      <c r="A3100" t="s">
        <v>4916</v>
      </c>
      <c r="B3100" t="s">
        <v>1911</v>
      </c>
      <c r="C3100" t="s">
        <v>985</v>
      </c>
      <c r="D3100" t="s">
        <v>1075</v>
      </c>
      <c r="E3100">
        <v>1</v>
      </c>
      <c r="F3100">
        <f>_xlfn.XLOOKUP(Table1[[#This Row],[ProductID]],Products!A:A,Products!D:D,,0)</f>
        <v>80</v>
      </c>
      <c r="I3100">
        <v>499</v>
      </c>
      <c r="J3100">
        <v>399</v>
      </c>
      <c r="K3100" t="s">
        <v>1097</v>
      </c>
      <c r="L3100">
        <v>399</v>
      </c>
      <c r="M3100" t="s">
        <v>1093</v>
      </c>
      <c r="N3100" t="s">
        <v>1123</v>
      </c>
      <c r="O3100">
        <f>Table1[[#This Row],[Unit_Price]]*Table1[[#This Row],[Quantity]]</f>
        <v>80</v>
      </c>
    </row>
    <row r="3101" spans="1:15" x14ac:dyDescent="0.3">
      <c r="A3101" t="s">
        <v>4917</v>
      </c>
      <c r="B3101" t="s">
        <v>1674</v>
      </c>
      <c r="C3101" t="s">
        <v>453</v>
      </c>
      <c r="D3101" t="s">
        <v>1059</v>
      </c>
      <c r="E3101">
        <v>2</v>
      </c>
      <c r="F3101">
        <f>_xlfn.XLOOKUP(Table1[[#This Row],[ProductID]],Products!A:A,Products!D:D,,0)</f>
        <v>110</v>
      </c>
      <c r="I3101">
        <v>399</v>
      </c>
      <c r="J3101">
        <v>339</v>
      </c>
      <c r="K3101" t="s">
        <v>1092</v>
      </c>
      <c r="L3101">
        <v>678</v>
      </c>
      <c r="M3101" t="s">
        <v>1098</v>
      </c>
      <c r="N3101" t="s">
        <v>1099</v>
      </c>
      <c r="O3101">
        <f>Table1[[#This Row],[Unit_Price]]*Table1[[#This Row],[Quantity]]</f>
        <v>220</v>
      </c>
    </row>
    <row r="3102" spans="1:15" x14ac:dyDescent="0.3">
      <c r="A3102" t="s">
        <v>4918</v>
      </c>
      <c r="B3102" t="s">
        <v>1408</v>
      </c>
      <c r="C3102" t="s">
        <v>152</v>
      </c>
      <c r="D3102" t="s">
        <v>1068</v>
      </c>
      <c r="E3102">
        <v>1</v>
      </c>
      <c r="F3102">
        <f>_xlfn.XLOOKUP(Table1[[#This Row],[ProductID]],Products!A:A,Products!D:D,,0)</f>
        <v>180</v>
      </c>
      <c r="I3102">
        <v>449</v>
      </c>
      <c r="J3102">
        <v>382</v>
      </c>
      <c r="K3102" t="s">
        <v>1092</v>
      </c>
      <c r="L3102">
        <v>382</v>
      </c>
      <c r="M3102" t="s">
        <v>1098</v>
      </c>
      <c r="N3102" t="s">
        <v>1099</v>
      </c>
      <c r="O3102">
        <f>Table1[[#This Row],[Unit_Price]]*Table1[[#This Row],[Quantity]]</f>
        <v>180</v>
      </c>
    </row>
    <row r="3103" spans="1:15" x14ac:dyDescent="0.3">
      <c r="A3103" t="s">
        <v>4919</v>
      </c>
      <c r="B3103" t="s">
        <v>2109</v>
      </c>
      <c r="C3103" t="s">
        <v>949</v>
      </c>
      <c r="D3103" t="s">
        <v>1080</v>
      </c>
      <c r="E3103">
        <v>1</v>
      </c>
      <c r="F3103">
        <f>_xlfn.XLOOKUP(Table1[[#This Row],[ProductID]],Products!A:A,Products!D:D,,0)</f>
        <v>45</v>
      </c>
      <c r="I3103">
        <v>249</v>
      </c>
      <c r="J3103">
        <v>249</v>
      </c>
      <c r="K3103" t="s">
        <v>1102</v>
      </c>
      <c r="L3103">
        <v>249</v>
      </c>
      <c r="M3103" t="s">
        <v>1098</v>
      </c>
      <c r="N3103" t="s">
        <v>1099</v>
      </c>
      <c r="O3103">
        <f>Table1[[#This Row],[Unit_Price]]*Table1[[#This Row],[Quantity]]</f>
        <v>45</v>
      </c>
    </row>
    <row r="3104" spans="1:15" x14ac:dyDescent="0.3">
      <c r="A3104" t="s">
        <v>4920</v>
      </c>
      <c r="B3104" t="s">
        <v>3466</v>
      </c>
      <c r="C3104" t="s">
        <v>375</v>
      </c>
      <c r="D3104" t="s">
        <v>1048</v>
      </c>
      <c r="E3104">
        <v>2</v>
      </c>
      <c r="F3104">
        <f>_xlfn.XLOOKUP(Table1[[#This Row],[ProductID]],Products!A:A,Products!D:D,,0)</f>
        <v>120</v>
      </c>
      <c r="I3104">
        <v>599</v>
      </c>
      <c r="J3104">
        <v>479</v>
      </c>
      <c r="K3104" t="s">
        <v>1097</v>
      </c>
      <c r="L3104">
        <v>958</v>
      </c>
      <c r="M3104" t="s">
        <v>1093</v>
      </c>
      <c r="N3104" t="s">
        <v>1094</v>
      </c>
      <c r="O3104">
        <f>Table1[[#This Row],[Unit_Price]]*Table1[[#This Row],[Quantity]]</f>
        <v>240</v>
      </c>
    </row>
    <row r="3105" spans="1:15" x14ac:dyDescent="0.3">
      <c r="A3105" t="s">
        <v>4921</v>
      </c>
      <c r="B3105" t="s">
        <v>1101</v>
      </c>
      <c r="C3105" t="s">
        <v>171</v>
      </c>
      <c r="D3105" t="s">
        <v>1071</v>
      </c>
      <c r="E3105">
        <v>1</v>
      </c>
      <c r="F3105">
        <f>_xlfn.XLOOKUP(Table1[[#This Row],[ProductID]],Products!A:A,Products!D:D,,0)</f>
        <v>125</v>
      </c>
      <c r="I3105">
        <v>399</v>
      </c>
      <c r="J3105">
        <v>399</v>
      </c>
      <c r="K3105" t="s">
        <v>1102</v>
      </c>
      <c r="L3105">
        <v>399</v>
      </c>
      <c r="M3105" t="s">
        <v>1093</v>
      </c>
      <c r="N3105" t="s">
        <v>1099</v>
      </c>
      <c r="O3105">
        <f>Table1[[#This Row],[Unit_Price]]*Table1[[#This Row],[Quantity]]</f>
        <v>125</v>
      </c>
    </row>
    <row r="3106" spans="1:15" x14ac:dyDescent="0.3">
      <c r="A3106" t="s">
        <v>4922</v>
      </c>
      <c r="B3106" t="s">
        <v>2070</v>
      </c>
      <c r="C3106" t="s">
        <v>701</v>
      </c>
      <c r="D3106" t="s">
        <v>1062</v>
      </c>
      <c r="E3106">
        <v>1</v>
      </c>
      <c r="F3106">
        <f>_xlfn.XLOOKUP(Table1[[#This Row],[ProductID]],Products!A:A,Products!D:D,,0)</f>
        <v>95</v>
      </c>
      <c r="I3106">
        <v>349</v>
      </c>
      <c r="J3106">
        <v>279</v>
      </c>
      <c r="K3106" t="s">
        <v>1097</v>
      </c>
      <c r="L3106">
        <v>279</v>
      </c>
      <c r="M3106" t="s">
        <v>1098</v>
      </c>
      <c r="N3106" t="s">
        <v>1099</v>
      </c>
      <c r="O3106">
        <f>Table1[[#This Row],[Unit_Price]]*Table1[[#This Row],[Quantity]]</f>
        <v>95</v>
      </c>
    </row>
    <row r="3107" spans="1:15" x14ac:dyDescent="0.3">
      <c r="A3107" t="s">
        <v>4923</v>
      </c>
      <c r="B3107" t="s">
        <v>1570</v>
      </c>
      <c r="C3107" t="s">
        <v>987</v>
      </c>
      <c r="D3107" t="s">
        <v>1053</v>
      </c>
      <c r="E3107">
        <v>1</v>
      </c>
      <c r="F3107">
        <f>_xlfn.XLOOKUP(Table1[[#This Row],[ProductID]],Products!A:A,Products!D:D,,0)</f>
        <v>200</v>
      </c>
      <c r="I3107">
        <v>899</v>
      </c>
      <c r="J3107">
        <v>899</v>
      </c>
      <c r="K3107" t="s">
        <v>1102</v>
      </c>
      <c r="L3107">
        <v>899</v>
      </c>
      <c r="M3107" t="s">
        <v>1093</v>
      </c>
      <c r="N3107" t="s">
        <v>1099</v>
      </c>
      <c r="O3107">
        <f>Table1[[#This Row],[Unit_Price]]*Table1[[#This Row],[Quantity]]</f>
        <v>200</v>
      </c>
    </row>
    <row r="3108" spans="1:15" x14ac:dyDescent="0.3">
      <c r="A3108" t="s">
        <v>4924</v>
      </c>
      <c r="B3108" t="s">
        <v>1463</v>
      </c>
      <c r="C3108" t="s">
        <v>773</v>
      </c>
      <c r="D3108" t="s">
        <v>1080</v>
      </c>
      <c r="E3108">
        <v>1</v>
      </c>
      <c r="F3108">
        <f>_xlfn.XLOOKUP(Table1[[#This Row],[ProductID]],Products!A:A,Products!D:D,,0)</f>
        <v>45</v>
      </c>
      <c r="I3108">
        <v>249</v>
      </c>
      <c r="J3108">
        <v>249</v>
      </c>
      <c r="K3108" t="s">
        <v>1102</v>
      </c>
      <c r="L3108">
        <v>249</v>
      </c>
      <c r="M3108" t="s">
        <v>1098</v>
      </c>
      <c r="N3108" t="s">
        <v>1099</v>
      </c>
      <c r="O3108">
        <f>Table1[[#This Row],[Unit_Price]]*Table1[[#This Row],[Quantity]]</f>
        <v>45</v>
      </c>
    </row>
    <row r="3109" spans="1:15" x14ac:dyDescent="0.3">
      <c r="A3109" t="s">
        <v>4925</v>
      </c>
      <c r="B3109" t="s">
        <v>3289</v>
      </c>
      <c r="C3109" t="s">
        <v>769</v>
      </c>
      <c r="D3109" t="s">
        <v>1062</v>
      </c>
      <c r="E3109">
        <v>1</v>
      </c>
      <c r="F3109">
        <f>_xlfn.XLOOKUP(Table1[[#This Row],[ProductID]],Products!A:A,Products!D:D,,0)</f>
        <v>95</v>
      </c>
      <c r="I3109">
        <v>349</v>
      </c>
      <c r="J3109">
        <v>314</v>
      </c>
      <c r="K3109" t="s">
        <v>1107</v>
      </c>
      <c r="L3109">
        <v>314</v>
      </c>
      <c r="M3109" t="s">
        <v>1098</v>
      </c>
      <c r="N3109" t="s">
        <v>1099</v>
      </c>
      <c r="O3109">
        <f>Table1[[#This Row],[Unit_Price]]*Table1[[#This Row],[Quantity]]</f>
        <v>95</v>
      </c>
    </row>
    <row r="3110" spans="1:15" x14ac:dyDescent="0.3">
      <c r="A3110" t="s">
        <v>4926</v>
      </c>
      <c r="B3110" t="s">
        <v>1765</v>
      </c>
      <c r="C3110" t="s">
        <v>291</v>
      </c>
      <c r="D3110" t="s">
        <v>1055</v>
      </c>
      <c r="E3110">
        <v>2</v>
      </c>
      <c r="F3110">
        <f>_xlfn.XLOOKUP(Table1[[#This Row],[ProductID]],Products!A:A,Products!D:D,,0)</f>
        <v>75</v>
      </c>
      <c r="I3110">
        <v>299</v>
      </c>
      <c r="J3110">
        <v>269</v>
      </c>
      <c r="K3110" t="s">
        <v>1107</v>
      </c>
      <c r="L3110">
        <v>538</v>
      </c>
      <c r="M3110" t="s">
        <v>1098</v>
      </c>
      <c r="N3110" t="s">
        <v>1099</v>
      </c>
      <c r="O3110">
        <f>Table1[[#This Row],[Unit_Price]]*Table1[[#This Row],[Quantity]]</f>
        <v>150</v>
      </c>
    </row>
    <row r="3111" spans="1:15" x14ac:dyDescent="0.3">
      <c r="A3111" t="s">
        <v>4927</v>
      </c>
      <c r="B3111" t="s">
        <v>1774</v>
      </c>
      <c r="C3111" t="s">
        <v>521</v>
      </c>
      <c r="D3111" t="s">
        <v>1057</v>
      </c>
      <c r="E3111">
        <v>2</v>
      </c>
      <c r="F3111">
        <f>_xlfn.XLOOKUP(Table1[[#This Row],[ProductID]],Products!A:A,Products!D:D,,0)</f>
        <v>130</v>
      </c>
      <c r="I3111">
        <v>549</v>
      </c>
      <c r="J3111">
        <v>549</v>
      </c>
      <c r="K3111" t="s">
        <v>1102</v>
      </c>
      <c r="L3111">
        <v>1098</v>
      </c>
      <c r="M3111" t="s">
        <v>1126</v>
      </c>
      <c r="N3111" t="s">
        <v>1099</v>
      </c>
      <c r="O3111">
        <f>Table1[[#This Row],[Unit_Price]]*Table1[[#This Row],[Quantity]]</f>
        <v>260</v>
      </c>
    </row>
    <row r="3112" spans="1:15" x14ac:dyDescent="0.3">
      <c r="A3112" t="s">
        <v>4928</v>
      </c>
      <c r="B3112" t="s">
        <v>1509</v>
      </c>
      <c r="C3112" t="s">
        <v>373</v>
      </c>
      <c r="D3112" t="s">
        <v>1057</v>
      </c>
      <c r="E3112">
        <v>2</v>
      </c>
      <c r="F3112">
        <f>_xlfn.XLOOKUP(Table1[[#This Row],[ProductID]],Products!A:A,Products!D:D,,0)</f>
        <v>130</v>
      </c>
      <c r="I3112">
        <v>549</v>
      </c>
      <c r="J3112">
        <v>439</v>
      </c>
      <c r="K3112" t="s">
        <v>1097</v>
      </c>
      <c r="L3112">
        <v>878</v>
      </c>
      <c r="M3112" t="s">
        <v>1093</v>
      </c>
      <c r="N3112" t="s">
        <v>1099</v>
      </c>
      <c r="O3112">
        <f>Table1[[#This Row],[Unit_Price]]*Table1[[#This Row],[Quantity]]</f>
        <v>260</v>
      </c>
    </row>
    <row r="3113" spans="1:15" x14ac:dyDescent="0.3">
      <c r="A3113" t="s">
        <v>4929</v>
      </c>
      <c r="B3113" t="s">
        <v>2294</v>
      </c>
      <c r="C3113" t="s">
        <v>611</v>
      </c>
      <c r="D3113" t="s">
        <v>1059</v>
      </c>
      <c r="E3113">
        <v>1</v>
      </c>
      <c r="F3113">
        <f>_xlfn.XLOOKUP(Table1[[#This Row],[ProductID]],Products!A:A,Products!D:D,,0)</f>
        <v>110</v>
      </c>
      <c r="I3113">
        <v>399</v>
      </c>
      <c r="J3113">
        <v>359</v>
      </c>
      <c r="K3113" t="s">
        <v>1107</v>
      </c>
      <c r="L3113">
        <v>359</v>
      </c>
      <c r="M3113" t="s">
        <v>1093</v>
      </c>
      <c r="N3113" t="s">
        <v>1099</v>
      </c>
      <c r="O3113">
        <f>Table1[[#This Row],[Unit_Price]]*Table1[[#This Row],[Quantity]]</f>
        <v>110</v>
      </c>
    </row>
    <row r="3114" spans="1:15" x14ac:dyDescent="0.3">
      <c r="A3114" t="s">
        <v>4930</v>
      </c>
      <c r="B3114" t="s">
        <v>1327</v>
      </c>
      <c r="C3114" t="s">
        <v>183</v>
      </c>
      <c r="D3114" t="s">
        <v>1059</v>
      </c>
      <c r="E3114">
        <v>3</v>
      </c>
      <c r="F3114">
        <f>_xlfn.XLOOKUP(Table1[[#This Row],[ProductID]],Products!A:A,Products!D:D,,0)</f>
        <v>110</v>
      </c>
      <c r="I3114">
        <v>399</v>
      </c>
      <c r="J3114">
        <v>339</v>
      </c>
      <c r="K3114" t="s">
        <v>1092</v>
      </c>
      <c r="L3114">
        <v>1017</v>
      </c>
      <c r="M3114" t="s">
        <v>1098</v>
      </c>
      <c r="N3114" t="s">
        <v>1099</v>
      </c>
      <c r="O3114">
        <f>Table1[[#This Row],[Unit_Price]]*Table1[[#This Row],[Quantity]]</f>
        <v>330</v>
      </c>
    </row>
    <row r="3115" spans="1:15" x14ac:dyDescent="0.3">
      <c r="A3115" t="s">
        <v>4931</v>
      </c>
      <c r="B3115" t="s">
        <v>2496</v>
      </c>
      <c r="C3115" t="s">
        <v>667</v>
      </c>
      <c r="D3115" t="s">
        <v>1066</v>
      </c>
      <c r="E3115">
        <v>1</v>
      </c>
      <c r="F3115">
        <f>_xlfn.XLOOKUP(Table1[[#This Row],[ProductID]],Products!A:A,Products!D:D,,0)</f>
        <v>140</v>
      </c>
      <c r="I3115">
        <v>499</v>
      </c>
      <c r="J3115">
        <v>424</v>
      </c>
      <c r="K3115" t="s">
        <v>1092</v>
      </c>
      <c r="L3115">
        <v>424</v>
      </c>
      <c r="M3115" t="s">
        <v>1093</v>
      </c>
      <c r="N3115" t="s">
        <v>1099</v>
      </c>
      <c r="O3115">
        <f>Table1[[#This Row],[Unit_Price]]*Table1[[#This Row],[Quantity]]</f>
        <v>140</v>
      </c>
    </row>
    <row r="3116" spans="1:15" x14ac:dyDescent="0.3">
      <c r="A3116" t="s">
        <v>4932</v>
      </c>
      <c r="B3116" t="s">
        <v>2116</v>
      </c>
      <c r="C3116" t="s">
        <v>347</v>
      </c>
      <c r="D3116" t="s">
        <v>1051</v>
      </c>
      <c r="E3116">
        <v>1</v>
      </c>
      <c r="F3116">
        <f>_xlfn.XLOOKUP(Table1[[#This Row],[ProductID]],Products!A:A,Products!D:D,,0)</f>
        <v>150</v>
      </c>
      <c r="I3116">
        <v>499</v>
      </c>
      <c r="J3116">
        <v>499</v>
      </c>
      <c r="K3116" t="s">
        <v>1102</v>
      </c>
      <c r="L3116">
        <v>499</v>
      </c>
      <c r="M3116" t="s">
        <v>1126</v>
      </c>
      <c r="N3116" t="s">
        <v>1099</v>
      </c>
      <c r="O3116">
        <f>Table1[[#This Row],[Unit_Price]]*Table1[[#This Row],[Quantity]]</f>
        <v>150</v>
      </c>
    </row>
    <row r="3117" spans="1:15" x14ac:dyDescent="0.3">
      <c r="A3117" t="s">
        <v>4933</v>
      </c>
      <c r="B3117" t="s">
        <v>2148</v>
      </c>
      <c r="C3117" t="s">
        <v>1015</v>
      </c>
      <c r="D3117" t="s">
        <v>1071</v>
      </c>
      <c r="E3117">
        <v>3</v>
      </c>
      <c r="F3117">
        <f>_xlfn.XLOOKUP(Table1[[#This Row],[ProductID]],Products!A:A,Products!D:D,,0)</f>
        <v>125</v>
      </c>
      <c r="I3117">
        <v>399</v>
      </c>
      <c r="J3117">
        <v>359</v>
      </c>
      <c r="K3117" t="s">
        <v>1107</v>
      </c>
      <c r="L3117">
        <v>1077</v>
      </c>
      <c r="M3117" t="s">
        <v>1098</v>
      </c>
      <c r="N3117" t="s">
        <v>1099</v>
      </c>
      <c r="O3117">
        <f>Table1[[#This Row],[Unit_Price]]*Table1[[#This Row],[Quantity]]</f>
        <v>375</v>
      </c>
    </row>
    <row r="3118" spans="1:15" x14ac:dyDescent="0.3">
      <c r="A3118" t="s">
        <v>4934</v>
      </c>
      <c r="B3118" t="s">
        <v>1898</v>
      </c>
      <c r="C3118" t="s">
        <v>18</v>
      </c>
      <c r="D3118" t="s">
        <v>1053</v>
      </c>
      <c r="E3118">
        <v>1</v>
      </c>
      <c r="F3118">
        <f>_xlfn.XLOOKUP(Table1[[#This Row],[ProductID]],Products!A:A,Products!D:D,,0)</f>
        <v>200</v>
      </c>
      <c r="I3118">
        <v>899</v>
      </c>
      <c r="J3118">
        <v>899</v>
      </c>
      <c r="K3118" t="s">
        <v>1102</v>
      </c>
      <c r="L3118">
        <v>899</v>
      </c>
      <c r="M3118" t="s">
        <v>1126</v>
      </c>
      <c r="N3118" t="s">
        <v>1099</v>
      </c>
      <c r="O3118">
        <f>Table1[[#This Row],[Unit_Price]]*Table1[[#This Row],[Quantity]]</f>
        <v>200</v>
      </c>
    </row>
    <row r="3119" spans="1:15" x14ac:dyDescent="0.3">
      <c r="A3119" t="s">
        <v>4935</v>
      </c>
      <c r="B3119" t="s">
        <v>1752</v>
      </c>
      <c r="C3119" t="s">
        <v>549</v>
      </c>
      <c r="D3119" t="s">
        <v>1055</v>
      </c>
      <c r="E3119">
        <v>3</v>
      </c>
      <c r="F3119">
        <f>_xlfn.XLOOKUP(Table1[[#This Row],[ProductID]],Products!A:A,Products!D:D,,0)</f>
        <v>75</v>
      </c>
      <c r="I3119">
        <v>299</v>
      </c>
      <c r="J3119">
        <v>299</v>
      </c>
      <c r="K3119" t="s">
        <v>1102</v>
      </c>
      <c r="L3119">
        <v>897</v>
      </c>
      <c r="M3119" t="s">
        <v>1098</v>
      </c>
      <c r="N3119" t="s">
        <v>1099</v>
      </c>
      <c r="O3119">
        <f>Table1[[#This Row],[Unit_Price]]*Table1[[#This Row],[Quantity]]</f>
        <v>225</v>
      </c>
    </row>
    <row r="3120" spans="1:15" x14ac:dyDescent="0.3">
      <c r="A3120" t="s">
        <v>4936</v>
      </c>
      <c r="B3120" t="s">
        <v>2019</v>
      </c>
      <c r="C3120" t="s">
        <v>411</v>
      </c>
      <c r="D3120" t="s">
        <v>1066</v>
      </c>
      <c r="E3120">
        <v>3</v>
      </c>
      <c r="F3120">
        <f>_xlfn.XLOOKUP(Table1[[#This Row],[ProductID]],Products!A:A,Products!D:D,,0)</f>
        <v>140</v>
      </c>
      <c r="I3120">
        <v>499</v>
      </c>
      <c r="J3120">
        <v>499</v>
      </c>
      <c r="K3120" t="s">
        <v>1102</v>
      </c>
      <c r="L3120">
        <v>1497</v>
      </c>
      <c r="M3120" t="s">
        <v>1093</v>
      </c>
      <c r="N3120" t="s">
        <v>1099</v>
      </c>
      <c r="O3120">
        <f>Table1[[#This Row],[Unit_Price]]*Table1[[#This Row],[Quantity]]</f>
        <v>420</v>
      </c>
    </row>
    <row r="3121" spans="1:15" x14ac:dyDescent="0.3">
      <c r="A3121" t="s">
        <v>4937</v>
      </c>
      <c r="B3121" t="s">
        <v>4938</v>
      </c>
      <c r="C3121" t="s">
        <v>841</v>
      </c>
      <c r="D3121" t="s">
        <v>1075</v>
      </c>
      <c r="E3121">
        <v>1</v>
      </c>
      <c r="F3121">
        <f>_xlfn.XLOOKUP(Table1[[#This Row],[ProductID]],Products!A:A,Products!D:D,,0)</f>
        <v>80</v>
      </c>
      <c r="I3121">
        <v>499</v>
      </c>
      <c r="J3121">
        <v>499</v>
      </c>
      <c r="K3121" t="s">
        <v>1102</v>
      </c>
      <c r="L3121">
        <v>499</v>
      </c>
      <c r="M3121" t="s">
        <v>1098</v>
      </c>
      <c r="N3121" t="s">
        <v>1099</v>
      </c>
      <c r="O3121">
        <f>Table1[[#This Row],[Unit_Price]]*Table1[[#This Row],[Quantity]]</f>
        <v>80</v>
      </c>
    </row>
    <row r="3122" spans="1:15" x14ac:dyDescent="0.3">
      <c r="A3122" t="s">
        <v>4939</v>
      </c>
      <c r="B3122" t="s">
        <v>1184</v>
      </c>
      <c r="C3122" t="s">
        <v>805</v>
      </c>
      <c r="D3122" t="s">
        <v>1059</v>
      </c>
      <c r="E3122">
        <v>3</v>
      </c>
      <c r="F3122">
        <f>_xlfn.XLOOKUP(Table1[[#This Row],[ProductID]],Products!A:A,Products!D:D,,0)</f>
        <v>110</v>
      </c>
      <c r="I3122">
        <v>399</v>
      </c>
      <c r="J3122">
        <v>399</v>
      </c>
      <c r="K3122" t="s">
        <v>1102</v>
      </c>
      <c r="L3122">
        <v>1197</v>
      </c>
      <c r="M3122" t="s">
        <v>1126</v>
      </c>
      <c r="N3122" t="s">
        <v>1099</v>
      </c>
      <c r="O3122">
        <f>Table1[[#This Row],[Unit_Price]]*Table1[[#This Row],[Quantity]]</f>
        <v>330</v>
      </c>
    </row>
    <row r="3123" spans="1:15" x14ac:dyDescent="0.3">
      <c r="A3123" t="s">
        <v>4940</v>
      </c>
      <c r="B3123" t="s">
        <v>1630</v>
      </c>
      <c r="C3123" t="s">
        <v>269</v>
      </c>
      <c r="D3123" t="s">
        <v>1057</v>
      </c>
      <c r="E3123">
        <v>1</v>
      </c>
      <c r="F3123">
        <f>_xlfn.XLOOKUP(Table1[[#This Row],[ProductID]],Products!A:A,Products!D:D,,0)</f>
        <v>130</v>
      </c>
      <c r="I3123">
        <v>549</v>
      </c>
      <c r="J3123">
        <v>549</v>
      </c>
      <c r="K3123" t="s">
        <v>1102</v>
      </c>
      <c r="L3123">
        <v>549</v>
      </c>
      <c r="M3123" t="s">
        <v>1118</v>
      </c>
      <c r="N3123" t="s">
        <v>1099</v>
      </c>
      <c r="O3123">
        <f>Table1[[#This Row],[Unit_Price]]*Table1[[#This Row],[Quantity]]</f>
        <v>130</v>
      </c>
    </row>
    <row r="3124" spans="1:15" x14ac:dyDescent="0.3">
      <c r="A3124" t="s">
        <v>4941</v>
      </c>
      <c r="B3124" t="s">
        <v>2035</v>
      </c>
      <c r="C3124" t="s">
        <v>257</v>
      </c>
      <c r="D3124" t="s">
        <v>1075</v>
      </c>
      <c r="E3124">
        <v>1</v>
      </c>
      <c r="F3124">
        <f>_xlfn.XLOOKUP(Table1[[#This Row],[ProductID]],Products!A:A,Products!D:D,,0)</f>
        <v>80</v>
      </c>
      <c r="I3124">
        <v>499</v>
      </c>
      <c r="J3124">
        <v>499</v>
      </c>
      <c r="K3124" t="s">
        <v>1102</v>
      </c>
      <c r="L3124">
        <v>499</v>
      </c>
      <c r="M3124" t="s">
        <v>1098</v>
      </c>
      <c r="N3124" t="s">
        <v>1099</v>
      </c>
      <c r="O3124">
        <f>Table1[[#This Row],[Unit_Price]]*Table1[[#This Row],[Quantity]]</f>
        <v>80</v>
      </c>
    </row>
    <row r="3125" spans="1:15" x14ac:dyDescent="0.3">
      <c r="A3125" t="s">
        <v>4942</v>
      </c>
      <c r="B3125" t="s">
        <v>1772</v>
      </c>
      <c r="C3125" t="s">
        <v>615</v>
      </c>
      <c r="D3125" t="s">
        <v>1059</v>
      </c>
      <c r="E3125">
        <v>1</v>
      </c>
      <c r="F3125">
        <f>_xlfn.XLOOKUP(Table1[[#This Row],[ProductID]],Products!A:A,Products!D:D,,0)</f>
        <v>110</v>
      </c>
      <c r="I3125">
        <v>399</v>
      </c>
      <c r="J3125">
        <v>319</v>
      </c>
      <c r="K3125" t="s">
        <v>1097</v>
      </c>
      <c r="L3125">
        <v>319</v>
      </c>
      <c r="M3125" t="s">
        <v>1093</v>
      </c>
      <c r="N3125" t="s">
        <v>1099</v>
      </c>
      <c r="O3125">
        <f>Table1[[#This Row],[Unit_Price]]*Table1[[#This Row],[Quantity]]</f>
        <v>110</v>
      </c>
    </row>
    <row r="3126" spans="1:15" x14ac:dyDescent="0.3">
      <c r="A3126" t="s">
        <v>4943</v>
      </c>
      <c r="B3126" t="s">
        <v>3435</v>
      </c>
      <c r="C3126" t="s">
        <v>643</v>
      </c>
      <c r="D3126" t="s">
        <v>1078</v>
      </c>
      <c r="E3126">
        <v>2</v>
      </c>
      <c r="F3126">
        <f>_xlfn.XLOOKUP(Table1[[#This Row],[ProductID]],Products!A:A,Products!D:D,,0)</f>
        <v>80</v>
      </c>
      <c r="I3126">
        <v>499</v>
      </c>
      <c r="J3126">
        <v>399</v>
      </c>
      <c r="K3126" t="s">
        <v>1097</v>
      </c>
      <c r="L3126">
        <v>798</v>
      </c>
      <c r="M3126" t="s">
        <v>1093</v>
      </c>
      <c r="N3126" t="s">
        <v>1099</v>
      </c>
      <c r="O3126">
        <f>Table1[[#This Row],[Unit_Price]]*Table1[[#This Row],[Quantity]]</f>
        <v>160</v>
      </c>
    </row>
    <row r="3127" spans="1:15" x14ac:dyDescent="0.3">
      <c r="A3127" t="s">
        <v>4944</v>
      </c>
      <c r="B3127" t="s">
        <v>2016</v>
      </c>
      <c r="C3127" t="s">
        <v>160</v>
      </c>
      <c r="D3127" t="s">
        <v>1075</v>
      </c>
      <c r="E3127">
        <v>3</v>
      </c>
      <c r="F3127">
        <f>_xlfn.XLOOKUP(Table1[[#This Row],[ProductID]],Products!A:A,Products!D:D,,0)</f>
        <v>80</v>
      </c>
      <c r="I3127">
        <v>499</v>
      </c>
      <c r="J3127">
        <v>424</v>
      </c>
      <c r="K3127" t="s">
        <v>1092</v>
      </c>
      <c r="L3127">
        <v>1272</v>
      </c>
      <c r="M3127" t="s">
        <v>1098</v>
      </c>
      <c r="N3127" t="s">
        <v>1099</v>
      </c>
      <c r="O3127">
        <f>Table1[[#This Row],[Unit_Price]]*Table1[[#This Row],[Quantity]]</f>
        <v>240</v>
      </c>
    </row>
    <row r="3128" spans="1:15" x14ac:dyDescent="0.3">
      <c r="A3128" t="s">
        <v>4945</v>
      </c>
      <c r="B3128" t="s">
        <v>3610</v>
      </c>
      <c r="C3128" t="s">
        <v>327</v>
      </c>
      <c r="D3128" t="s">
        <v>1078</v>
      </c>
      <c r="E3128">
        <v>1</v>
      </c>
      <c r="F3128">
        <f>_xlfn.XLOOKUP(Table1[[#This Row],[ProductID]],Products!A:A,Products!D:D,,0)</f>
        <v>80</v>
      </c>
      <c r="I3128">
        <v>499</v>
      </c>
      <c r="J3128">
        <v>499</v>
      </c>
      <c r="K3128" t="s">
        <v>1102</v>
      </c>
      <c r="L3128">
        <v>499</v>
      </c>
      <c r="M3128" t="s">
        <v>1093</v>
      </c>
      <c r="N3128" t="s">
        <v>1099</v>
      </c>
      <c r="O3128">
        <f>Table1[[#This Row],[Unit_Price]]*Table1[[#This Row],[Quantity]]</f>
        <v>80</v>
      </c>
    </row>
    <row r="3129" spans="1:15" x14ac:dyDescent="0.3">
      <c r="A3129" t="s">
        <v>4946</v>
      </c>
      <c r="B3129" t="s">
        <v>1349</v>
      </c>
      <c r="C3129" t="s">
        <v>751</v>
      </c>
      <c r="D3129" t="s">
        <v>1068</v>
      </c>
      <c r="E3129">
        <v>2</v>
      </c>
      <c r="F3129">
        <f>_xlfn.XLOOKUP(Table1[[#This Row],[ProductID]],Products!A:A,Products!D:D,,0)</f>
        <v>180</v>
      </c>
      <c r="I3129">
        <v>449</v>
      </c>
      <c r="J3129">
        <v>449</v>
      </c>
      <c r="K3129" t="s">
        <v>1102</v>
      </c>
      <c r="L3129">
        <v>898</v>
      </c>
      <c r="M3129" t="s">
        <v>1093</v>
      </c>
      <c r="N3129" t="s">
        <v>1099</v>
      </c>
      <c r="O3129">
        <f>Table1[[#This Row],[Unit_Price]]*Table1[[#This Row],[Quantity]]</f>
        <v>360</v>
      </c>
    </row>
    <row r="3130" spans="1:15" x14ac:dyDescent="0.3">
      <c r="A3130" t="s">
        <v>4947</v>
      </c>
      <c r="B3130" t="s">
        <v>3881</v>
      </c>
      <c r="C3130" t="s">
        <v>273</v>
      </c>
      <c r="D3130" t="s">
        <v>1051</v>
      </c>
      <c r="E3130">
        <v>2</v>
      </c>
      <c r="F3130">
        <f>_xlfn.XLOOKUP(Table1[[#This Row],[ProductID]],Products!A:A,Products!D:D,,0)</f>
        <v>150</v>
      </c>
      <c r="I3130">
        <v>499</v>
      </c>
      <c r="J3130">
        <v>399</v>
      </c>
      <c r="K3130" t="s">
        <v>1097</v>
      </c>
      <c r="L3130">
        <v>798</v>
      </c>
      <c r="M3130" t="s">
        <v>1093</v>
      </c>
      <c r="N3130" t="s">
        <v>1099</v>
      </c>
      <c r="O3130">
        <f>Table1[[#This Row],[Unit_Price]]*Table1[[#This Row],[Quantity]]</f>
        <v>300</v>
      </c>
    </row>
    <row r="3131" spans="1:15" x14ac:dyDescent="0.3">
      <c r="A3131" t="s">
        <v>4948</v>
      </c>
      <c r="B3131" t="s">
        <v>2294</v>
      </c>
      <c r="C3131" t="s">
        <v>947</v>
      </c>
      <c r="D3131" t="s">
        <v>1066</v>
      </c>
      <c r="E3131">
        <v>1</v>
      </c>
      <c r="F3131">
        <f>_xlfn.XLOOKUP(Table1[[#This Row],[ProductID]],Products!A:A,Products!D:D,,0)</f>
        <v>140</v>
      </c>
      <c r="I3131">
        <v>499</v>
      </c>
      <c r="J3131">
        <v>499</v>
      </c>
      <c r="K3131" t="s">
        <v>1102</v>
      </c>
      <c r="L3131">
        <v>499</v>
      </c>
      <c r="M3131" t="s">
        <v>1093</v>
      </c>
      <c r="N3131" t="s">
        <v>1094</v>
      </c>
      <c r="O3131">
        <f>Table1[[#This Row],[Unit_Price]]*Table1[[#This Row],[Quantity]]</f>
        <v>140</v>
      </c>
    </row>
    <row r="3132" spans="1:15" x14ac:dyDescent="0.3">
      <c r="A3132" t="s">
        <v>4949</v>
      </c>
      <c r="B3132" t="s">
        <v>1426</v>
      </c>
      <c r="C3132" t="s">
        <v>87</v>
      </c>
      <c r="D3132" t="s">
        <v>1059</v>
      </c>
      <c r="E3132">
        <v>1</v>
      </c>
      <c r="F3132">
        <f>_xlfn.XLOOKUP(Table1[[#This Row],[ProductID]],Products!A:A,Products!D:D,,0)</f>
        <v>110</v>
      </c>
      <c r="I3132">
        <v>399</v>
      </c>
      <c r="J3132">
        <v>339</v>
      </c>
      <c r="K3132" t="s">
        <v>1092</v>
      </c>
      <c r="L3132">
        <v>339</v>
      </c>
      <c r="M3132" t="s">
        <v>1093</v>
      </c>
      <c r="N3132" t="s">
        <v>1123</v>
      </c>
      <c r="O3132">
        <f>Table1[[#This Row],[Unit_Price]]*Table1[[#This Row],[Quantity]]</f>
        <v>110</v>
      </c>
    </row>
    <row r="3133" spans="1:15" x14ac:dyDescent="0.3">
      <c r="A3133" t="s">
        <v>4950</v>
      </c>
      <c r="B3133" t="s">
        <v>2947</v>
      </c>
      <c r="C3133" t="s">
        <v>1039</v>
      </c>
      <c r="D3133" t="s">
        <v>1053</v>
      </c>
      <c r="E3133">
        <v>2</v>
      </c>
      <c r="F3133">
        <f>_xlfn.XLOOKUP(Table1[[#This Row],[ProductID]],Products!A:A,Products!D:D,,0)</f>
        <v>200</v>
      </c>
      <c r="I3133">
        <v>899</v>
      </c>
      <c r="J3133">
        <v>764</v>
      </c>
      <c r="K3133" t="s">
        <v>1092</v>
      </c>
      <c r="L3133">
        <v>1528</v>
      </c>
      <c r="M3133" t="s">
        <v>1093</v>
      </c>
      <c r="N3133" t="s">
        <v>1094</v>
      </c>
      <c r="O3133">
        <f>Table1[[#This Row],[Unit_Price]]*Table1[[#This Row],[Quantity]]</f>
        <v>400</v>
      </c>
    </row>
    <row r="3134" spans="1:15" x14ac:dyDescent="0.3">
      <c r="A3134" t="s">
        <v>4951</v>
      </c>
      <c r="B3134" t="s">
        <v>3902</v>
      </c>
      <c r="C3134" t="s">
        <v>517</v>
      </c>
      <c r="D3134" t="s">
        <v>1048</v>
      </c>
      <c r="E3134">
        <v>4</v>
      </c>
      <c r="F3134">
        <f>_xlfn.XLOOKUP(Table1[[#This Row],[ProductID]],Products!A:A,Products!D:D,,0)</f>
        <v>120</v>
      </c>
      <c r="I3134">
        <v>599</v>
      </c>
      <c r="J3134">
        <v>509</v>
      </c>
      <c r="K3134" t="s">
        <v>1092</v>
      </c>
      <c r="L3134">
        <v>2036</v>
      </c>
      <c r="M3134" t="s">
        <v>1093</v>
      </c>
      <c r="N3134" t="s">
        <v>1099</v>
      </c>
      <c r="O3134">
        <f>Table1[[#This Row],[Unit_Price]]*Table1[[#This Row],[Quantity]]</f>
        <v>480</v>
      </c>
    </row>
    <row r="3135" spans="1:15" x14ac:dyDescent="0.3">
      <c r="A3135" t="s">
        <v>4952</v>
      </c>
      <c r="B3135" t="s">
        <v>2523</v>
      </c>
      <c r="C3135" t="s">
        <v>795</v>
      </c>
      <c r="D3135" t="s">
        <v>1078</v>
      </c>
      <c r="E3135">
        <v>2</v>
      </c>
      <c r="F3135">
        <f>_xlfn.XLOOKUP(Table1[[#This Row],[ProductID]],Products!A:A,Products!D:D,,0)</f>
        <v>80</v>
      </c>
      <c r="I3135">
        <v>499</v>
      </c>
      <c r="J3135">
        <v>449</v>
      </c>
      <c r="K3135" t="s">
        <v>1107</v>
      </c>
      <c r="L3135">
        <v>898</v>
      </c>
      <c r="M3135" t="s">
        <v>1098</v>
      </c>
      <c r="N3135" t="s">
        <v>1099</v>
      </c>
      <c r="O3135">
        <f>Table1[[#This Row],[Unit_Price]]*Table1[[#This Row],[Quantity]]</f>
        <v>160</v>
      </c>
    </row>
    <row r="3136" spans="1:15" x14ac:dyDescent="0.3">
      <c r="A3136" t="s">
        <v>4953</v>
      </c>
      <c r="B3136" t="s">
        <v>1973</v>
      </c>
      <c r="C3136" t="s">
        <v>655</v>
      </c>
      <c r="D3136" t="s">
        <v>1062</v>
      </c>
      <c r="E3136">
        <v>1</v>
      </c>
      <c r="F3136">
        <f>_xlfn.XLOOKUP(Table1[[#This Row],[ProductID]],Products!A:A,Products!D:D,,0)</f>
        <v>95</v>
      </c>
      <c r="I3136">
        <v>349</v>
      </c>
      <c r="J3136">
        <v>314</v>
      </c>
      <c r="K3136" t="s">
        <v>1107</v>
      </c>
      <c r="L3136">
        <v>314</v>
      </c>
      <c r="M3136" t="s">
        <v>1093</v>
      </c>
      <c r="N3136" t="s">
        <v>1099</v>
      </c>
      <c r="O3136">
        <f>Table1[[#This Row],[Unit_Price]]*Table1[[#This Row],[Quantity]]</f>
        <v>95</v>
      </c>
    </row>
    <row r="3137" spans="1:15" x14ac:dyDescent="0.3">
      <c r="A3137" t="s">
        <v>4954</v>
      </c>
      <c r="B3137" t="s">
        <v>3240</v>
      </c>
      <c r="C3137" t="s">
        <v>853</v>
      </c>
      <c r="D3137" t="s">
        <v>1062</v>
      </c>
      <c r="E3137">
        <v>2</v>
      </c>
      <c r="F3137">
        <f>_xlfn.XLOOKUP(Table1[[#This Row],[ProductID]],Products!A:A,Products!D:D,,0)</f>
        <v>95</v>
      </c>
      <c r="I3137">
        <v>349</v>
      </c>
      <c r="J3137">
        <v>279</v>
      </c>
      <c r="K3137" t="s">
        <v>1097</v>
      </c>
      <c r="L3137">
        <v>558</v>
      </c>
      <c r="M3137" t="s">
        <v>1093</v>
      </c>
      <c r="N3137" t="s">
        <v>1099</v>
      </c>
      <c r="O3137">
        <f>Table1[[#This Row],[Unit_Price]]*Table1[[#This Row],[Quantity]]</f>
        <v>190</v>
      </c>
    </row>
    <row r="3138" spans="1:15" x14ac:dyDescent="0.3">
      <c r="A3138" t="s">
        <v>4955</v>
      </c>
      <c r="B3138" t="s">
        <v>2227</v>
      </c>
      <c r="C3138" t="s">
        <v>369</v>
      </c>
      <c r="D3138" t="s">
        <v>1053</v>
      </c>
      <c r="E3138">
        <v>1</v>
      </c>
      <c r="F3138">
        <f>_xlfn.XLOOKUP(Table1[[#This Row],[ProductID]],Products!A:A,Products!D:D,,0)</f>
        <v>200</v>
      </c>
      <c r="I3138">
        <v>899</v>
      </c>
      <c r="J3138">
        <v>899</v>
      </c>
      <c r="K3138" t="s">
        <v>1102</v>
      </c>
      <c r="L3138">
        <v>899</v>
      </c>
      <c r="M3138" t="s">
        <v>1118</v>
      </c>
      <c r="N3138" t="s">
        <v>1099</v>
      </c>
      <c r="O3138">
        <f>Table1[[#This Row],[Unit_Price]]*Table1[[#This Row],[Quantity]]</f>
        <v>200</v>
      </c>
    </row>
    <row r="3139" spans="1:15" x14ac:dyDescent="0.3">
      <c r="A3139" t="s">
        <v>4956</v>
      </c>
      <c r="B3139" t="s">
        <v>4511</v>
      </c>
      <c r="C3139" t="s">
        <v>305</v>
      </c>
      <c r="D3139" t="s">
        <v>1059</v>
      </c>
      <c r="E3139">
        <v>1</v>
      </c>
      <c r="F3139">
        <f>_xlfn.XLOOKUP(Table1[[#This Row],[ProductID]],Products!A:A,Products!D:D,,0)</f>
        <v>110</v>
      </c>
      <c r="I3139">
        <v>399</v>
      </c>
      <c r="J3139">
        <v>319</v>
      </c>
      <c r="K3139" t="s">
        <v>1097</v>
      </c>
      <c r="L3139">
        <v>319</v>
      </c>
      <c r="M3139" t="s">
        <v>1093</v>
      </c>
      <c r="N3139" t="s">
        <v>1094</v>
      </c>
      <c r="O3139">
        <f>Table1[[#This Row],[Unit_Price]]*Table1[[#This Row],[Quantity]]</f>
        <v>110</v>
      </c>
    </row>
    <row r="3140" spans="1:15" x14ac:dyDescent="0.3">
      <c r="A3140" t="s">
        <v>4957</v>
      </c>
      <c r="B3140" t="s">
        <v>1648</v>
      </c>
      <c r="C3140" t="s">
        <v>259</v>
      </c>
      <c r="D3140" t="s">
        <v>1080</v>
      </c>
      <c r="E3140">
        <v>1</v>
      </c>
      <c r="F3140">
        <f>_xlfn.XLOOKUP(Table1[[#This Row],[ProductID]],Products!A:A,Products!D:D,,0)</f>
        <v>45</v>
      </c>
      <c r="I3140">
        <v>249</v>
      </c>
      <c r="J3140">
        <v>249</v>
      </c>
      <c r="K3140" t="s">
        <v>1102</v>
      </c>
      <c r="L3140">
        <v>249</v>
      </c>
      <c r="M3140" t="s">
        <v>1098</v>
      </c>
      <c r="N3140" t="s">
        <v>1099</v>
      </c>
      <c r="O3140">
        <f>Table1[[#This Row],[Unit_Price]]*Table1[[#This Row],[Quantity]]</f>
        <v>45</v>
      </c>
    </row>
    <row r="3141" spans="1:15" x14ac:dyDescent="0.3">
      <c r="A3141" t="s">
        <v>4958</v>
      </c>
      <c r="B3141" t="s">
        <v>3549</v>
      </c>
      <c r="C3141" t="s">
        <v>20</v>
      </c>
      <c r="D3141" t="s">
        <v>1073</v>
      </c>
      <c r="E3141">
        <v>2</v>
      </c>
      <c r="F3141">
        <f>_xlfn.XLOOKUP(Table1[[#This Row],[ProductID]],Products!A:A,Products!D:D,,0)</f>
        <v>100</v>
      </c>
      <c r="I3141">
        <v>349</v>
      </c>
      <c r="J3141">
        <v>279</v>
      </c>
      <c r="K3141" t="s">
        <v>1097</v>
      </c>
      <c r="L3141">
        <v>558</v>
      </c>
      <c r="M3141" t="s">
        <v>1098</v>
      </c>
      <c r="N3141" t="s">
        <v>1123</v>
      </c>
      <c r="O3141">
        <f>Table1[[#This Row],[Unit_Price]]*Table1[[#This Row],[Quantity]]</f>
        <v>200</v>
      </c>
    </row>
    <row r="3142" spans="1:15" x14ac:dyDescent="0.3">
      <c r="A3142" t="s">
        <v>4959</v>
      </c>
      <c r="B3142" t="s">
        <v>2472</v>
      </c>
      <c r="C3142" t="s">
        <v>875</v>
      </c>
      <c r="D3142" t="s">
        <v>1055</v>
      </c>
      <c r="E3142">
        <v>3</v>
      </c>
      <c r="F3142">
        <f>_xlfn.XLOOKUP(Table1[[#This Row],[ProductID]],Products!A:A,Products!D:D,,0)</f>
        <v>75</v>
      </c>
      <c r="I3142">
        <v>299</v>
      </c>
      <c r="J3142">
        <v>299</v>
      </c>
      <c r="K3142" t="s">
        <v>1102</v>
      </c>
      <c r="L3142">
        <v>897</v>
      </c>
      <c r="M3142" t="s">
        <v>1098</v>
      </c>
      <c r="N3142" t="s">
        <v>1099</v>
      </c>
      <c r="O3142">
        <f>Table1[[#This Row],[Unit_Price]]*Table1[[#This Row],[Quantity]]</f>
        <v>225</v>
      </c>
    </row>
    <row r="3143" spans="1:15" x14ac:dyDescent="0.3">
      <c r="A3143" t="s">
        <v>4960</v>
      </c>
      <c r="B3143" t="s">
        <v>2472</v>
      </c>
      <c r="C3143" t="s">
        <v>233</v>
      </c>
      <c r="D3143" t="s">
        <v>1068</v>
      </c>
      <c r="E3143">
        <v>1</v>
      </c>
      <c r="F3143">
        <f>_xlfn.XLOOKUP(Table1[[#This Row],[ProductID]],Products!A:A,Products!D:D,,0)</f>
        <v>180</v>
      </c>
      <c r="I3143">
        <v>449</v>
      </c>
      <c r="J3143">
        <v>449</v>
      </c>
      <c r="K3143" t="s">
        <v>1102</v>
      </c>
      <c r="L3143">
        <v>449</v>
      </c>
      <c r="M3143" t="s">
        <v>1098</v>
      </c>
      <c r="N3143" t="s">
        <v>1099</v>
      </c>
      <c r="O3143">
        <f>Table1[[#This Row],[Unit_Price]]*Table1[[#This Row],[Quantity]]</f>
        <v>180</v>
      </c>
    </row>
    <row r="3144" spans="1:15" x14ac:dyDescent="0.3">
      <c r="A3144" t="s">
        <v>4961</v>
      </c>
      <c r="B3144" t="s">
        <v>2365</v>
      </c>
      <c r="C3144" t="s">
        <v>889</v>
      </c>
      <c r="D3144" t="s">
        <v>1066</v>
      </c>
      <c r="E3144">
        <v>1</v>
      </c>
      <c r="F3144">
        <f>_xlfn.XLOOKUP(Table1[[#This Row],[ProductID]],Products!A:A,Products!D:D,,0)</f>
        <v>140</v>
      </c>
      <c r="I3144">
        <v>499</v>
      </c>
      <c r="J3144">
        <v>424</v>
      </c>
      <c r="K3144" t="s">
        <v>1092</v>
      </c>
      <c r="L3144">
        <v>424</v>
      </c>
      <c r="M3144" t="s">
        <v>1098</v>
      </c>
      <c r="N3144" t="s">
        <v>1099</v>
      </c>
      <c r="O3144">
        <f>Table1[[#This Row],[Unit_Price]]*Table1[[#This Row],[Quantity]]</f>
        <v>140</v>
      </c>
    </row>
    <row r="3145" spans="1:15" x14ac:dyDescent="0.3">
      <c r="A3145" t="s">
        <v>4962</v>
      </c>
      <c r="B3145" t="s">
        <v>2135</v>
      </c>
      <c r="C3145" t="s">
        <v>907</v>
      </c>
      <c r="D3145" t="s">
        <v>1071</v>
      </c>
      <c r="E3145">
        <v>1</v>
      </c>
      <c r="F3145">
        <f>_xlfn.XLOOKUP(Table1[[#This Row],[ProductID]],Products!A:A,Products!D:D,,0)</f>
        <v>125</v>
      </c>
      <c r="I3145">
        <v>399</v>
      </c>
      <c r="J3145">
        <v>399</v>
      </c>
      <c r="K3145" t="s">
        <v>1102</v>
      </c>
      <c r="L3145">
        <v>399</v>
      </c>
      <c r="M3145" t="s">
        <v>1093</v>
      </c>
      <c r="N3145" t="s">
        <v>1099</v>
      </c>
      <c r="O3145">
        <f>Table1[[#This Row],[Unit_Price]]*Table1[[#This Row],[Quantity]]</f>
        <v>125</v>
      </c>
    </row>
    <row r="3146" spans="1:15" x14ac:dyDescent="0.3">
      <c r="A3146" t="s">
        <v>4963</v>
      </c>
      <c r="B3146" t="s">
        <v>3437</v>
      </c>
      <c r="C3146" t="s">
        <v>295</v>
      </c>
      <c r="D3146" t="s">
        <v>1071</v>
      </c>
      <c r="E3146">
        <v>1</v>
      </c>
      <c r="F3146">
        <f>_xlfn.XLOOKUP(Table1[[#This Row],[ProductID]],Products!A:A,Products!D:D,,0)</f>
        <v>125</v>
      </c>
      <c r="I3146">
        <v>399</v>
      </c>
      <c r="J3146">
        <v>359</v>
      </c>
      <c r="K3146" t="s">
        <v>1107</v>
      </c>
      <c r="L3146">
        <v>359</v>
      </c>
      <c r="M3146" t="s">
        <v>1098</v>
      </c>
      <c r="N3146" t="s">
        <v>1099</v>
      </c>
      <c r="O3146">
        <f>Table1[[#This Row],[Unit_Price]]*Table1[[#This Row],[Quantity]]</f>
        <v>125</v>
      </c>
    </row>
    <row r="3147" spans="1:15" x14ac:dyDescent="0.3">
      <c r="A3147" t="s">
        <v>4964</v>
      </c>
      <c r="B3147" t="s">
        <v>1323</v>
      </c>
      <c r="C3147" t="s">
        <v>817</v>
      </c>
      <c r="D3147" t="s">
        <v>1057</v>
      </c>
      <c r="E3147">
        <v>2</v>
      </c>
      <c r="F3147">
        <f>_xlfn.XLOOKUP(Table1[[#This Row],[ProductID]],Products!A:A,Products!D:D,,0)</f>
        <v>130</v>
      </c>
      <c r="I3147">
        <v>549</v>
      </c>
      <c r="J3147">
        <v>549</v>
      </c>
      <c r="K3147" t="s">
        <v>1102</v>
      </c>
      <c r="L3147">
        <v>1098</v>
      </c>
      <c r="M3147" t="s">
        <v>1098</v>
      </c>
      <c r="N3147" t="s">
        <v>1099</v>
      </c>
      <c r="O3147">
        <f>Table1[[#This Row],[Unit_Price]]*Table1[[#This Row],[Quantity]]</f>
        <v>260</v>
      </c>
    </row>
    <row r="3148" spans="1:15" x14ac:dyDescent="0.3">
      <c r="A3148" t="s">
        <v>4965</v>
      </c>
      <c r="B3148" t="s">
        <v>3067</v>
      </c>
      <c r="C3148" t="s">
        <v>519</v>
      </c>
      <c r="D3148" t="s">
        <v>1075</v>
      </c>
      <c r="E3148">
        <v>3</v>
      </c>
      <c r="F3148">
        <f>_xlfn.XLOOKUP(Table1[[#This Row],[ProductID]],Products!A:A,Products!D:D,,0)</f>
        <v>80</v>
      </c>
      <c r="I3148">
        <v>499</v>
      </c>
      <c r="J3148">
        <v>499</v>
      </c>
      <c r="K3148" t="s">
        <v>1102</v>
      </c>
      <c r="L3148">
        <v>1497</v>
      </c>
      <c r="M3148" t="s">
        <v>1093</v>
      </c>
      <c r="N3148" t="s">
        <v>1094</v>
      </c>
      <c r="O3148">
        <f>Table1[[#This Row],[Unit_Price]]*Table1[[#This Row],[Quantity]]</f>
        <v>240</v>
      </c>
    </row>
    <row r="3149" spans="1:15" x14ac:dyDescent="0.3">
      <c r="A3149" t="s">
        <v>4966</v>
      </c>
      <c r="B3149" t="s">
        <v>1184</v>
      </c>
      <c r="C3149" t="s">
        <v>523</v>
      </c>
      <c r="D3149" t="s">
        <v>1075</v>
      </c>
      <c r="E3149">
        <v>2</v>
      </c>
      <c r="F3149">
        <f>_xlfn.XLOOKUP(Table1[[#This Row],[ProductID]],Products!A:A,Products!D:D,,0)</f>
        <v>80</v>
      </c>
      <c r="I3149">
        <v>499</v>
      </c>
      <c r="J3149">
        <v>424</v>
      </c>
      <c r="K3149" t="s">
        <v>1092</v>
      </c>
      <c r="L3149">
        <v>848</v>
      </c>
      <c r="M3149" t="s">
        <v>1098</v>
      </c>
      <c r="N3149" t="s">
        <v>1123</v>
      </c>
      <c r="O3149">
        <f>Table1[[#This Row],[Unit_Price]]*Table1[[#This Row],[Quantity]]</f>
        <v>160</v>
      </c>
    </row>
    <row r="3150" spans="1:15" x14ac:dyDescent="0.3">
      <c r="A3150" t="s">
        <v>4967</v>
      </c>
      <c r="B3150" t="s">
        <v>3228</v>
      </c>
      <c r="C3150" t="s">
        <v>341</v>
      </c>
      <c r="D3150" t="s">
        <v>1078</v>
      </c>
      <c r="E3150">
        <v>1</v>
      </c>
      <c r="F3150">
        <f>_xlfn.XLOOKUP(Table1[[#This Row],[ProductID]],Products!A:A,Products!D:D,,0)</f>
        <v>80</v>
      </c>
      <c r="I3150">
        <v>499</v>
      </c>
      <c r="J3150">
        <v>499</v>
      </c>
      <c r="K3150" t="s">
        <v>1102</v>
      </c>
      <c r="L3150">
        <v>499</v>
      </c>
      <c r="M3150" t="s">
        <v>1098</v>
      </c>
      <c r="N3150" t="s">
        <v>1099</v>
      </c>
      <c r="O3150">
        <f>Table1[[#This Row],[Unit_Price]]*Table1[[#This Row],[Quantity]]</f>
        <v>80</v>
      </c>
    </row>
    <row r="3151" spans="1:15" x14ac:dyDescent="0.3">
      <c r="A3151" t="s">
        <v>4968</v>
      </c>
      <c r="B3151" t="s">
        <v>1690</v>
      </c>
      <c r="C3151" t="s">
        <v>911</v>
      </c>
      <c r="D3151" t="s">
        <v>1057</v>
      </c>
      <c r="E3151">
        <v>1</v>
      </c>
      <c r="F3151">
        <f>_xlfn.XLOOKUP(Table1[[#This Row],[ProductID]],Products!A:A,Products!D:D,,0)</f>
        <v>130</v>
      </c>
      <c r="I3151">
        <v>549</v>
      </c>
      <c r="J3151">
        <v>549</v>
      </c>
      <c r="K3151" t="s">
        <v>1102</v>
      </c>
      <c r="L3151">
        <v>549</v>
      </c>
      <c r="M3151" t="s">
        <v>1098</v>
      </c>
      <c r="N3151" t="s">
        <v>1099</v>
      </c>
      <c r="O3151">
        <f>Table1[[#This Row],[Unit_Price]]*Table1[[#This Row],[Quantity]]</f>
        <v>130</v>
      </c>
    </row>
    <row r="3152" spans="1:15" x14ac:dyDescent="0.3">
      <c r="A3152" t="s">
        <v>4969</v>
      </c>
      <c r="B3152" t="s">
        <v>1698</v>
      </c>
      <c r="C3152" t="s">
        <v>67</v>
      </c>
      <c r="D3152" t="s">
        <v>1078</v>
      </c>
      <c r="E3152">
        <v>2</v>
      </c>
      <c r="F3152">
        <f>_xlfn.XLOOKUP(Table1[[#This Row],[ProductID]],Products!A:A,Products!D:D,,0)</f>
        <v>80</v>
      </c>
      <c r="I3152">
        <v>499</v>
      </c>
      <c r="J3152">
        <v>499</v>
      </c>
      <c r="K3152" t="s">
        <v>1102</v>
      </c>
      <c r="L3152">
        <v>998</v>
      </c>
      <c r="M3152" t="s">
        <v>1098</v>
      </c>
      <c r="N3152" t="s">
        <v>1099</v>
      </c>
      <c r="O3152">
        <f>Table1[[#This Row],[Unit_Price]]*Table1[[#This Row],[Quantity]]</f>
        <v>160</v>
      </c>
    </row>
    <row r="3153" spans="1:15" x14ac:dyDescent="0.3">
      <c r="A3153" t="s">
        <v>4970</v>
      </c>
      <c r="B3153" t="s">
        <v>1694</v>
      </c>
      <c r="C3153" t="s">
        <v>855</v>
      </c>
      <c r="D3153" t="s">
        <v>1057</v>
      </c>
      <c r="E3153">
        <v>1</v>
      </c>
      <c r="F3153">
        <f>_xlfn.XLOOKUP(Table1[[#This Row],[ProductID]],Products!A:A,Products!D:D,,0)</f>
        <v>130</v>
      </c>
      <c r="I3153">
        <v>549</v>
      </c>
      <c r="J3153">
        <v>549</v>
      </c>
      <c r="K3153" t="s">
        <v>1102</v>
      </c>
      <c r="L3153">
        <v>549</v>
      </c>
      <c r="M3153" t="s">
        <v>1098</v>
      </c>
      <c r="N3153" t="s">
        <v>1099</v>
      </c>
      <c r="O3153">
        <f>Table1[[#This Row],[Unit_Price]]*Table1[[#This Row],[Quantity]]</f>
        <v>130</v>
      </c>
    </row>
    <row r="3154" spans="1:15" x14ac:dyDescent="0.3">
      <c r="A3154" t="s">
        <v>4971</v>
      </c>
      <c r="B3154" t="s">
        <v>2491</v>
      </c>
      <c r="C3154" t="s">
        <v>1025</v>
      </c>
      <c r="D3154" t="s">
        <v>1062</v>
      </c>
      <c r="E3154">
        <v>1</v>
      </c>
      <c r="F3154">
        <f>_xlfn.XLOOKUP(Table1[[#This Row],[ProductID]],Products!A:A,Products!D:D,,0)</f>
        <v>95</v>
      </c>
      <c r="I3154">
        <v>349</v>
      </c>
      <c r="J3154">
        <v>314</v>
      </c>
      <c r="K3154" t="s">
        <v>1107</v>
      </c>
      <c r="L3154">
        <v>314</v>
      </c>
      <c r="M3154" t="s">
        <v>1093</v>
      </c>
      <c r="N3154" t="s">
        <v>1094</v>
      </c>
      <c r="O3154">
        <f>Table1[[#This Row],[Unit_Price]]*Table1[[#This Row],[Quantity]]</f>
        <v>95</v>
      </c>
    </row>
    <row r="3155" spans="1:15" x14ac:dyDescent="0.3">
      <c r="A3155" t="s">
        <v>4972</v>
      </c>
      <c r="B3155" t="s">
        <v>2927</v>
      </c>
      <c r="C3155" t="s">
        <v>791</v>
      </c>
      <c r="D3155" t="s">
        <v>1059</v>
      </c>
      <c r="E3155">
        <v>1</v>
      </c>
      <c r="F3155">
        <f>_xlfn.XLOOKUP(Table1[[#This Row],[ProductID]],Products!A:A,Products!D:D,,0)</f>
        <v>110</v>
      </c>
      <c r="I3155">
        <v>399</v>
      </c>
      <c r="J3155">
        <v>399</v>
      </c>
      <c r="K3155" t="s">
        <v>1102</v>
      </c>
      <c r="L3155">
        <v>399</v>
      </c>
      <c r="M3155" t="s">
        <v>1118</v>
      </c>
      <c r="N3155" t="s">
        <v>1099</v>
      </c>
      <c r="O3155">
        <f>Table1[[#This Row],[Unit_Price]]*Table1[[#This Row],[Quantity]]</f>
        <v>110</v>
      </c>
    </row>
    <row r="3156" spans="1:15" x14ac:dyDescent="0.3">
      <c r="A3156" t="s">
        <v>4973</v>
      </c>
      <c r="B3156" t="s">
        <v>2421</v>
      </c>
      <c r="C3156" t="s">
        <v>687</v>
      </c>
      <c r="D3156" t="s">
        <v>1055</v>
      </c>
      <c r="E3156">
        <v>1</v>
      </c>
      <c r="F3156">
        <f>_xlfn.XLOOKUP(Table1[[#This Row],[ProductID]],Products!A:A,Products!D:D,,0)</f>
        <v>75</v>
      </c>
      <c r="I3156">
        <v>299</v>
      </c>
      <c r="J3156">
        <v>239</v>
      </c>
      <c r="K3156" t="s">
        <v>1097</v>
      </c>
      <c r="L3156">
        <v>239</v>
      </c>
      <c r="M3156" t="s">
        <v>1098</v>
      </c>
      <c r="N3156" t="s">
        <v>1099</v>
      </c>
      <c r="O3156">
        <f>Table1[[#This Row],[Unit_Price]]*Table1[[#This Row],[Quantity]]</f>
        <v>75</v>
      </c>
    </row>
    <row r="3157" spans="1:15" x14ac:dyDescent="0.3">
      <c r="A3157" t="s">
        <v>4974</v>
      </c>
      <c r="B3157" t="s">
        <v>1414</v>
      </c>
      <c r="C3157" t="s">
        <v>985</v>
      </c>
      <c r="D3157" t="s">
        <v>1053</v>
      </c>
      <c r="E3157">
        <v>3</v>
      </c>
      <c r="F3157">
        <f>_xlfn.XLOOKUP(Table1[[#This Row],[ProductID]],Products!A:A,Products!D:D,,0)</f>
        <v>200</v>
      </c>
      <c r="I3157">
        <v>899</v>
      </c>
      <c r="J3157">
        <v>809</v>
      </c>
      <c r="K3157" t="s">
        <v>1107</v>
      </c>
      <c r="L3157">
        <v>2427</v>
      </c>
      <c r="M3157" t="s">
        <v>1118</v>
      </c>
      <c r="N3157" t="s">
        <v>1099</v>
      </c>
      <c r="O3157">
        <f>Table1[[#This Row],[Unit_Price]]*Table1[[#This Row],[Quantity]]</f>
        <v>600</v>
      </c>
    </row>
    <row r="3158" spans="1:15" x14ac:dyDescent="0.3">
      <c r="A3158" t="s">
        <v>4975</v>
      </c>
      <c r="B3158" t="s">
        <v>1570</v>
      </c>
      <c r="C3158" t="s">
        <v>547</v>
      </c>
      <c r="D3158" t="s">
        <v>1062</v>
      </c>
      <c r="E3158">
        <v>2</v>
      </c>
      <c r="F3158">
        <f>_xlfn.XLOOKUP(Table1[[#This Row],[ProductID]],Products!A:A,Products!D:D,,0)</f>
        <v>95</v>
      </c>
      <c r="I3158">
        <v>349</v>
      </c>
      <c r="J3158">
        <v>297</v>
      </c>
      <c r="K3158" t="s">
        <v>1092</v>
      </c>
      <c r="L3158">
        <v>594</v>
      </c>
      <c r="M3158" t="s">
        <v>1098</v>
      </c>
      <c r="N3158" t="s">
        <v>1099</v>
      </c>
      <c r="O3158">
        <f>Table1[[#This Row],[Unit_Price]]*Table1[[#This Row],[Quantity]]</f>
        <v>190</v>
      </c>
    </row>
    <row r="3159" spans="1:15" x14ac:dyDescent="0.3">
      <c r="A3159" t="s">
        <v>4976</v>
      </c>
      <c r="B3159" t="s">
        <v>1463</v>
      </c>
      <c r="C3159" t="s">
        <v>181</v>
      </c>
      <c r="D3159" t="s">
        <v>1080</v>
      </c>
      <c r="E3159">
        <v>4</v>
      </c>
      <c r="F3159">
        <f>_xlfn.XLOOKUP(Table1[[#This Row],[ProductID]],Products!A:A,Products!D:D,,0)</f>
        <v>45</v>
      </c>
      <c r="I3159">
        <v>249</v>
      </c>
      <c r="J3159">
        <v>249</v>
      </c>
      <c r="K3159" t="s">
        <v>1102</v>
      </c>
      <c r="L3159">
        <v>996</v>
      </c>
      <c r="M3159" t="s">
        <v>1098</v>
      </c>
      <c r="N3159" t="s">
        <v>1099</v>
      </c>
      <c r="O3159">
        <f>Table1[[#This Row],[Unit_Price]]*Table1[[#This Row],[Quantity]]</f>
        <v>180</v>
      </c>
    </row>
    <row r="3160" spans="1:15" x14ac:dyDescent="0.3">
      <c r="A3160" t="s">
        <v>4977</v>
      </c>
      <c r="B3160" t="s">
        <v>1125</v>
      </c>
      <c r="C3160" t="s">
        <v>321</v>
      </c>
      <c r="D3160" t="s">
        <v>1048</v>
      </c>
      <c r="E3160">
        <v>1</v>
      </c>
      <c r="F3160">
        <f>_xlfn.XLOOKUP(Table1[[#This Row],[ProductID]],Products!A:A,Products!D:D,,0)</f>
        <v>120</v>
      </c>
      <c r="I3160">
        <v>599</v>
      </c>
      <c r="J3160">
        <v>509</v>
      </c>
      <c r="K3160" t="s">
        <v>1092</v>
      </c>
      <c r="L3160">
        <v>509</v>
      </c>
      <c r="M3160" t="s">
        <v>1093</v>
      </c>
      <c r="N3160" t="s">
        <v>1099</v>
      </c>
      <c r="O3160">
        <f>Table1[[#This Row],[Unit_Price]]*Table1[[#This Row],[Quantity]]</f>
        <v>120</v>
      </c>
    </row>
    <row r="3161" spans="1:15" x14ac:dyDescent="0.3">
      <c r="A3161" t="s">
        <v>4978</v>
      </c>
      <c r="B3161" t="s">
        <v>1898</v>
      </c>
      <c r="C3161" t="s">
        <v>839</v>
      </c>
      <c r="D3161" t="s">
        <v>1078</v>
      </c>
      <c r="E3161">
        <v>1</v>
      </c>
      <c r="F3161">
        <f>_xlfn.XLOOKUP(Table1[[#This Row],[ProductID]],Products!A:A,Products!D:D,,0)</f>
        <v>80</v>
      </c>
      <c r="I3161">
        <v>499</v>
      </c>
      <c r="J3161">
        <v>424</v>
      </c>
      <c r="K3161" t="s">
        <v>1092</v>
      </c>
      <c r="L3161">
        <v>424</v>
      </c>
      <c r="M3161" t="s">
        <v>1126</v>
      </c>
      <c r="N3161" t="s">
        <v>1099</v>
      </c>
      <c r="O3161">
        <f>Table1[[#This Row],[Unit_Price]]*Table1[[#This Row],[Quantity]]</f>
        <v>80</v>
      </c>
    </row>
    <row r="3162" spans="1:15" x14ac:dyDescent="0.3">
      <c r="A3162" t="s">
        <v>4979</v>
      </c>
      <c r="B3162" t="s">
        <v>2617</v>
      </c>
      <c r="C3162" t="s">
        <v>587</v>
      </c>
      <c r="D3162" t="s">
        <v>1064</v>
      </c>
      <c r="E3162">
        <v>1</v>
      </c>
      <c r="F3162">
        <f>_xlfn.XLOOKUP(Table1[[#This Row],[ProductID]],Products!A:A,Products!D:D,,0)</f>
        <v>160</v>
      </c>
      <c r="I3162">
        <v>699</v>
      </c>
      <c r="J3162">
        <v>629</v>
      </c>
      <c r="K3162" t="s">
        <v>1107</v>
      </c>
      <c r="L3162">
        <v>629</v>
      </c>
      <c r="M3162" t="s">
        <v>1098</v>
      </c>
      <c r="N3162" t="s">
        <v>1099</v>
      </c>
      <c r="O3162">
        <f>Table1[[#This Row],[Unit_Price]]*Table1[[#This Row],[Quantity]]</f>
        <v>160</v>
      </c>
    </row>
    <row r="3163" spans="1:15" x14ac:dyDescent="0.3">
      <c r="A3163" t="s">
        <v>4980</v>
      </c>
      <c r="B3163" t="s">
        <v>2890</v>
      </c>
      <c r="C3163" t="s">
        <v>969</v>
      </c>
      <c r="D3163" t="s">
        <v>1071</v>
      </c>
      <c r="E3163">
        <v>3</v>
      </c>
      <c r="F3163">
        <f>_xlfn.XLOOKUP(Table1[[#This Row],[ProductID]],Products!A:A,Products!D:D,,0)</f>
        <v>125</v>
      </c>
      <c r="I3163">
        <v>399</v>
      </c>
      <c r="J3163">
        <v>359</v>
      </c>
      <c r="K3163" t="s">
        <v>1107</v>
      </c>
      <c r="L3163">
        <v>1077</v>
      </c>
      <c r="M3163" t="s">
        <v>1093</v>
      </c>
      <c r="N3163" t="s">
        <v>1094</v>
      </c>
      <c r="O3163">
        <f>Table1[[#This Row],[Unit_Price]]*Table1[[#This Row],[Quantity]]</f>
        <v>375</v>
      </c>
    </row>
    <row r="3164" spans="1:15" x14ac:dyDescent="0.3">
      <c r="A3164" t="s">
        <v>4981</v>
      </c>
      <c r="B3164" t="s">
        <v>1333</v>
      </c>
      <c r="C3164" t="s">
        <v>187</v>
      </c>
      <c r="D3164" t="s">
        <v>1080</v>
      </c>
      <c r="E3164">
        <v>3</v>
      </c>
      <c r="F3164">
        <f>_xlfn.XLOOKUP(Table1[[#This Row],[ProductID]],Products!A:A,Products!D:D,,0)</f>
        <v>45</v>
      </c>
      <c r="I3164">
        <v>249</v>
      </c>
      <c r="J3164">
        <v>224</v>
      </c>
      <c r="K3164" t="s">
        <v>1107</v>
      </c>
      <c r="L3164">
        <v>672</v>
      </c>
      <c r="M3164" t="s">
        <v>1093</v>
      </c>
      <c r="N3164" t="s">
        <v>1099</v>
      </c>
      <c r="O3164">
        <f>Table1[[#This Row],[Unit_Price]]*Table1[[#This Row],[Quantity]]</f>
        <v>135</v>
      </c>
    </row>
    <row r="3165" spans="1:15" x14ac:dyDescent="0.3">
      <c r="A3165" t="s">
        <v>4982</v>
      </c>
      <c r="B3165" t="s">
        <v>3411</v>
      </c>
      <c r="C3165" t="s">
        <v>81</v>
      </c>
      <c r="D3165" t="s">
        <v>1062</v>
      </c>
      <c r="E3165">
        <v>1</v>
      </c>
      <c r="F3165">
        <f>_xlfn.XLOOKUP(Table1[[#This Row],[ProductID]],Products!A:A,Products!D:D,,0)</f>
        <v>95</v>
      </c>
      <c r="I3165">
        <v>349</v>
      </c>
      <c r="J3165">
        <v>349</v>
      </c>
      <c r="K3165" t="s">
        <v>1102</v>
      </c>
      <c r="L3165">
        <v>349</v>
      </c>
      <c r="M3165" t="s">
        <v>1093</v>
      </c>
      <c r="N3165" t="s">
        <v>1094</v>
      </c>
      <c r="O3165">
        <f>Table1[[#This Row],[Unit_Price]]*Table1[[#This Row],[Quantity]]</f>
        <v>95</v>
      </c>
    </row>
    <row r="3166" spans="1:15" x14ac:dyDescent="0.3">
      <c r="A3166" t="s">
        <v>4983</v>
      </c>
      <c r="B3166" t="s">
        <v>1690</v>
      </c>
      <c r="C3166" t="s">
        <v>697</v>
      </c>
      <c r="D3166" t="s">
        <v>1078</v>
      </c>
      <c r="E3166">
        <v>1</v>
      </c>
      <c r="F3166">
        <f>_xlfn.XLOOKUP(Table1[[#This Row],[ProductID]],Products!A:A,Products!D:D,,0)</f>
        <v>80</v>
      </c>
      <c r="I3166">
        <v>499</v>
      </c>
      <c r="J3166">
        <v>449</v>
      </c>
      <c r="K3166" t="s">
        <v>1107</v>
      </c>
      <c r="L3166">
        <v>449</v>
      </c>
      <c r="M3166" t="s">
        <v>1098</v>
      </c>
      <c r="N3166" t="s">
        <v>1099</v>
      </c>
      <c r="O3166">
        <f>Table1[[#This Row],[Unit_Price]]*Table1[[#This Row],[Quantity]]</f>
        <v>80</v>
      </c>
    </row>
    <row r="3167" spans="1:15" x14ac:dyDescent="0.3">
      <c r="A3167" t="s">
        <v>4984</v>
      </c>
      <c r="B3167" t="s">
        <v>3077</v>
      </c>
      <c r="C3167" t="s">
        <v>743</v>
      </c>
      <c r="D3167" t="s">
        <v>1059</v>
      </c>
      <c r="E3167">
        <v>1</v>
      </c>
      <c r="F3167">
        <f>_xlfn.XLOOKUP(Table1[[#This Row],[ProductID]],Products!A:A,Products!D:D,,0)</f>
        <v>110</v>
      </c>
      <c r="I3167">
        <v>399</v>
      </c>
      <c r="J3167">
        <v>339</v>
      </c>
      <c r="K3167" t="s">
        <v>1092</v>
      </c>
      <c r="L3167">
        <v>339</v>
      </c>
      <c r="M3167" t="s">
        <v>1093</v>
      </c>
      <c r="N3167" t="s">
        <v>1099</v>
      </c>
      <c r="O3167">
        <f>Table1[[#This Row],[Unit_Price]]*Table1[[#This Row],[Quantity]]</f>
        <v>110</v>
      </c>
    </row>
    <row r="3168" spans="1:15" x14ac:dyDescent="0.3">
      <c r="A3168" t="s">
        <v>4985</v>
      </c>
      <c r="B3168" t="s">
        <v>2124</v>
      </c>
      <c r="C3168" t="s">
        <v>941</v>
      </c>
      <c r="D3168" t="s">
        <v>1075</v>
      </c>
      <c r="E3168">
        <v>1</v>
      </c>
      <c r="F3168">
        <f>_xlfn.XLOOKUP(Table1[[#This Row],[ProductID]],Products!A:A,Products!D:D,,0)</f>
        <v>80</v>
      </c>
      <c r="I3168">
        <v>499</v>
      </c>
      <c r="J3168">
        <v>424</v>
      </c>
      <c r="K3168" t="s">
        <v>1092</v>
      </c>
      <c r="L3168">
        <v>424</v>
      </c>
      <c r="M3168" t="s">
        <v>1093</v>
      </c>
      <c r="N3168" t="s">
        <v>1094</v>
      </c>
      <c r="O3168">
        <f>Table1[[#This Row],[Unit_Price]]*Table1[[#This Row],[Quantity]]</f>
        <v>80</v>
      </c>
    </row>
    <row r="3169" spans="1:15" x14ac:dyDescent="0.3">
      <c r="A3169" t="s">
        <v>4986</v>
      </c>
      <c r="B3169" t="s">
        <v>2275</v>
      </c>
      <c r="C3169" t="s">
        <v>797</v>
      </c>
      <c r="D3169" t="s">
        <v>1053</v>
      </c>
      <c r="E3169">
        <v>1</v>
      </c>
      <c r="F3169">
        <f>_xlfn.XLOOKUP(Table1[[#This Row],[ProductID]],Products!A:A,Products!D:D,,0)</f>
        <v>200</v>
      </c>
      <c r="I3169">
        <v>899</v>
      </c>
      <c r="J3169">
        <v>764</v>
      </c>
      <c r="K3169" t="s">
        <v>1092</v>
      </c>
      <c r="L3169">
        <v>764</v>
      </c>
      <c r="M3169" t="s">
        <v>1118</v>
      </c>
      <c r="N3169" t="s">
        <v>1099</v>
      </c>
      <c r="O3169">
        <f>Table1[[#This Row],[Unit_Price]]*Table1[[#This Row],[Quantity]]</f>
        <v>200</v>
      </c>
    </row>
    <row r="3170" spans="1:15" x14ac:dyDescent="0.3">
      <c r="A3170" t="s">
        <v>4987</v>
      </c>
      <c r="B3170" t="s">
        <v>1763</v>
      </c>
      <c r="C3170" t="s">
        <v>499</v>
      </c>
      <c r="D3170" t="s">
        <v>1080</v>
      </c>
      <c r="E3170">
        <v>3</v>
      </c>
      <c r="F3170">
        <f>_xlfn.XLOOKUP(Table1[[#This Row],[ProductID]],Products!A:A,Products!D:D,,0)</f>
        <v>45</v>
      </c>
      <c r="I3170">
        <v>249</v>
      </c>
      <c r="J3170">
        <v>212</v>
      </c>
      <c r="K3170" t="s">
        <v>1092</v>
      </c>
      <c r="L3170">
        <v>636</v>
      </c>
      <c r="M3170" t="s">
        <v>1098</v>
      </c>
      <c r="N3170" t="s">
        <v>1099</v>
      </c>
      <c r="O3170">
        <f>Table1[[#This Row],[Unit_Price]]*Table1[[#This Row],[Quantity]]</f>
        <v>135</v>
      </c>
    </row>
    <row r="3171" spans="1:15" x14ac:dyDescent="0.3">
      <c r="A3171" t="s">
        <v>4988</v>
      </c>
      <c r="B3171" t="s">
        <v>1438</v>
      </c>
      <c r="C3171" t="s">
        <v>733</v>
      </c>
      <c r="D3171" t="s">
        <v>1064</v>
      </c>
      <c r="E3171">
        <v>1</v>
      </c>
      <c r="F3171">
        <f>_xlfn.XLOOKUP(Table1[[#This Row],[ProductID]],Products!A:A,Products!D:D,,0)</f>
        <v>160</v>
      </c>
      <c r="I3171">
        <v>699</v>
      </c>
      <c r="J3171">
        <v>594</v>
      </c>
      <c r="K3171" t="s">
        <v>1092</v>
      </c>
      <c r="L3171">
        <v>594</v>
      </c>
      <c r="M3171" t="s">
        <v>1093</v>
      </c>
      <c r="N3171" t="s">
        <v>1099</v>
      </c>
      <c r="O3171">
        <f>Table1[[#This Row],[Unit_Price]]*Table1[[#This Row],[Quantity]]</f>
        <v>160</v>
      </c>
    </row>
    <row r="3172" spans="1:15" x14ac:dyDescent="0.3">
      <c r="A3172" t="s">
        <v>4989</v>
      </c>
      <c r="B3172" t="s">
        <v>1244</v>
      </c>
      <c r="C3172" t="s">
        <v>203</v>
      </c>
      <c r="D3172" t="s">
        <v>1053</v>
      </c>
      <c r="E3172">
        <v>1</v>
      </c>
      <c r="F3172">
        <f>_xlfn.XLOOKUP(Table1[[#This Row],[ProductID]],Products!A:A,Products!D:D,,0)</f>
        <v>200</v>
      </c>
      <c r="I3172">
        <v>899</v>
      </c>
      <c r="J3172">
        <v>809</v>
      </c>
      <c r="K3172" t="s">
        <v>1107</v>
      </c>
      <c r="L3172">
        <v>809</v>
      </c>
      <c r="M3172" t="s">
        <v>1118</v>
      </c>
      <c r="N3172" t="s">
        <v>1099</v>
      </c>
      <c r="O3172">
        <f>Table1[[#This Row],[Unit_Price]]*Table1[[#This Row],[Quantity]]</f>
        <v>200</v>
      </c>
    </row>
    <row r="3173" spans="1:15" x14ac:dyDescent="0.3">
      <c r="A3173" t="s">
        <v>4990</v>
      </c>
      <c r="B3173" t="s">
        <v>2389</v>
      </c>
      <c r="C3173" t="s">
        <v>589</v>
      </c>
      <c r="D3173" t="s">
        <v>1057</v>
      </c>
      <c r="E3173">
        <v>1</v>
      </c>
      <c r="F3173">
        <f>_xlfn.XLOOKUP(Table1[[#This Row],[ProductID]],Products!A:A,Products!D:D,,0)</f>
        <v>130</v>
      </c>
      <c r="I3173">
        <v>549</v>
      </c>
      <c r="J3173">
        <v>549</v>
      </c>
      <c r="K3173" t="s">
        <v>1102</v>
      </c>
      <c r="L3173">
        <v>549</v>
      </c>
      <c r="M3173" t="s">
        <v>1093</v>
      </c>
      <c r="N3173" t="s">
        <v>1094</v>
      </c>
      <c r="O3173">
        <f>Table1[[#This Row],[Unit_Price]]*Table1[[#This Row],[Quantity]]</f>
        <v>130</v>
      </c>
    </row>
    <row r="3174" spans="1:15" x14ac:dyDescent="0.3">
      <c r="A3174" t="s">
        <v>4991</v>
      </c>
      <c r="B3174" t="s">
        <v>2251</v>
      </c>
      <c r="C3174" t="s">
        <v>120</v>
      </c>
      <c r="D3174" t="s">
        <v>1078</v>
      </c>
      <c r="E3174">
        <v>1</v>
      </c>
      <c r="F3174">
        <f>_xlfn.XLOOKUP(Table1[[#This Row],[ProductID]],Products!A:A,Products!D:D,,0)</f>
        <v>80</v>
      </c>
      <c r="I3174">
        <v>499</v>
      </c>
      <c r="J3174">
        <v>449</v>
      </c>
      <c r="K3174" t="s">
        <v>1107</v>
      </c>
      <c r="L3174">
        <v>449</v>
      </c>
      <c r="M3174" t="s">
        <v>1093</v>
      </c>
      <c r="N3174" t="s">
        <v>1094</v>
      </c>
      <c r="O3174">
        <f>Table1[[#This Row],[Unit_Price]]*Table1[[#This Row],[Quantity]]</f>
        <v>80</v>
      </c>
    </row>
    <row r="3175" spans="1:15" x14ac:dyDescent="0.3">
      <c r="A3175" t="s">
        <v>4992</v>
      </c>
      <c r="B3175" t="s">
        <v>2549</v>
      </c>
      <c r="C3175" t="s">
        <v>781</v>
      </c>
      <c r="D3175" t="s">
        <v>1073</v>
      </c>
      <c r="E3175">
        <v>2</v>
      </c>
      <c r="F3175">
        <f>_xlfn.XLOOKUP(Table1[[#This Row],[ProductID]],Products!A:A,Products!D:D,,0)</f>
        <v>100</v>
      </c>
      <c r="I3175">
        <v>349</v>
      </c>
      <c r="J3175">
        <v>279</v>
      </c>
      <c r="K3175" t="s">
        <v>1097</v>
      </c>
      <c r="L3175">
        <v>558</v>
      </c>
      <c r="M3175" t="s">
        <v>1093</v>
      </c>
      <c r="N3175" t="s">
        <v>1099</v>
      </c>
      <c r="O3175">
        <f>Table1[[#This Row],[Unit_Price]]*Table1[[#This Row],[Quantity]]</f>
        <v>200</v>
      </c>
    </row>
    <row r="3176" spans="1:15" x14ac:dyDescent="0.3">
      <c r="A3176" t="s">
        <v>4993</v>
      </c>
      <c r="B3176" t="s">
        <v>1931</v>
      </c>
      <c r="C3176" t="s">
        <v>781</v>
      </c>
      <c r="D3176" t="s">
        <v>1073</v>
      </c>
      <c r="E3176">
        <v>1</v>
      </c>
      <c r="F3176">
        <f>_xlfn.XLOOKUP(Table1[[#This Row],[ProductID]],Products!A:A,Products!D:D,,0)</f>
        <v>100</v>
      </c>
      <c r="I3176">
        <v>349</v>
      </c>
      <c r="J3176">
        <v>297</v>
      </c>
      <c r="K3176" t="s">
        <v>1092</v>
      </c>
      <c r="L3176">
        <v>297</v>
      </c>
      <c r="M3176" t="s">
        <v>1093</v>
      </c>
      <c r="N3176" t="s">
        <v>1094</v>
      </c>
      <c r="O3176">
        <f>Table1[[#This Row],[Unit_Price]]*Table1[[#This Row],[Quantity]]</f>
        <v>100</v>
      </c>
    </row>
    <row r="3177" spans="1:15" x14ac:dyDescent="0.3">
      <c r="A3177" t="s">
        <v>4994</v>
      </c>
      <c r="B3177" t="s">
        <v>4078</v>
      </c>
      <c r="C3177" t="s">
        <v>889</v>
      </c>
      <c r="D3177" t="s">
        <v>1059</v>
      </c>
      <c r="E3177">
        <v>2</v>
      </c>
      <c r="F3177">
        <f>_xlfn.XLOOKUP(Table1[[#This Row],[ProductID]],Products!A:A,Products!D:D,,0)</f>
        <v>110</v>
      </c>
      <c r="I3177">
        <v>399</v>
      </c>
      <c r="J3177">
        <v>399</v>
      </c>
      <c r="K3177" t="s">
        <v>1102</v>
      </c>
      <c r="L3177">
        <v>798</v>
      </c>
      <c r="M3177" t="s">
        <v>1118</v>
      </c>
      <c r="N3177" t="s">
        <v>1099</v>
      </c>
      <c r="O3177">
        <f>Table1[[#This Row],[Unit_Price]]*Table1[[#This Row],[Quantity]]</f>
        <v>220</v>
      </c>
    </row>
    <row r="3178" spans="1:15" x14ac:dyDescent="0.3">
      <c r="A3178" t="s">
        <v>4995</v>
      </c>
      <c r="B3178" t="s">
        <v>2819</v>
      </c>
      <c r="C3178" t="s">
        <v>1029</v>
      </c>
      <c r="D3178" t="s">
        <v>1057</v>
      </c>
      <c r="E3178">
        <v>1</v>
      </c>
      <c r="F3178">
        <f>_xlfn.XLOOKUP(Table1[[#This Row],[ProductID]],Products!A:A,Products!D:D,,0)</f>
        <v>130</v>
      </c>
      <c r="I3178">
        <v>549</v>
      </c>
      <c r="J3178">
        <v>549</v>
      </c>
      <c r="K3178" t="s">
        <v>1102</v>
      </c>
      <c r="L3178">
        <v>549</v>
      </c>
      <c r="M3178" t="s">
        <v>1093</v>
      </c>
      <c r="N3178" t="s">
        <v>1094</v>
      </c>
      <c r="O3178">
        <f>Table1[[#This Row],[Unit_Price]]*Table1[[#This Row],[Quantity]]</f>
        <v>130</v>
      </c>
    </row>
    <row r="3179" spans="1:15" x14ac:dyDescent="0.3">
      <c r="A3179" t="s">
        <v>4996</v>
      </c>
      <c r="B3179" t="s">
        <v>2898</v>
      </c>
      <c r="C3179" t="s">
        <v>797</v>
      </c>
      <c r="D3179" t="s">
        <v>1053</v>
      </c>
      <c r="E3179">
        <v>1</v>
      </c>
      <c r="F3179">
        <f>_xlfn.XLOOKUP(Table1[[#This Row],[ProductID]],Products!A:A,Products!D:D,,0)</f>
        <v>200</v>
      </c>
      <c r="I3179">
        <v>899</v>
      </c>
      <c r="J3179">
        <v>809</v>
      </c>
      <c r="K3179" t="s">
        <v>1107</v>
      </c>
      <c r="L3179">
        <v>809</v>
      </c>
      <c r="M3179" t="s">
        <v>1093</v>
      </c>
      <c r="N3179" t="s">
        <v>1099</v>
      </c>
      <c r="O3179">
        <f>Table1[[#This Row],[Unit_Price]]*Table1[[#This Row],[Quantity]]</f>
        <v>200</v>
      </c>
    </row>
    <row r="3180" spans="1:15" x14ac:dyDescent="0.3">
      <c r="A3180" t="s">
        <v>4997</v>
      </c>
      <c r="B3180" t="s">
        <v>2377</v>
      </c>
      <c r="C3180" t="s">
        <v>999</v>
      </c>
      <c r="D3180" t="s">
        <v>1080</v>
      </c>
      <c r="E3180">
        <v>1</v>
      </c>
      <c r="F3180">
        <f>_xlfn.XLOOKUP(Table1[[#This Row],[ProductID]],Products!A:A,Products!D:D,,0)</f>
        <v>45</v>
      </c>
      <c r="I3180">
        <v>249</v>
      </c>
      <c r="J3180">
        <v>212</v>
      </c>
      <c r="K3180" t="s">
        <v>1092</v>
      </c>
      <c r="L3180">
        <v>212</v>
      </c>
      <c r="M3180" t="s">
        <v>1098</v>
      </c>
      <c r="N3180" t="s">
        <v>1099</v>
      </c>
      <c r="O3180">
        <f>Table1[[#This Row],[Unit_Price]]*Table1[[#This Row],[Quantity]]</f>
        <v>45</v>
      </c>
    </row>
    <row r="3181" spans="1:15" x14ac:dyDescent="0.3">
      <c r="A3181" t="s">
        <v>4998</v>
      </c>
      <c r="B3181" t="s">
        <v>2658</v>
      </c>
      <c r="C3181" t="s">
        <v>827</v>
      </c>
      <c r="D3181" t="s">
        <v>1055</v>
      </c>
      <c r="E3181">
        <v>1</v>
      </c>
      <c r="F3181">
        <f>_xlfn.XLOOKUP(Table1[[#This Row],[ProductID]],Products!A:A,Products!D:D,,0)</f>
        <v>75</v>
      </c>
      <c r="I3181">
        <v>299</v>
      </c>
      <c r="J3181">
        <v>299</v>
      </c>
      <c r="K3181" t="s">
        <v>1102</v>
      </c>
      <c r="L3181">
        <v>299</v>
      </c>
      <c r="M3181" t="s">
        <v>1098</v>
      </c>
      <c r="N3181" t="s">
        <v>1099</v>
      </c>
      <c r="O3181">
        <f>Table1[[#This Row],[Unit_Price]]*Table1[[#This Row],[Quantity]]</f>
        <v>75</v>
      </c>
    </row>
    <row r="3182" spans="1:15" x14ac:dyDescent="0.3">
      <c r="A3182" t="s">
        <v>4999</v>
      </c>
      <c r="B3182" t="s">
        <v>1113</v>
      </c>
      <c r="C3182" t="s">
        <v>443</v>
      </c>
      <c r="D3182" t="s">
        <v>1066</v>
      </c>
      <c r="E3182">
        <v>1</v>
      </c>
      <c r="F3182">
        <f>_xlfn.XLOOKUP(Table1[[#This Row],[ProductID]],Products!A:A,Products!D:D,,0)</f>
        <v>140</v>
      </c>
      <c r="I3182">
        <v>499</v>
      </c>
      <c r="J3182">
        <v>424</v>
      </c>
      <c r="K3182" t="s">
        <v>1092</v>
      </c>
      <c r="L3182">
        <v>424</v>
      </c>
      <c r="M3182" t="s">
        <v>1126</v>
      </c>
      <c r="N3182" t="s">
        <v>1099</v>
      </c>
      <c r="O3182">
        <f>Table1[[#This Row],[Unit_Price]]*Table1[[#This Row],[Quantity]]</f>
        <v>140</v>
      </c>
    </row>
    <row r="3183" spans="1:15" x14ac:dyDescent="0.3">
      <c r="A3183" t="s">
        <v>5000</v>
      </c>
      <c r="B3183" t="s">
        <v>2967</v>
      </c>
      <c r="C3183" t="s">
        <v>903</v>
      </c>
      <c r="D3183" t="s">
        <v>1068</v>
      </c>
      <c r="E3183">
        <v>1</v>
      </c>
      <c r="F3183">
        <f>_xlfn.XLOOKUP(Table1[[#This Row],[ProductID]],Products!A:A,Products!D:D,,0)</f>
        <v>180</v>
      </c>
      <c r="I3183">
        <v>449</v>
      </c>
      <c r="J3183">
        <v>449</v>
      </c>
      <c r="K3183" t="s">
        <v>1102</v>
      </c>
      <c r="L3183">
        <v>449</v>
      </c>
      <c r="M3183" t="s">
        <v>1093</v>
      </c>
      <c r="N3183" t="s">
        <v>1099</v>
      </c>
      <c r="O3183">
        <f>Table1[[#This Row],[Unit_Price]]*Table1[[#This Row],[Quantity]]</f>
        <v>180</v>
      </c>
    </row>
    <row r="3184" spans="1:15" x14ac:dyDescent="0.3">
      <c r="A3184" t="s">
        <v>5001</v>
      </c>
      <c r="B3184" t="s">
        <v>1194</v>
      </c>
      <c r="C3184" t="s">
        <v>257</v>
      </c>
      <c r="D3184" t="s">
        <v>1048</v>
      </c>
      <c r="E3184">
        <v>1</v>
      </c>
      <c r="F3184">
        <f>_xlfn.XLOOKUP(Table1[[#This Row],[ProductID]],Products!A:A,Products!D:D,,0)</f>
        <v>120</v>
      </c>
      <c r="I3184">
        <v>599</v>
      </c>
      <c r="J3184">
        <v>509</v>
      </c>
      <c r="K3184" t="s">
        <v>1092</v>
      </c>
      <c r="L3184">
        <v>509</v>
      </c>
      <c r="M3184" t="s">
        <v>1098</v>
      </c>
      <c r="N3184" t="s">
        <v>1099</v>
      </c>
      <c r="O3184">
        <f>Table1[[#This Row],[Unit_Price]]*Table1[[#This Row],[Quantity]]</f>
        <v>120</v>
      </c>
    </row>
    <row r="3185" spans="1:15" x14ac:dyDescent="0.3">
      <c r="A3185" t="s">
        <v>5002</v>
      </c>
      <c r="B3185" t="s">
        <v>1268</v>
      </c>
      <c r="C3185" t="s">
        <v>357</v>
      </c>
      <c r="D3185" t="s">
        <v>1062</v>
      </c>
      <c r="E3185">
        <v>1</v>
      </c>
      <c r="F3185">
        <f>_xlfn.XLOOKUP(Table1[[#This Row],[ProductID]],Products!A:A,Products!D:D,,0)</f>
        <v>95</v>
      </c>
      <c r="I3185">
        <v>349</v>
      </c>
      <c r="J3185">
        <v>279</v>
      </c>
      <c r="K3185" t="s">
        <v>1097</v>
      </c>
      <c r="L3185">
        <v>279</v>
      </c>
      <c r="M3185" t="s">
        <v>1098</v>
      </c>
      <c r="N3185" t="s">
        <v>1099</v>
      </c>
      <c r="O3185">
        <f>Table1[[#This Row],[Unit_Price]]*Table1[[#This Row],[Quantity]]</f>
        <v>95</v>
      </c>
    </row>
    <row r="3186" spans="1:15" x14ac:dyDescent="0.3">
      <c r="A3186" t="s">
        <v>5003</v>
      </c>
      <c r="B3186" t="s">
        <v>2165</v>
      </c>
      <c r="C3186" t="s">
        <v>659</v>
      </c>
      <c r="D3186" t="s">
        <v>1073</v>
      </c>
      <c r="E3186">
        <v>2</v>
      </c>
      <c r="F3186">
        <f>_xlfn.XLOOKUP(Table1[[#This Row],[ProductID]],Products!A:A,Products!D:D,,0)</f>
        <v>100</v>
      </c>
      <c r="I3186">
        <v>349</v>
      </c>
      <c r="J3186">
        <v>349</v>
      </c>
      <c r="K3186" t="s">
        <v>1102</v>
      </c>
      <c r="L3186">
        <v>698</v>
      </c>
      <c r="M3186" t="s">
        <v>1093</v>
      </c>
      <c r="N3186" t="s">
        <v>1094</v>
      </c>
      <c r="O3186">
        <f>Table1[[#This Row],[Unit_Price]]*Table1[[#This Row],[Quantity]]</f>
        <v>200</v>
      </c>
    </row>
    <row r="3187" spans="1:15" x14ac:dyDescent="0.3">
      <c r="A3187" t="s">
        <v>5004</v>
      </c>
      <c r="B3187" t="s">
        <v>1275</v>
      </c>
      <c r="C3187" t="s">
        <v>327</v>
      </c>
      <c r="D3187" t="s">
        <v>1078</v>
      </c>
      <c r="E3187">
        <v>1</v>
      </c>
      <c r="F3187">
        <f>_xlfn.XLOOKUP(Table1[[#This Row],[ProductID]],Products!A:A,Products!D:D,,0)</f>
        <v>80</v>
      </c>
      <c r="I3187">
        <v>499</v>
      </c>
      <c r="J3187">
        <v>449</v>
      </c>
      <c r="K3187" t="s">
        <v>1107</v>
      </c>
      <c r="L3187">
        <v>449</v>
      </c>
      <c r="M3187" t="s">
        <v>1098</v>
      </c>
      <c r="N3187" t="s">
        <v>1099</v>
      </c>
      <c r="O3187">
        <f>Table1[[#This Row],[Unit_Price]]*Table1[[#This Row],[Quantity]]</f>
        <v>80</v>
      </c>
    </row>
    <row r="3188" spans="1:15" x14ac:dyDescent="0.3">
      <c r="A3188" t="s">
        <v>5005</v>
      </c>
      <c r="B3188" t="s">
        <v>4511</v>
      </c>
      <c r="C3188" t="s">
        <v>449</v>
      </c>
      <c r="D3188" t="s">
        <v>1080</v>
      </c>
      <c r="E3188">
        <v>2</v>
      </c>
      <c r="F3188">
        <f>_xlfn.XLOOKUP(Table1[[#This Row],[ProductID]],Products!A:A,Products!D:D,,0)</f>
        <v>45</v>
      </c>
      <c r="I3188">
        <v>249</v>
      </c>
      <c r="J3188">
        <v>224</v>
      </c>
      <c r="K3188" t="s">
        <v>1107</v>
      </c>
      <c r="L3188">
        <v>448</v>
      </c>
      <c r="M3188" t="s">
        <v>1098</v>
      </c>
      <c r="N3188" t="s">
        <v>1099</v>
      </c>
      <c r="O3188">
        <f>Table1[[#This Row],[Unit_Price]]*Table1[[#This Row],[Quantity]]</f>
        <v>90</v>
      </c>
    </row>
    <row r="3189" spans="1:15" x14ac:dyDescent="0.3">
      <c r="A3189" t="s">
        <v>5006</v>
      </c>
      <c r="B3189" t="s">
        <v>3589</v>
      </c>
      <c r="C3189" t="s">
        <v>459</v>
      </c>
      <c r="D3189" t="s">
        <v>1075</v>
      </c>
      <c r="E3189">
        <v>1</v>
      </c>
      <c r="F3189">
        <f>_xlfn.XLOOKUP(Table1[[#This Row],[ProductID]],Products!A:A,Products!D:D,,0)</f>
        <v>80</v>
      </c>
      <c r="I3189">
        <v>499</v>
      </c>
      <c r="J3189">
        <v>499</v>
      </c>
      <c r="K3189" t="s">
        <v>1102</v>
      </c>
      <c r="L3189">
        <v>499</v>
      </c>
      <c r="M3189" t="s">
        <v>1098</v>
      </c>
      <c r="N3189" t="s">
        <v>1099</v>
      </c>
      <c r="O3189">
        <f>Table1[[#This Row],[Unit_Price]]*Table1[[#This Row],[Quantity]]</f>
        <v>80</v>
      </c>
    </row>
    <row r="3190" spans="1:15" x14ac:dyDescent="0.3">
      <c r="A3190" t="s">
        <v>5007</v>
      </c>
      <c r="B3190" t="s">
        <v>1909</v>
      </c>
      <c r="C3190" t="s">
        <v>503</v>
      </c>
      <c r="D3190" t="s">
        <v>1055</v>
      </c>
      <c r="E3190">
        <v>1</v>
      </c>
      <c r="F3190">
        <f>_xlfn.XLOOKUP(Table1[[#This Row],[ProductID]],Products!A:A,Products!D:D,,0)</f>
        <v>75</v>
      </c>
      <c r="I3190">
        <v>299</v>
      </c>
      <c r="J3190">
        <v>254</v>
      </c>
      <c r="K3190" t="s">
        <v>1092</v>
      </c>
      <c r="L3190">
        <v>254</v>
      </c>
      <c r="M3190" t="s">
        <v>1098</v>
      </c>
      <c r="N3190" t="s">
        <v>1099</v>
      </c>
      <c r="O3190">
        <f>Table1[[#This Row],[Unit_Price]]*Table1[[#This Row],[Quantity]]</f>
        <v>75</v>
      </c>
    </row>
    <row r="3191" spans="1:15" x14ac:dyDescent="0.3">
      <c r="A3191" t="s">
        <v>5008</v>
      </c>
      <c r="B3191" t="s">
        <v>3086</v>
      </c>
      <c r="C3191" t="s">
        <v>881</v>
      </c>
      <c r="D3191" t="s">
        <v>1068</v>
      </c>
      <c r="E3191">
        <v>1</v>
      </c>
      <c r="F3191">
        <f>_xlfn.XLOOKUP(Table1[[#This Row],[ProductID]],Products!A:A,Products!D:D,,0)</f>
        <v>180</v>
      </c>
      <c r="I3191">
        <v>449</v>
      </c>
      <c r="J3191">
        <v>404</v>
      </c>
      <c r="K3191" t="s">
        <v>1107</v>
      </c>
      <c r="L3191">
        <v>404</v>
      </c>
      <c r="M3191" t="s">
        <v>1098</v>
      </c>
      <c r="N3191" t="s">
        <v>1099</v>
      </c>
      <c r="O3191">
        <f>Table1[[#This Row],[Unit_Price]]*Table1[[#This Row],[Quantity]]</f>
        <v>180</v>
      </c>
    </row>
    <row r="3192" spans="1:15" x14ac:dyDescent="0.3">
      <c r="A3192" t="s">
        <v>5009</v>
      </c>
      <c r="B3192" t="s">
        <v>1517</v>
      </c>
      <c r="C3192" t="s">
        <v>89</v>
      </c>
      <c r="D3192" t="s">
        <v>1073</v>
      </c>
      <c r="E3192">
        <v>1</v>
      </c>
      <c r="F3192">
        <f>_xlfn.XLOOKUP(Table1[[#This Row],[ProductID]],Products!A:A,Products!D:D,,0)</f>
        <v>100</v>
      </c>
      <c r="I3192">
        <v>349</v>
      </c>
      <c r="J3192">
        <v>314</v>
      </c>
      <c r="K3192" t="s">
        <v>1107</v>
      </c>
      <c r="L3192">
        <v>314</v>
      </c>
      <c r="M3192" t="s">
        <v>1093</v>
      </c>
      <c r="N3192" t="s">
        <v>1123</v>
      </c>
      <c r="O3192">
        <f>Table1[[#This Row],[Unit_Price]]*Table1[[#This Row],[Quantity]]</f>
        <v>100</v>
      </c>
    </row>
    <row r="3193" spans="1:15" x14ac:dyDescent="0.3">
      <c r="A3193" t="s">
        <v>5010</v>
      </c>
      <c r="B3193" t="s">
        <v>1392</v>
      </c>
      <c r="C3193" t="s">
        <v>599</v>
      </c>
      <c r="D3193" t="s">
        <v>1075</v>
      </c>
      <c r="E3193">
        <v>1</v>
      </c>
      <c r="F3193">
        <f>_xlfn.XLOOKUP(Table1[[#This Row],[ProductID]],Products!A:A,Products!D:D,,0)</f>
        <v>80</v>
      </c>
      <c r="I3193">
        <v>499</v>
      </c>
      <c r="J3193">
        <v>399</v>
      </c>
      <c r="K3193" t="s">
        <v>1097</v>
      </c>
      <c r="L3193">
        <v>399</v>
      </c>
      <c r="M3193" t="s">
        <v>1098</v>
      </c>
      <c r="N3193" t="s">
        <v>1099</v>
      </c>
      <c r="O3193">
        <f>Table1[[#This Row],[Unit_Price]]*Table1[[#This Row],[Quantity]]</f>
        <v>80</v>
      </c>
    </row>
    <row r="3194" spans="1:15" x14ac:dyDescent="0.3">
      <c r="A3194" t="s">
        <v>5011</v>
      </c>
      <c r="B3194" t="s">
        <v>2705</v>
      </c>
      <c r="C3194" t="s">
        <v>949</v>
      </c>
      <c r="D3194" t="s">
        <v>1062</v>
      </c>
      <c r="E3194">
        <v>1</v>
      </c>
      <c r="F3194">
        <f>_xlfn.XLOOKUP(Table1[[#This Row],[ProductID]],Products!A:A,Products!D:D,,0)</f>
        <v>95</v>
      </c>
      <c r="I3194">
        <v>349</v>
      </c>
      <c r="J3194">
        <v>349</v>
      </c>
      <c r="K3194" t="s">
        <v>1102</v>
      </c>
      <c r="L3194">
        <v>349</v>
      </c>
      <c r="M3194" t="s">
        <v>1093</v>
      </c>
      <c r="N3194" t="s">
        <v>1094</v>
      </c>
      <c r="O3194">
        <f>Table1[[#This Row],[Unit_Price]]*Table1[[#This Row],[Quantity]]</f>
        <v>95</v>
      </c>
    </row>
    <row r="3195" spans="1:15" x14ac:dyDescent="0.3">
      <c r="A3195" t="s">
        <v>5012</v>
      </c>
      <c r="B3195" t="s">
        <v>3399</v>
      </c>
      <c r="C3195" t="s">
        <v>635</v>
      </c>
      <c r="D3195" t="s">
        <v>1078</v>
      </c>
      <c r="E3195">
        <v>1</v>
      </c>
      <c r="F3195">
        <f>_xlfn.XLOOKUP(Table1[[#This Row],[ProductID]],Products!A:A,Products!D:D,,0)</f>
        <v>80</v>
      </c>
      <c r="I3195">
        <v>499</v>
      </c>
      <c r="J3195">
        <v>399</v>
      </c>
      <c r="K3195" t="s">
        <v>1097</v>
      </c>
      <c r="L3195">
        <v>399</v>
      </c>
      <c r="M3195" t="s">
        <v>1093</v>
      </c>
      <c r="N3195" t="s">
        <v>1099</v>
      </c>
      <c r="O3195">
        <f>Table1[[#This Row],[Unit_Price]]*Table1[[#This Row],[Quantity]]</f>
        <v>80</v>
      </c>
    </row>
    <row r="3196" spans="1:15" x14ac:dyDescent="0.3">
      <c r="A3196" t="s">
        <v>5013</v>
      </c>
      <c r="B3196" t="s">
        <v>2654</v>
      </c>
      <c r="C3196" t="s">
        <v>223</v>
      </c>
      <c r="D3196" t="s">
        <v>1055</v>
      </c>
      <c r="E3196">
        <v>2</v>
      </c>
      <c r="F3196">
        <f>_xlfn.XLOOKUP(Table1[[#This Row],[ProductID]],Products!A:A,Products!D:D,,0)</f>
        <v>75</v>
      </c>
      <c r="I3196">
        <v>299</v>
      </c>
      <c r="J3196">
        <v>239</v>
      </c>
      <c r="K3196" t="s">
        <v>1097</v>
      </c>
      <c r="L3196">
        <v>478</v>
      </c>
      <c r="M3196" t="s">
        <v>1098</v>
      </c>
      <c r="N3196" t="s">
        <v>1099</v>
      </c>
      <c r="O3196">
        <f>Table1[[#This Row],[Unit_Price]]*Table1[[#This Row],[Quantity]]</f>
        <v>150</v>
      </c>
    </row>
    <row r="3197" spans="1:15" x14ac:dyDescent="0.3">
      <c r="A3197" t="s">
        <v>5014</v>
      </c>
      <c r="B3197" t="s">
        <v>4260</v>
      </c>
      <c r="C3197" t="s">
        <v>1021</v>
      </c>
      <c r="D3197" t="s">
        <v>1080</v>
      </c>
      <c r="E3197">
        <v>1</v>
      </c>
      <c r="F3197">
        <f>_xlfn.XLOOKUP(Table1[[#This Row],[ProductID]],Products!A:A,Products!D:D,,0)</f>
        <v>45</v>
      </c>
      <c r="I3197">
        <v>249</v>
      </c>
      <c r="J3197">
        <v>212</v>
      </c>
      <c r="K3197" t="s">
        <v>1092</v>
      </c>
      <c r="L3197">
        <v>212</v>
      </c>
      <c r="M3197" t="s">
        <v>1093</v>
      </c>
      <c r="N3197" t="s">
        <v>1094</v>
      </c>
      <c r="O3197">
        <f>Table1[[#This Row],[Unit_Price]]*Table1[[#This Row],[Quantity]]</f>
        <v>45</v>
      </c>
    </row>
    <row r="3198" spans="1:15" x14ac:dyDescent="0.3">
      <c r="A3198" t="s">
        <v>5015</v>
      </c>
      <c r="B3198" t="s">
        <v>1993</v>
      </c>
      <c r="C3198" t="s">
        <v>997</v>
      </c>
      <c r="D3198" t="s">
        <v>1053</v>
      </c>
      <c r="E3198">
        <v>1</v>
      </c>
      <c r="F3198">
        <f>_xlfn.XLOOKUP(Table1[[#This Row],[ProductID]],Products!A:A,Products!D:D,,0)</f>
        <v>200</v>
      </c>
      <c r="I3198">
        <v>899</v>
      </c>
      <c r="J3198">
        <v>719</v>
      </c>
      <c r="K3198" t="s">
        <v>1097</v>
      </c>
      <c r="L3198">
        <v>719</v>
      </c>
      <c r="M3198" t="s">
        <v>1098</v>
      </c>
      <c r="N3198" t="s">
        <v>1099</v>
      </c>
      <c r="O3198">
        <f>Table1[[#This Row],[Unit_Price]]*Table1[[#This Row],[Quantity]]</f>
        <v>200</v>
      </c>
    </row>
    <row r="3199" spans="1:15" x14ac:dyDescent="0.3">
      <c r="A3199" t="s">
        <v>5016</v>
      </c>
      <c r="B3199" t="s">
        <v>4271</v>
      </c>
      <c r="C3199" t="s">
        <v>897</v>
      </c>
      <c r="D3199" t="s">
        <v>1055</v>
      </c>
      <c r="E3199">
        <v>1</v>
      </c>
      <c r="F3199">
        <f>_xlfn.XLOOKUP(Table1[[#This Row],[ProductID]],Products!A:A,Products!D:D,,0)</f>
        <v>75</v>
      </c>
      <c r="I3199">
        <v>299</v>
      </c>
      <c r="J3199">
        <v>254</v>
      </c>
      <c r="K3199" t="s">
        <v>1092</v>
      </c>
      <c r="L3199">
        <v>254</v>
      </c>
      <c r="M3199" t="s">
        <v>1098</v>
      </c>
      <c r="N3199" t="s">
        <v>1099</v>
      </c>
      <c r="O3199">
        <f>Table1[[#This Row],[Unit_Price]]*Table1[[#This Row],[Quantity]]</f>
        <v>75</v>
      </c>
    </row>
    <row r="3200" spans="1:15" x14ac:dyDescent="0.3">
      <c r="A3200" t="s">
        <v>5017</v>
      </c>
      <c r="B3200" t="s">
        <v>1705</v>
      </c>
      <c r="C3200" t="s">
        <v>44</v>
      </c>
      <c r="D3200" t="s">
        <v>1075</v>
      </c>
      <c r="E3200">
        <v>1</v>
      </c>
      <c r="F3200">
        <f>_xlfn.XLOOKUP(Table1[[#This Row],[ProductID]],Products!A:A,Products!D:D,,0)</f>
        <v>80</v>
      </c>
      <c r="I3200">
        <v>499</v>
      </c>
      <c r="J3200">
        <v>449</v>
      </c>
      <c r="K3200" t="s">
        <v>1107</v>
      </c>
      <c r="L3200">
        <v>449</v>
      </c>
      <c r="M3200" t="s">
        <v>1098</v>
      </c>
      <c r="N3200" t="s">
        <v>1099</v>
      </c>
      <c r="O3200">
        <f>Table1[[#This Row],[Unit_Price]]*Table1[[#This Row],[Quantity]]</f>
        <v>80</v>
      </c>
    </row>
    <row r="3201" spans="1:15" x14ac:dyDescent="0.3">
      <c r="A3201" t="s">
        <v>5018</v>
      </c>
      <c r="B3201" t="s">
        <v>1785</v>
      </c>
      <c r="C3201" t="s">
        <v>445</v>
      </c>
      <c r="D3201" t="s">
        <v>1066</v>
      </c>
      <c r="E3201">
        <v>2</v>
      </c>
      <c r="F3201">
        <f>_xlfn.XLOOKUP(Table1[[#This Row],[ProductID]],Products!A:A,Products!D:D,,0)</f>
        <v>140</v>
      </c>
      <c r="I3201">
        <v>499</v>
      </c>
      <c r="J3201">
        <v>449</v>
      </c>
      <c r="K3201" t="s">
        <v>1107</v>
      </c>
      <c r="L3201">
        <v>898</v>
      </c>
      <c r="M3201" t="s">
        <v>1098</v>
      </c>
      <c r="N3201" t="s">
        <v>1099</v>
      </c>
      <c r="O3201">
        <f>Table1[[#This Row],[Unit_Price]]*Table1[[#This Row],[Quantity]]</f>
        <v>280</v>
      </c>
    </row>
    <row r="3202" spans="1:15" x14ac:dyDescent="0.3">
      <c r="A3202" t="s">
        <v>5019</v>
      </c>
      <c r="B3202" t="s">
        <v>3026</v>
      </c>
      <c r="C3202" t="s">
        <v>695</v>
      </c>
      <c r="D3202" t="s">
        <v>1071</v>
      </c>
      <c r="E3202">
        <v>2</v>
      </c>
      <c r="F3202">
        <f>_xlfn.XLOOKUP(Table1[[#This Row],[ProductID]],Products!A:A,Products!D:D,,0)</f>
        <v>125</v>
      </c>
      <c r="I3202">
        <v>399</v>
      </c>
      <c r="J3202">
        <v>319</v>
      </c>
      <c r="K3202" t="s">
        <v>1097</v>
      </c>
      <c r="L3202">
        <v>638</v>
      </c>
      <c r="M3202" t="s">
        <v>1093</v>
      </c>
      <c r="N3202" t="s">
        <v>1094</v>
      </c>
      <c r="O3202">
        <f>Table1[[#This Row],[Unit_Price]]*Table1[[#This Row],[Quantity]]</f>
        <v>250</v>
      </c>
    </row>
    <row r="3203" spans="1:15" x14ac:dyDescent="0.3">
      <c r="A3203" t="s">
        <v>5020</v>
      </c>
      <c r="B3203" t="s">
        <v>1759</v>
      </c>
      <c r="C3203" t="s">
        <v>531</v>
      </c>
      <c r="D3203" t="s">
        <v>1068</v>
      </c>
      <c r="E3203">
        <v>1</v>
      </c>
      <c r="F3203">
        <f>_xlfn.XLOOKUP(Table1[[#This Row],[ProductID]],Products!A:A,Products!D:D,,0)</f>
        <v>180</v>
      </c>
      <c r="I3203">
        <v>449</v>
      </c>
      <c r="J3203">
        <v>404</v>
      </c>
      <c r="K3203" t="s">
        <v>1107</v>
      </c>
      <c r="L3203">
        <v>404</v>
      </c>
      <c r="M3203" t="s">
        <v>1093</v>
      </c>
      <c r="N3203" t="s">
        <v>1099</v>
      </c>
      <c r="O3203">
        <f>Table1[[#This Row],[Unit_Price]]*Table1[[#This Row],[Quantity]]</f>
        <v>180</v>
      </c>
    </row>
    <row r="3204" spans="1:15" x14ac:dyDescent="0.3">
      <c r="A3204" t="s">
        <v>5021</v>
      </c>
      <c r="B3204" t="s">
        <v>1541</v>
      </c>
      <c r="C3204" t="s">
        <v>933</v>
      </c>
      <c r="D3204" t="s">
        <v>1068</v>
      </c>
      <c r="E3204">
        <v>1</v>
      </c>
      <c r="F3204">
        <f>_xlfn.XLOOKUP(Table1[[#This Row],[ProductID]],Products!A:A,Products!D:D,,0)</f>
        <v>180</v>
      </c>
      <c r="I3204">
        <v>449</v>
      </c>
      <c r="J3204">
        <v>404</v>
      </c>
      <c r="K3204" t="s">
        <v>1107</v>
      </c>
      <c r="L3204">
        <v>404</v>
      </c>
      <c r="M3204" t="s">
        <v>1093</v>
      </c>
      <c r="N3204" t="s">
        <v>1094</v>
      </c>
      <c r="O3204">
        <f>Table1[[#This Row],[Unit_Price]]*Table1[[#This Row],[Quantity]]</f>
        <v>180</v>
      </c>
    </row>
    <row r="3205" spans="1:15" x14ac:dyDescent="0.3">
      <c r="A3205" t="s">
        <v>5022</v>
      </c>
      <c r="B3205" t="s">
        <v>1164</v>
      </c>
      <c r="C3205" t="s">
        <v>817</v>
      </c>
      <c r="D3205" t="s">
        <v>1068</v>
      </c>
      <c r="E3205">
        <v>1</v>
      </c>
      <c r="F3205">
        <f>_xlfn.XLOOKUP(Table1[[#This Row],[ProductID]],Products!A:A,Products!D:D,,0)</f>
        <v>180</v>
      </c>
      <c r="I3205">
        <v>449</v>
      </c>
      <c r="J3205">
        <v>382</v>
      </c>
      <c r="K3205" t="s">
        <v>1092</v>
      </c>
      <c r="L3205">
        <v>382</v>
      </c>
      <c r="M3205" t="s">
        <v>1098</v>
      </c>
      <c r="N3205" t="s">
        <v>1099</v>
      </c>
      <c r="O3205">
        <f>Table1[[#This Row],[Unit_Price]]*Table1[[#This Row],[Quantity]]</f>
        <v>180</v>
      </c>
    </row>
    <row r="3206" spans="1:15" x14ac:dyDescent="0.3">
      <c r="A3206" t="s">
        <v>5023</v>
      </c>
      <c r="B3206" t="s">
        <v>1765</v>
      </c>
      <c r="C3206" t="s">
        <v>34</v>
      </c>
      <c r="D3206" t="s">
        <v>1055</v>
      </c>
      <c r="E3206">
        <v>2</v>
      </c>
      <c r="F3206">
        <f>_xlfn.XLOOKUP(Table1[[#This Row],[ProductID]],Products!A:A,Products!D:D,,0)</f>
        <v>75</v>
      </c>
      <c r="I3206">
        <v>299</v>
      </c>
      <c r="J3206">
        <v>254</v>
      </c>
      <c r="K3206" t="s">
        <v>1092</v>
      </c>
      <c r="L3206">
        <v>508</v>
      </c>
      <c r="M3206" t="s">
        <v>1093</v>
      </c>
      <c r="N3206" t="s">
        <v>1094</v>
      </c>
      <c r="O3206">
        <f>Table1[[#This Row],[Unit_Price]]*Table1[[#This Row],[Quantity]]</f>
        <v>150</v>
      </c>
    </row>
    <row r="3207" spans="1:15" x14ac:dyDescent="0.3">
      <c r="A3207" t="s">
        <v>5024</v>
      </c>
      <c r="B3207" t="s">
        <v>2555</v>
      </c>
      <c r="C3207" t="s">
        <v>347</v>
      </c>
      <c r="D3207" t="s">
        <v>1051</v>
      </c>
      <c r="E3207">
        <v>2</v>
      </c>
      <c r="F3207">
        <f>_xlfn.XLOOKUP(Table1[[#This Row],[ProductID]],Products!A:A,Products!D:D,,0)</f>
        <v>150</v>
      </c>
      <c r="I3207">
        <v>499</v>
      </c>
      <c r="J3207">
        <v>399</v>
      </c>
      <c r="K3207" t="s">
        <v>1097</v>
      </c>
      <c r="L3207">
        <v>798</v>
      </c>
      <c r="M3207" t="s">
        <v>1093</v>
      </c>
      <c r="N3207" t="s">
        <v>1094</v>
      </c>
      <c r="O3207">
        <f>Table1[[#This Row],[Unit_Price]]*Table1[[#This Row],[Quantity]]</f>
        <v>300</v>
      </c>
    </row>
    <row r="3208" spans="1:15" x14ac:dyDescent="0.3">
      <c r="A3208" t="s">
        <v>5025</v>
      </c>
      <c r="B3208" t="s">
        <v>3289</v>
      </c>
      <c r="C3208" t="s">
        <v>853</v>
      </c>
      <c r="D3208" t="s">
        <v>1059</v>
      </c>
      <c r="E3208">
        <v>4</v>
      </c>
      <c r="F3208">
        <f>_xlfn.XLOOKUP(Table1[[#This Row],[ProductID]],Products!A:A,Products!D:D,,0)</f>
        <v>110</v>
      </c>
      <c r="I3208">
        <v>399</v>
      </c>
      <c r="J3208">
        <v>399</v>
      </c>
      <c r="K3208" t="s">
        <v>1102</v>
      </c>
      <c r="L3208">
        <v>1596</v>
      </c>
      <c r="M3208" t="s">
        <v>1093</v>
      </c>
      <c r="N3208" t="s">
        <v>1094</v>
      </c>
      <c r="O3208">
        <f>Table1[[#This Row],[Unit_Price]]*Table1[[#This Row],[Quantity]]</f>
        <v>440</v>
      </c>
    </row>
    <row r="3209" spans="1:15" x14ac:dyDescent="0.3">
      <c r="A3209" t="s">
        <v>5026</v>
      </c>
      <c r="B3209" t="s">
        <v>1642</v>
      </c>
      <c r="C3209" t="s">
        <v>233</v>
      </c>
      <c r="D3209" t="s">
        <v>1062</v>
      </c>
      <c r="E3209">
        <v>1</v>
      </c>
      <c r="F3209">
        <f>_xlfn.XLOOKUP(Table1[[#This Row],[ProductID]],Products!A:A,Products!D:D,,0)</f>
        <v>95</v>
      </c>
      <c r="I3209">
        <v>349</v>
      </c>
      <c r="J3209">
        <v>279</v>
      </c>
      <c r="K3209" t="s">
        <v>1097</v>
      </c>
      <c r="L3209">
        <v>279</v>
      </c>
      <c r="M3209" t="s">
        <v>1093</v>
      </c>
      <c r="N3209" t="s">
        <v>1099</v>
      </c>
      <c r="O3209">
        <f>Table1[[#This Row],[Unit_Price]]*Table1[[#This Row],[Quantity]]</f>
        <v>95</v>
      </c>
    </row>
    <row r="3210" spans="1:15" x14ac:dyDescent="0.3">
      <c r="A3210" t="s">
        <v>5027</v>
      </c>
      <c r="B3210" t="s">
        <v>3607</v>
      </c>
      <c r="C3210" t="s">
        <v>925</v>
      </c>
      <c r="D3210" t="s">
        <v>1075</v>
      </c>
      <c r="E3210">
        <v>1</v>
      </c>
      <c r="F3210">
        <f>_xlfn.XLOOKUP(Table1[[#This Row],[ProductID]],Products!A:A,Products!D:D,,0)</f>
        <v>80</v>
      </c>
      <c r="I3210">
        <v>499</v>
      </c>
      <c r="J3210">
        <v>499</v>
      </c>
      <c r="K3210" t="s">
        <v>1102</v>
      </c>
      <c r="L3210">
        <v>499</v>
      </c>
      <c r="M3210" t="s">
        <v>1093</v>
      </c>
      <c r="N3210" t="s">
        <v>1099</v>
      </c>
      <c r="O3210">
        <f>Table1[[#This Row],[Unit_Price]]*Table1[[#This Row],[Quantity]]</f>
        <v>80</v>
      </c>
    </row>
    <row r="3211" spans="1:15" x14ac:dyDescent="0.3">
      <c r="A3211" t="s">
        <v>5028</v>
      </c>
      <c r="B3211" t="s">
        <v>1833</v>
      </c>
      <c r="C3211" t="s">
        <v>197</v>
      </c>
      <c r="D3211" t="s">
        <v>1055</v>
      </c>
      <c r="E3211">
        <v>1</v>
      </c>
      <c r="F3211">
        <f>_xlfn.XLOOKUP(Table1[[#This Row],[ProductID]],Products!A:A,Products!D:D,,0)</f>
        <v>75</v>
      </c>
      <c r="I3211">
        <v>299</v>
      </c>
      <c r="J3211">
        <v>299</v>
      </c>
      <c r="K3211" t="s">
        <v>1102</v>
      </c>
      <c r="L3211">
        <v>299</v>
      </c>
      <c r="M3211" t="s">
        <v>1098</v>
      </c>
      <c r="N3211" t="s">
        <v>1099</v>
      </c>
      <c r="O3211">
        <f>Table1[[#This Row],[Unit_Price]]*Table1[[#This Row],[Quantity]]</f>
        <v>75</v>
      </c>
    </row>
    <row r="3212" spans="1:15" x14ac:dyDescent="0.3">
      <c r="A3212" t="s">
        <v>5029</v>
      </c>
      <c r="B3212" t="s">
        <v>2316</v>
      </c>
      <c r="C3212" t="s">
        <v>389</v>
      </c>
      <c r="D3212" t="s">
        <v>1075</v>
      </c>
      <c r="E3212">
        <v>1</v>
      </c>
      <c r="F3212">
        <f>_xlfn.XLOOKUP(Table1[[#This Row],[ProductID]],Products!A:A,Products!D:D,,0)</f>
        <v>80</v>
      </c>
      <c r="I3212">
        <v>499</v>
      </c>
      <c r="J3212">
        <v>424</v>
      </c>
      <c r="K3212" t="s">
        <v>1092</v>
      </c>
      <c r="L3212">
        <v>424</v>
      </c>
      <c r="M3212" t="s">
        <v>1093</v>
      </c>
      <c r="N3212" t="s">
        <v>1099</v>
      </c>
      <c r="O3212">
        <f>Table1[[#This Row],[Unit_Price]]*Table1[[#This Row],[Quantity]]</f>
        <v>80</v>
      </c>
    </row>
    <row r="3213" spans="1:15" x14ac:dyDescent="0.3">
      <c r="A3213" t="s">
        <v>5030</v>
      </c>
      <c r="B3213" t="s">
        <v>1410</v>
      </c>
      <c r="C3213" t="s">
        <v>1035</v>
      </c>
      <c r="D3213" t="s">
        <v>1062</v>
      </c>
      <c r="E3213">
        <v>1</v>
      </c>
      <c r="F3213">
        <f>_xlfn.XLOOKUP(Table1[[#This Row],[ProductID]],Products!A:A,Products!D:D,,0)</f>
        <v>95</v>
      </c>
      <c r="I3213">
        <v>349</v>
      </c>
      <c r="J3213">
        <v>279</v>
      </c>
      <c r="K3213" t="s">
        <v>1097</v>
      </c>
      <c r="L3213">
        <v>279</v>
      </c>
      <c r="M3213" t="s">
        <v>1098</v>
      </c>
      <c r="N3213" t="s">
        <v>1099</v>
      </c>
      <c r="O3213">
        <f>Table1[[#This Row],[Unit_Price]]*Table1[[#This Row],[Quantity]]</f>
        <v>95</v>
      </c>
    </row>
    <row r="3214" spans="1:15" x14ac:dyDescent="0.3">
      <c r="A3214" t="s">
        <v>5031</v>
      </c>
      <c r="B3214" t="s">
        <v>1824</v>
      </c>
      <c r="C3214" t="s">
        <v>303</v>
      </c>
      <c r="D3214" t="s">
        <v>1066</v>
      </c>
      <c r="E3214">
        <v>1</v>
      </c>
      <c r="F3214">
        <f>_xlfn.XLOOKUP(Table1[[#This Row],[ProductID]],Products!A:A,Products!D:D,,0)</f>
        <v>140</v>
      </c>
      <c r="I3214">
        <v>499</v>
      </c>
      <c r="J3214">
        <v>499</v>
      </c>
      <c r="K3214" t="s">
        <v>1102</v>
      </c>
      <c r="L3214">
        <v>499</v>
      </c>
      <c r="M3214" t="s">
        <v>1098</v>
      </c>
      <c r="N3214" t="s">
        <v>1099</v>
      </c>
      <c r="O3214">
        <f>Table1[[#This Row],[Unit_Price]]*Table1[[#This Row],[Quantity]]</f>
        <v>140</v>
      </c>
    </row>
    <row r="3215" spans="1:15" x14ac:dyDescent="0.3">
      <c r="A3215" t="s">
        <v>5032</v>
      </c>
      <c r="B3215" t="s">
        <v>2184</v>
      </c>
      <c r="C3215" t="s">
        <v>791</v>
      </c>
      <c r="D3215" t="s">
        <v>1059</v>
      </c>
      <c r="E3215">
        <v>1</v>
      </c>
      <c r="F3215">
        <f>_xlfn.XLOOKUP(Table1[[#This Row],[ProductID]],Products!A:A,Products!D:D,,0)</f>
        <v>110</v>
      </c>
      <c r="I3215">
        <v>399</v>
      </c>
      <c r="J3215">
        <v>339</v>
      </c>
      <c r="K3215" t="s">
        <v>1092</v>
      </c>
      <c r="L3215">
        <v>339</v>
      </c>
      <c r="M3215" t="s">
        <v>1098</v>
      </c>
      <c r="N3215" t="s">
        <v>1099</v>
      </c>
      <c r="O3215">
        <f>Table1[[#This Row],[Unit_Price]]*Table1[[#This Row],[Quantity]]</f>
        <v>110</v>
      </c>
    </row>
    <row r="3216" spans="1:15" x14ac:dyDescent="0.3">
      <c r="A3216" t="s">
        <v>5033</v>
      </c>
      <c r="B3216" t="s">
        <v>4501</v>
      </c>
      <c r="C3216" t="s">
        <v>1039</v>
      </c>
      <c r="D3216" t="s">
        <v>1053</v>
      </c>
      <c r="E3216">
        <v>1</v>
      </c>
      <c r="F3216">
        <f>_xlfn.XLOOKUP(Table1[[#This Row],[ProductID]],Products!A:A,Products!D:D,,0)</f>
        <v>200</v>
      </c>
      <c r="I3216">
        <v>899</v>
      </c>
      <c r="J3216">
        <v>899</v>
      </c>
      <c r="K3216" t="s">
        <v>1102</v>
      </c>
      <c r="L3216">
        <v>899</v>
      </c>
      <c r="M3216" t="s">
        <v>1098</v>
      </c>
      <c r="N3216" t="s">
        <v>1099</v>
      </c>
      <c r="O3216">
        <f>Table1[[#This Row],[Unit_Price]]*Table1[[#This Row],[Quantity]]</f>
        <v>200</v>
      </c>
    </row>
    <row r="3217" spans="1:15" x14ac:dyDescent="0.3">
      <c r="A3217" t="s">
        <v>5034</v>
      </c>
      <c r="B3217" t="s">
        <v>3036</v>
      </c>
      <c r="C3217" t="s">
        <v>559</v>
      </c>
      <c r="D3217" t="s">
        <v>1075</v>
      </c>
      <c r="E3217">
        <v>4</v>
      </c>
      <c r="F3217">
        <f>_xlfn.XLOOKUP(Table1[[#This Row],[ProductID]],Products!A:A,Products!D:D,,0)</f>
        <v>80</v>
      </c>
      <c r="I3217">
        <v>499</v>
      </c>
      <c r="J3217">
        <v>449</v>
      </c>
      <c r="K3217" t="s">
        <v>1107</v>
      </c>
      <c r="L3217">
        <v>1796</v>
      </c>
      <c r="M3217" t="s">
        <v>1098</v>
      </c>
      <c r="N3217" t="s">
        <v>1099</v>
      </c>
      <c r="O3217">
        <f>Table1[[#This Row],[Unit_Price]]*Table1[[#This Row],[Quantity]]</f>
        <v>320</v>
      </c>
    </row>
    <row r="3218" spans="1:15" x14ac:dyDescent="0.3">
      <c r="A3218" t="s">
        <v>5035</v>
      </c>
      <c r="B3218" t="s">
        <v>1696</v>
      </c>
      <c r="C3218" t="s">
        <v>709</v>
      </c>
      <c r="D3218" t="s">
        <v>1051</v>
      </c>
      <c r="E3218">
        <v>1</v>
      </c>
      <c r="F3218">
        <f>_xlfn.XLOOKUP(Table1[[#This Row],[ProductID]],Products!A:A,Products!D:D,,0)</f>
        <v>150</v>
      </c>
      <c r="I3218">
        <v>499</v>
      </c>
      <c r="J3218">
        <v>424</v>
      </c>
      <c r="K3218" t="s">
        <v>1092</v>
      </c>
      <c r="L3218">
        <v>424</v>
      </c>
      <c r="M3218" t="s">
        <v>1098</v>
      </c>
      <c r="N3218" t="s">
        <v>1099</v>
      </c>
      <c r="O3218">
        <f>Table1[[#This Row],[Unit_Price]]*Table1[[#This Row],[Quantity]]</f>
        <v>150</v>
      </c>
    </row>
    <row r="3219" spans="1:15" x14ac:dyDescent="0.3">
      <c r="A3219" t="s">
        <v>5036</v>
      </c>
      <c r="B3219" t="s">
        <v>4074</v>
      </c>
      <c r="C3219" t="s">
        <v>239</v>
      </c>
      <c r="D3219" t="s">
        <v>1064</v>
      </c>
      <c r="E3219">
        <v>2</v>
      </c>
      <c r="F3219">
        <f>_xlfn.XLOOKUP(Table1[[#This Row],[ProductID]],Products!A:A,Products!D:D,,0)</f>
        <v>160</v>
      </c>
      <c r="I3219">
        <v>699</v>
      </c>
      <c r="J3219">
        <v>699</v>
      </c>
      <c r="K3219" t="s">
        <v>1102</v>
      </c>
      <c r="L3219">
        <v>1398</v>
      </c>
      <c r="M3219" t="s">
        <v>1093</v>
      </c>
      <c r="N3219" t="s">
        <v>1099</v>
      </c>
      <c r="O3219">
        <f>Table1[[#This Row],[Unit_Price]]*Table1[[#This Row],[Quantity]]</f>
        <v>320</v>
      </c>
    </row>
    <row r="3220" spans="1:15" x14ac:dyDescent="0.3">
      <c r="A3220" t="s">
        <v>5037</v>
      </c>
      <c r="B3220" t="s">
        <v>3235</v>
      </c>
      <c r="C3220" t="s">
        <v>1027</v>
      </c>
      <c r="D3220" t="s">
        <v>1064</v>
      </c>
      <c r="E3220">
        <v>2</v>
      </c>
      <c r="F3220">
        <f>_xlfn.XLOOKUP(Table1[[#This Row],[ProductID]],Products!A:A,Products!D:D,,0)</f>
        <v>160</v>
      </c>
      <c r="I3220">
        <v>699</v>
      </c>
      <c r="J3220">
        <v>629</v>
      </c>
      <c r="K3220" t="s">
        <v>1107</v>
      </c>
      <c r="L3220">
        <v>1258</v>
      </c>
      <c r="M3220" t="s">
        <v>1093</v>
      </c>
      <c r="N3220" t="s">
        <v>1094</v>
      </c>
      <c r="O3220">
        <f>Table1[[#This Row],[Unit_Price]]*Table1[[#This Row],[Quantity]]</f>
        <v>320</v>
      </c>
    </row>
    <row r="3221" spans="1:15" x14ac:dyDescent="0.3">
      <c r="A3221" t="s">
        <v>5038</v>
      </c>
      <c r="B3221" t="s">
        <v>1568</v>
      </c>
      <c r="C3221" t="s">
        <v>873</v>
      </c>
      <c r="D3221" t="s">
        <v>1062</v>
      </c>
      <c r="E3221">
        <v>2</v>
      </c>
      <c r="F3221">
        <f>_xlfn.XLOOKUP(Table1[[#This Row],[ProductID]],Products!A:A,Products!D:D,,0)</f>
        <v>95</v>
      </c>
      <c r="I3221">
        <v>349</v>
      </c>
      <c r="J3221">
        <v>279</v>
      </c>
      <c r="K3221" t="s">
        <v>1097</v>
      </c>
      <c r="L3221">
        <v>558</v>
      </c>
      <c r="M3221" t="s">
        <v>1093</v>
      </c>
      <c r="N3221" t="s">
        <v>1094</v>
      </c>
      <c r="O3221">
        <f>Table1[[#This Row],[Unit_Price]]*Table1[[#This Row],[Quantity]]</f>
        <v>190</v>
      </c>
    </row>
    <row r="3222" spans="1:15" x14ac:dyDescent="0.3">
      <c r="A3222" t="s">
        <v>5039</v>
      </c>
      <c r="B3222" t="s">
        <v>1120</v>
      </c>
      <c r="C3222" t="s">
        <v>573</v>
      </c>
      <c r="D3222" t="s">
        <v>1068</v>
      </c>
      <c r="E3222">
        <v>3</v>
      </c>
      <c r="F3222">
        <f>_xlfn.XLOOKUP(Table1[[#This Row],[ProductID]],Products!A:A,Products!D:D,,0)</f>
        <v>180</v>
      </c>
      <c r="I3222">
        <v>449</v>
      </c>
      <c r="J3222">
        <v>382</v>
      </c>
      <c r="K3222" t="s">
        <v>1092</v>
      </c>
      <c r="L3222">
        <v>1146</v>
      </c>
      <c r="M3222" t="s">
        <v>1093</v>
      </c>
      <c r="N3222" t="s">
        <v>1094</v>
      </c>
      <c r="O3222">
        <f>Table1[[#This Row],[Unit_Price]]*Table1[[#This Row],[Quantity]]</f>
        <v>540</v>
      </c>
    </row>
    <row r="3223" spans="1:15" x14ac:dyDescent="0.3">
      <c r="A3223" t="s">
        <v>5040</v>
      </c>
      <c r="B3223" t="s">
        <v>2030</v>
      </c>
      <c r="C3223" t="s">
        <v>495</v>
      </c>
      <c r="D3223" t="s">
        <v>1080</v>
      </c>
      <c r="E3223">
        <v>2</v>
      </c>
      <c r="F3223">
        <f>_xlfn.XLOOKUP(Table1[[#This Row],[ProductID]],Products!A:A,Products!D:D,,0)</f>
        <v>45</v>
      </c>
      <c r="I3223">
        <v>249</v>
      </c>
      <c r="J3223">
        <v>224</v>
      </c>
      <c r="K3223" t="s">
        <v>1107</v>
      </c>
      <c r="L3223">
        <v>448</v>
      </c>
      <c r="M3223" t="s">
        <v>1098</v>
      </c>
      <c r="N3223" t="s">
        <v>1099</v>
      </c>
      <c r="O3223">
        <f>Table1[[#This Row],[Unit_Price]]*Table1[[#This Row],[Quantity]]</f>
        <v>90</v>
      </c>
    </row>
    <row r="3224" spans="1:15" x14ac:dyDescent="0.3">
      <c r="A3224" t="s">
        <v>5041</v>
      </c>
      <c r="B3224" t="s">
        <v>4096</v>
      </c>
      <c r="C3224" t="s">
        <v>931</v>
      </c>
      <c r="D3224" t="s">
        <v>1057</v>
      </c>
      <c r="E3224">
        <v>1</v>
      </c>
      <c r="F3224">
        <f>_xlfn.XLOOKUP(Table1[[#This Row],[ProductID]],Products!A:A,Products!D:D,,0)</f>
        <v>130</v>
      </c>
      <c r="I3224">
        <v>549</v>
      </c>
      <c r="J3224">
        <v>439</v>
      </c>
      <c r="K3224" t="s">
        <v>1097</v>
      </c>
      <c r="L3224">
        <v>439</v>
      </c>
      <c r="M3224" t="s">
        <v>1098</v>
      </c>
      <c r="N3224" t="s">
        <v>1099</v>
      </c>
      <c r="O3224">
        <f>Table1[[#This Row],[Unit_Price]]*Table1[[#This Row],[Quantity]]</f>
        <v>130</v>
      </c>
    </row>
    <row r="3225" spans="1:15" x14ac:dyDescent="0.3">
      <c r="A3225" t="s">
        <v>5042</v>
      </c>
      <c r="B3225" t="s">
        <v>1882</v>
      </c>
      <c r="C3225" t="s">
        <v>629</v>
      </c>
      <c r="D3225" t="s">
        <v>1055</v>
      </c>
      <c r="E3225">
        <v>1</v>
      </c>
      <c r="F3225">
        <f>_xlfn.XLOOKUP(Table1[[#This Row],[ProductID]],Products!A:A,Products!D:D,,0)</f>
        <v>75</v>
      </c>
      <c r="I3225">
        <v>299</v>
      </c>
      <c r="J3225">
        <v>254</v>
      </c>
      <c r="K3225" t="s">
        <v>1092</v>
      </c>
      <c r="L3225">
        <v>254</v>
      </c>
      <c r="M3225" t="s">
        <v>1093</v>
      </c>
      <c r="N3225" t="s">
        <v>1094</v>
      </c>
      <c r="O3225">
        <f>Table1[[#This Row],[Unit_Price]]*Table1[[#This Row],[Quantity]]</f>
        <v>75</v>
      </c>
    </row>
    <row r="3226" spans="1:15" x14ac:dyDescent="0.3">
      <c r="A3226" t="s">
        <v>5043</v>
      </c>
      <c r="B3226" t="s">
        <v>2413</v>
      </c>
      <c r="C3226" t="s">
        <v>435</v>
      </c>
      <c r="D3226" t="s">
        <v>1048</v>
      </c>
      <c r="E3226">
        <v>1</v>
      </c>
      <c r="F3226">
        <f>_xlfn.XLOOKUP(Table1[[#This Row],[ProductID]],Products!A:A,Products!D:D,,0)</f>
        <v>120</v>
      </c>
      <c r="I3226">
        <v>599</v>
      </c>
      <c r="J3226">
        <v>539</v>
      </c>
      <c r="K3226" t="s">
        <v>1107</v>
      </c>
      <c r="L3226">
        <v>539</v>
      </c>
      <c r="M3226" t="s">
        <v>1093</v>
      </c>
      <c r="N3226" t="s">
        <v>1094</v>
      </c>
      <c r="O3226">
        <f>Table1[[#This Row],[Unit_Price]]*Table1[[#This Row],[Quantity]]</f>
        <v>120</v>
      </c>
    </row>
    <row r="3227" spans="1:15" x14ac:dyDescent="0.3">
      <c r="A3227" t="s">
        <v>5044</v>
      </c>
      <c r="B3227" t="s">
        <v>2135</v>
      </c>
      <c r="C3227" t="s">
        <v>525</v>
      </c>
      <c r="D3227" t="s">
        <v>1071</v>
      </c>
      <c r="E3227">
        <v>1</v>
      </c>
      <c r="F3227">
        <f>_xlfn.XLOOKUP(Table1[[#This Row],[ProductID]],Products!A:A,Products!D:D,,0)</f>
        <v>125</v>
      </c>
      <c r="I3227">
        <v>399</v>
      </c>
      <c r="J3227">
        <v>399</v>
      </c>
      <c r="K3227" t="s">
        <v>1102</v>
      </c>
      <c r="L3227">
        <v>399</v>
      </c>
      <c r="M3227" t="s">
        <v>1126</v>
      </c>
      <c r="N3227" t="s">
        <v>1099</v>
      </c>
      <c r="O3227">
        <f>Table1[[#This Row],[Unit_Price]]*Table1[[#This Row],[Quantity]]</f>
        <v>125</v>
      </c>
    </row>
    <row r="3228" spans="1:15" x14ac:dyDescent="0.3">
      <c r="A3228" t="s">
        <v>5045</v>
      </c>
      <c r="B3228" t="s">
        <v>2617</v>
      </c>
      <c r="C3228" t="s">
        <v>42</v>
      </c>
      <c r="D3228" t="s">
        <v>1066</v>
      </c>
      <c r="E3228">
        <v>1</v>
      </c>
      <c r="F3228">
        <f>_xlfn.XLOOKUP(Table1[[#This Row],[ProductID]],Products!A:A,Products!D:D,,0)</f>
        <v>140</v>
      </c>
      <c r="I3228">
        <v>499</v>
      </c>
      <c r="J3228">
        <v>499</v>
      </c>
      <c r="K3228" t="s">
        <v>1102</v>
      </c>
      <c r="L3228">
        <v>499</v>
      </c>
      <c r="M3228" t="s">
        <v>1098</v>
      </c>
      <c r="N3228" t="s">
        <v>1099</v>
      </c>
      <c r="O3228">
        <f>Table1[[#This Row],[Unit_Price]]*Table1[[#This Row],[Quantity]]</f>
        <v>140</v>
      </c>
    </row>
    <row r="3229" spans="1:15" x14ac:dyDescent="0.3">
      <c r="A3229" t="s">
        <v>5046</v>
      </c>
      <c r="B3229" t="s">
        <v>1254</v>
      </c>
      <c r="C3229" t="s">
        <v>735</v>
      </c>
      <c r="D3229" t="s">
        <v>1066</v>
      </c>
      <c r="E3229">
        <v>1</v>
      </c>
      <c r="F3229">
        <f>_xlfn.XLOOKUP(Table1[[#This Row],[ProductID]],Products!A:A,Products!D:D,,0)</f>
        <v>140</v>
      </c>
      <c r="I3229">
        <v>499</v>
      </c>
      <c r="J3229">
        <v>449</v>
      </c>
      <c r="K3229" t="s">
        <v>1107</v>
      </c>
      <c r="L3229">
        <v>449</v>
      </c>
      <c r="M3229" t="s">
        <v>1098</v>
      </c>
      <c r="N3229" t="s">
        <v>1099</v>
      </c>
      <c r="O3229">
        <f>Table1[[#This Row],[Unit_Price]]*Table1[[#This Row],[Quantity]]</f>
        <v>140</v>
      </c>
    </row>
    <row r="3230" spans="1:15" x14ac:dyDescent="0.3">
      <c r="A3230" t="s">
        <v>5047</v>
      </c>
      <c r="B3230" t="s">
        <v>1902</v>
      </c>
      <c r="C3230" t="s">
        <v>219</v>
      </c>
      <c r="D3230" t="s">
        <v>1057</v>
      </c>
      <c r="E3230">
        <v>1</v>
      </c>
      <c r="F3230">
        <f>_xlfn.XLOOKUP(Table1[[#This Row],[ProductID]],Products!A:A,Products!D:D,,0)</f>
        <v>130</v>
      </c>
      <c r="I3230">
        <v>549</v>
      </c>
      <c r="J3230">
        <v>494</v>
      </c>
      <c r="K3230" t="s">
        <v>1107</v>
      </c>
      <c r="L3230">
        <v>494</v>
      </c>
      <c r="M3230" t="s">
        <v>1093</v>
      </c>
      <c r="N3230" t="s">
        <v>1099</v>
      </c>
      <c r="O3230">
        <f>Table1[[#This Row],[Unit_Price]]*Table1[[#This Row],[Quantity]]</f>
        <v>130</v>
      </c>
    </row>
    <row r="3231" spans="1:15" x14ac:dyDescent="0.3">
      <c r="A3231" t="s">
        <v>5048</v>
      </c>
      <c r="B3231" t="s">
        <v>1909</v>
      </c>
      <c r="C3231" t="s">
        <v>653</v>
      </c>
      <c r="D3231" t="s">
        <v>1068</v>
      </c>
      <c r="E3231">
        <v>1</v>
      </c>
      <c r="F3231">
        <f>_xlfn.XLOOKUP(Table1[[#This Row],[ProductID]],Products!A:A,Products!D:D,,0)</f>
        <v>180</v>
      </c>
      <c r="I3231">
        <v>449</v>
      </c>
      <c r="J3231">
        <v>359</v>
      </c>
      <c r="K3231" t="s">
        <v>1097</v>
      </c>
      <c r="L3231">
        <v>359</v>
      </c>
      <c r="M3231" t="s">
        <v>1126</v>
      </c>
      <c r="N3231" t="s">
        <v>1099</v>
      </c>
      <c r="O3231">
        <f>Table1[[#This Row],[Unit_Price]]*Table1[[#This Row],[Quantity]]</f>
        <v>180</v>
      </c>
    </row>
    <row r="3232" spans="1:15" x14ac:dyDescent="0.3">
      <c r="A3232" t="s">
        <v>5049</v>
      </c>
      <c r="B3232" t="s">
        <v>1509</v>
      </c>
      <c r="C3232" t="s">
        <v>645</v>
      </c>
      <c r="D3232" t="s">
        <v>1055</v>
      </c>
      <c r="E3232">
        <v>2</v>
      </c>
      <c r="F3232">
        <f>_xlfn.XLOOKUP(Table1[[#This Row],[ProductID]],Products!A:A,Products!D:D,,0)</f>
        <v>75</v>
      </c>
      <c r="I3232">
        <v>299</v>
      </c>
      <c r="J3232">
        <v>299</v>
      </c>
      <c r="K3232" t="s">
        <v>1102</v>
      </c>
      <c r="L3232">
        <v>598</v>
      </c>
      <c r="M3232" t="s">
        <v>1093</v>
      </c>
      <c r="N3232" t="s">
        <v>1094</v>
      </c>
      <c r="O3232">
        <f>Table1[[#This Row],[Unit_Price]]*Table1[[#This Row],[Quantity]]</f>
        <v>150</v>
      </c>
    </row>
    <row r="3233" spans="1:15" x14ac:dyDescent="0.3">
      <c r="A3233" t="s">
        <v>5050</v>
      </c>
      <c r="B3233" t="s">
        <v>1778</v>
      </c>
      <c r="C3233" t="s">
        <v>1003</v>
      </c>
      <c r="D3233" t="s">
        <v>1055</v>
      </c>
      <c r="E3233">
        <v>3</v>
      </c>
      <c r="F3233">
        <f>_xlfn.XLOOKUP(Table1[[#This Row],[ProductID]],Products!A:A,Products!D:D,,0)</f>
        <v>75</v>
      </c>
      <c r="I3233">
        <v>299</v>
      </c>
      <c r="J3233">
        <v>299</v>
      </c>
      <c r="K3233" t="s">
        <v>1102</v>
      </c>
      <c r="L3233">
        <v>897</v>
      </c>
      <c r="M3233" t="s">
        <v>1098</v>
      </c>
      <c r="N3233" t="s">
        <v>1099</v>
      </c>
      <c r="O3233">
        <f>Table1[[#This Row],[Unit_Price]]*Table1[[#This Row],[Quantity]]</f>
        <v>225</v>
      </c>
    </row>
    <row r="3234" spans="1:15" x14ac:dyDescent="0.3">
      <c r="A3234" t="s">
        <v>5051</v>
      </c>
      <c r="B3234" t="s">
        <v>1221</v>
      </c>
      <c r="C3234" t="s">
        <v>417</v>
      </c>
      <c r="D3234" t="s">
        <v>1071</v>
      </c>
      <c r="E3234">
        <v>2</v>
      </c>
      <c r="F3234">
        <f>_xlfn.XLOOKUP(Table1[[#This Row],[ProductID]],Products!A:A,Products!D:D,,0)</f>
        <v>125</v>
      </c>
      <c r="I3234">
        <v>399</v>
      </c>
      <c r="J3234">
        <v>359</v>
      </c>
      <c r="K3234" t="s">
        <v>1107</v>
      </c>
      <c r="L3234">
        <v>718</v>
      </c>
      <c r="M3234" t="s">
        <v>1098</v>
      </c>
      <c r="N3234" t="s">
        <v>1099</v>
      </c>
      <c r="O3234">
        <f>Table1[[#This Row],[Unit_Price]]*Table1[[#This Row],[Quantity]]</f>
        <v>250</v>
      </c>
    </row>
    <row r="3235" spans="1:15" x14ac:dyDescent="0.3">
      <c r="A3235" t="s">
        <v>5052</v>
      </c>
      <c r="B3235" t="s">
        <v>2461</v>
      </c>
      <c r="C3235" t="s">
        <v>185</v>
      </c>
      <c r="D3235" t="s">
        <v>1053</v>
      </c>
      <c r="E3235">
        <v>2</v>
      </c>
      <c r="F3235">
        <f>_xlfn.XLOOKUP(Table1[[#This Row],[ProductID]],Products!A:A,Products!D:D,,0)</f>
        <v>200</v>
      </c>
      <c r="I3235">
        <v>899</v>
      </c>
      <c r="J3235">
        <v>809</v>
      </c>
      <c r="K3235" t="s">
        <v>1107</v>
      </c>
      <c r="L3235">
        <v>1618</v>
      </c>
      <c r="M3235" t="s">
        <v>1093</v>
      </c>
      <c r="N3235" t="s">
        <v>1094</v>
      </c>
      <c r="O3235">
        <f>Table1[[#This Row],[Unit_Price]]*Table1[[#This Row],[Quantity]]</f>
        <v>400</v>
      </c>
    </row>
    <row r="3236" spans="1:15" x14ac:dyDescent="0.3">
      <c r="A3236" t="s">
        <v>5053</v>
      </c>
      <c r="B3236" t="s">
        <v>2116</v>
      </c>
      <c r="C3236" t="s">
        <v>543</v>
      </c>
      <c r="D3236" t="s">
        <v>1068</v>
      </c>
      <c r="E3236">
        <v>2</v>
      </c>
      <c r="F3236">
        <f>_xlfn.XLOOKUP(Table1[[#This Row],[ProductID]],Products!A:A,Products!D:D,,0)</f>
        <v>180</v>
      </c>
      <c r="I3236">
        <v>449</v>
      </c>
      <c r="J3236">
        <v>359</v>
      </c>
      <c r="K3236" t="s">
        <v>1097</v>
      </c>
      <c r="L3236">
        <v>718</v>
      </c>
      <c r="M3236" t="s">
        <v>1093</v>
      </c>
      <c r="N3236" t="s">
        <v>1094</v>
      </c>
      <c r="O3236">
        <f>Table1[[#This Row],[Unit_Price]]*Table1[[#This Row],[Quantity]]</f>
        <v>360</v>
      </c>
    </row>
    <row r="3237" spans="1:15" x14ac:dyDescent="0.3">
      <c r="A3237" t="s">
        <v>5054</v>
      </c>
      <c r="B3237" t="s">
        <v>2229</v>
      </c>
      <c r="C3237" t="s">
        <v>817</v>
      </c>
      <c r="D3237" t="s">
        <v>1073</v>
      </c>
      <c r="E3237">
        <v>1</v>
      </c>
      <c r="F3237">
        <f>_xlfn.XLOOKUP(Table1[[#This Row],[ProductID]],Products!A:A,Products!D:D,,0)</f>
        <v>100</v>
      </c>
      <c r="I3237">
        <v>349</v>
      </c>
      <c r="J3237">
        <v>314</v>
      </c>
      <c r="K3237" t="s">
        <v>1107</v>
      </c>
      <c r="L3237">
        <v>314</v>
      </c>
      <c r="M3237" t="s">
        <v>1098</v>
      </c>
      <c r="N3237" t="s">
        <v>1099</v>
      </c>
      <c r="O3237">
        <f>Table1[[#This Row],[Unit_Price]]*Table1[[#This Row],[Quantity]]</f>
        <v>100</v>
      </c>
    </row>
    <row r="3238" spans="1:15" x14ac:dyDescent="0.3">
      <c r="A3238" t="s">
        <v>5055</v>
      </c>
      <c r="B3238" t="s">
        <v>1818</v>
      </c>
      <c r="C3238" t="s">
        <v>1007</v>
      </c>
      <c r="D3238" t="s">
        <v>1078</v>
      </c>
      <c r="E3238">
        <v>1</v>
      </c>
      <c r="F3238">
        <f>_xlfn.XLOOKUP(Table1[[#This Row],[ProductID]],Products!A:A,Products!D:D,,0)</f>
        <v>80</v>
      </c>
      <c r="I3238">
        <v>499</v>
      </c>
      <c r="J3238">
        <v>399</v>
      </c>
      <c r="K3238" t="s">
        <v>1097</v>
      </c>
      <c r="L3238">
        <v>399</v>
      </c>
      <c r="M3238" t="s">
        <v>1093</v>
      </c>
      <c r="N3238" t="s">
        <v>1094</v>
      </c>
      <c r="O3238">
        <f>Table1[[#This Row],[Unit_Price]]*Table1[[#This Row],[Quantity]]</f>
        <v>80</v>
      </c>
    </row>
    <row r="3239" spans="1:15" x14ac:dyDescent="0.3">
      <c r="A3239" t="s">
        <v>5056</v>
      </c>
      <c r="B3239" t="s">
        <v>1578</v>
      </c>
      <c r="C3239" t="s">
        <v>681</v>
      </c>
      <c r="D3239" t="s">
        <v>1059</v>
      </c>
      <c r="E3239">
        <v>1</v>
      </c>
      <c r="F3239">
        <f>_xlfn.XLOOKUP(Table1[[#This Row],[ProductID]],Products!A:A,Products!D:D,,0)</f>
        <v>110</v>
      </c>
      <c r="I3239">
        <v>399</v>
      </c>
      <c r="J3239">
        <v>339</v>
      </c>
      <c r="K3239" t="s">
        <v>1092</v>
      </c>
      <c r="L3239">
        <v>339</v>
      </c>
      <c r="M3239" t="s">
        <v>1098</v>
      </c>
      <c r="N3239" t="s">
        <v>1099</v>
      </c>
      <c r="O3239">
        <f>Table1[[#This Row],[Unit_Price]]*Table1[[#This Row],[Quantity]]</f>
        <v>110</v>
      </c>
    </row>
    <row r="3240" spans="1:15" x14ac:dyDescent="0.3">
      <c r="A3240" t="s">
        <v>5057</v>
      </c>
      <c r="B3240" t="s">
        <v>1511</v>
      </c>
      <c r="C3240" t="s">
        <v>655</v>
      </c>
      <c r="D3240" t="s">
        <v>1078</v>
      </c>
      <c r="E3240">
        <v>1</v>
      </c>
      <c r="F3240">
        <f>_xlfn.XLOOKUP(Table1[[#This Row],[ProductID]],Products!A:A,Products!D:D,,0)</f>
        <v>80</v>
      </c>
      <c r="I3240">
        <v>499</v>
      </c>
      <c r="J3240">
        <v>499</v>
      </c>
      <c r="K3240" t="s">
        <v>1102</v>
      </c>
      <c r="L3240">
        <v>499</v>
      </c>
      <c r="M3240" t="s">
        <v>1093</v>
      </c>
      <c r="N3240" t="s">
        <v>1099</v>
      </c>
      <c r="O3240">
        <f>Table1[[#This Row],[Unit_Price]]*Table1[[#This Row],[Quantity]]</f>
        <v>80</v>
      </c>
    </row>
    <row r="3241" spans="1:15" x14ac:dyDescent="0.3">
      <c r="A3241" t="s">
        <v>5058</v>
      </c>
      <c r="B3241" t="s">
        <v>1434</v>
      </c>
      <c r="C3241" t="s">
        <v>225</v>
      </c>
      <c r="D3241" t="s">
        <v>1066</v>
      </c>
      <c r="E3241">
        <v>1</v>
      </c>
      <c r="F3241">
        <f>_xlfn.XLOOKUP(Table1[[#This Row],[ProductID]],Products!A:A,Products!D:D,,0)</f>
        <v>140</v>
      </c>
      <c r="I3241">
        <v>499</v>
      </c>
      <c r="J3241">
        <v>499</v>
      </c>
      <c r="K3241" t="s">
        <v>1102</v>
      </c>
      <c r="L3241">
        <v>499</v>
      </c>
      <c r="M3241" t="s">
        <v>1093</v>
      </c>
      <c r="N3241" t="s">
        <v>1094</v>
      </c>
      <c r="O3241">
        <f>Table1[[#This Row],[Unit_Price]]*Table1[[#This Row],[Quantity]]</f>
        <v>140</v>
      </c>
    </row>
    <row r="3242" spans="1:15" x14ac:dyDescent="0.3">
      <c r="A3242" t="s">
        <v>5059</v>
      </c>
      <c r="B3242" t="s">
        <v>1394</v>
      </c>
      <c r="C3242" t="s">
        <v>919</v>
      </c>
      <c r="D3242" t="s">
        <v>1064</v>
      </c>
      <c r="E3242">
        <v>2</v>
      </c>
      <c r="F3242">
        <f>_xlfn.XLOOKUP(Table1[[#This Row],[ProductID]],Products!A:A,Products!D:D,,0)</f>
        <v>160</v>
      </c>
      <c r="I3242">
        <v>699</v>
      </c>
      <c r="J3242">
        <v>699</v>
      </c>
      <c r="K3242" t="s">
        <v>1102</v>
      </c>
      <c r="L3242">
        <v>1398</v>
      </c>
      <c r="M3242" t="s">
        <v>1126</v>
      </c>
      <c r="N3242" t="s">
        <v>1099</v>
      </c>
      <c r="O3242">
        <f>Table1[[#This Row],[Unit_Price]]*Table1[[#This Row],[Quantity]]</f>
        <v>320</v>
      </c>
    </row>
    <row r="3243" spans="1:15" x14ac:dyDescent="0.3">
      <c r="A3243" t="s">
        <v>5060</v>
      </c>
      <c r="B3243" t="s">
        <v>2350</v>
      </c>
      <c r="C3243" t="s">
        <v>465</v>
      </c>
      <c r="D3243" t="s">
        <v>1073</v>
      </c>
      <c r="E3243">
        <v>1</v>
      </c>
      <c r="F3243">
        <f>_xlfn.XLOOKUP(Table1[[#This Row],[ProductID]],Products!A:A,Products!D:D,,0)</f>
        <v>100</v>
      </c>
      <c r="I3243">
        <v>349</v>
      </c>
      <c r="J3243">
        <v>297</v>
      </c>
      <c r="K3243" t="s">
        <v>1092</v>
      </c>
      <c r="L3243">
        <v>297</v>
      </c>
      <c r="M3243" t="s">
        <v>1098</v>
      </c>
      <c r="N3243" t="s">
        <v>1099</v>
      </c>
      <c r="O3243">
        <f>Table1[[#This Row],[Unit_Price]]*Table1[[#This Row],[Quantity]]</f>
        <v>100</v>
      </c>
    </row>
    <row r="3244" spans="1:15" x14ac:dyDescent="0.3">
      <c r="A3244" t="s">
        <v>5061</v>
      </c>
      <c r="B3244" t="s">
        <v>1634</v>
      </c>
      <c r="C3244" t="s">
        <v>89</v>
      </c>
      <c r="D3244" t="s">
        <v>1066</v>
      </c>
      <c r="E3244">
        <v>2</v>
      </c>
      <c r="F3244">
        <f>_xlfn.XLOOKUP(Table1[[#This Row],[ProductID]],Products!A:A,Products!D:D,,0)</f>
        <v>140</v>
      </c>
      <c r="I3244">
        <v>499</v>
      </c>
      <c r="J3244">
        <v>449</v>
      </c>
      <c r="K3244" t="s">
        <v>1107</v>
      </c>
      <c r="L3244">
        <v>898</v>
      </c>
      <c r="M3244" t="s">
        <v>1093</v>
      </c>
      <c r="N3244" t="s">
        <v>1094</v>
      </c>
      <c r="O3244">
        <f>Table1[[#This Row],[Unit_Price]]*Table1[[#This Row],[Quantity]]</f>
        <v>280</v>
      </c>
    </row>
    <row r="3245" spans="1:15" x14ac:dyDescent="0.3">
      <c r="A3245" t="s">
        <v>5062</v>
      </c>
      <c r="B3245" t="s">
        <v>1902</v>
      </c>
      <c r="C3245" t="s">
        <v>455</v>
      </c>
      <c r="D3245" t="s">
        <v>1066</v>
      </c>
      <c r="E3245">
        <v>1</v>
      </c>
      <c r="F3245">
        <f>_xlfn.XLOOKUP(Table1[[#This Row],[ProductID]],Products!A:A,Products!D:D,,0)</f>
        <v>140</v>
      </c>
      <c r="I3245">
        <v>499</v>
      </c>
      <c r="J3245">
        <v>449</v>
      </c>
      <c r="K3245" t="s">
        <v>1107</v>
      </c>
      <c r="L3245">
        <v>449</v>
      </c>
      <c r="M3245" t="s">
        <v>1098</v>
      </c>
      <c r="N3245" t="s">
        <v>1099</v>
      </c>
      <c r="O3245">
        <f>Table1[[#This Row],[Unit_Price]]*Table1[[#This Row],[Quantity]]</f>
        <v>140</v>
      </c>
    </row>
    <row r="3246" spans="1:15" x14ac:dyDescent="0.3">
      <c r="A3246" t="s">
        <v>5063</v>
      </c>
      <c r="B3246" t="s">
        <v>1642</v>
      </c>
      <c r="C3246" t="s">
        <v>583</v>
      </c>
      <c r="D3246" t="s">
        <v>1068</v>
      </c>
      <c r="E3246">
        <v>1</v>
      </c>
      <c r="F3246">
        <f>_xlfn.XLOOKUP(Table1[[#This Row],[ProductID]],Products!A:A,Products!D:D,,0)</f>
        <v>180</v>
      </c>
      <c r="I3246">
        <v>449</v>
      </c>
      <c r="J3246">
        <v>404</v>
      </c>
      <c r="K3246" t="s">
        <v>1107</v>
      </c>
      <c r="L3246">
        <v>404</v>
      </c>
      <c r="M3246" t="s">
        <v>1126</v>
      </c>
      <c r="N3246" t="s">
        <v>1099</v>
      </c>
      <c r="O3246">
        <f>Table1[[#This Row],[Unit_Price]]*Table1[[#This Row],[Quantity]]</f>
        <v>180</v>
      </c>
    </row>
    <row r="3247" spans="1:15" x14ac:dyDescent="0.3">
      <c r="A3247" t="s">
        <v>5064</v>
      </c>
      <c r="B3247" t="s">
        <v>1412</v>
      </c>
      <c r="C3247" t="s">
        <v>154</v>
      </c>
      <c r="D3247" t="s">
        <v>1057</v>
      </c>
      <c r="E3247">
        <v>1</v>
      </c>
      <c r="F3247">
        <f>_xlfn.XLOOKUP(Table1[[#This Row],[ProductID]],Products!A:A,Products!D:D,,0)</f>
        <v>130</v>
      </c>
      <c r="I3247">
        <v>549</v>
      </c>
      <c r="J3247">
        <v>439</v>
      </c>
      <c r="K3247" t="s">
        <v>1097</v>
      </c>
      <c r="L3247">
        <v>439</v>
      </c>
      <c r="M3247" t="s">
        <v>1118</v>
      </c>
      <c r="N3247" t="s">
        <v>1099</v>
      </c>
      <c r="O3247">
        <f>Table1[[#This Row],[Unit_Price]]*Table1[[#This Row],[Quantity]]</f>
        <v>130</v>
      </c>
    </row>
    <row r="3248" spans="1:15" x14ac:dyDescent="0.3">
      <c r="A3248" t="s">
        <v>5065</v>
      </c>
      <c r="B3248" t="s">
        <v>2067</v>
      </c>
      <c r="C3248" t="s">
        <v>549</v>
      </c>
      <c r="D3248" t="s">
        <v>1055</v>
      </c>
      <c r="E3248">
        <v>2</v>
      </c>
      <c r="F3248">
        <f>_xlfn.XLOOKUP(Table1[[#This Row],[ProductID]],Products!A:A,Products!D:D,,0)</f>
        <v>75</v>
      </c>
      <c r="I3248">
        <v>299</v>
      </c>
      <c r="J3248">
        <v>269</v>
      </c>
      <c r="K3248" t="s">
        <v>1107</v>
      </c>
      <c r="L3248">
        <v>538</v>
      </c>
      <c r="M3248" t="s">
        <v>1098</v>
      </c>
      <c r="N3248" t="s">
        <v>1099</v>
      </c>
      <c r="O3248">
        <f>Table1[[#This Row],[Unit_Price]]*Table1[[#This Row],[Quantity]]</f>
        <v>150</v>
      </c>
    </row>
    <row r="3249" spans="1:15" x14ac:dyDescent="0.3">
      <c r="A3249" t="s">
        <v>5066</v>
      </c>
      <c r="B3249" t="s">
        <v>4834</v>
      </c>
      <c r="C3249" t="s">
        <v>355</v>
      </c>
      <c r="D3249" t="s">
        <v>1071</v>
      </c>
      <c r="E3249">
        <v>1</v>
      </c>
      <c r="F3249">
        <f>_xlfn.XLOOKUP(Table1[[#This Row],[ProductID]],Products!A:A,Products!D:D,,0)</f>
        <v>125</v>
      </c>
      <c r="I3249">
        <v>399</v>
      </c>
      <c r="J3249">
        <v>399</v>
      </c>
      <c r="K3249" t="s">
        <v>1102</v>
      </c>
      <c r="L3249">
        <v>399</v>
      </c>
      <c r="M3249" t="s">
        <v>1098</v>
      </c>
      <c r="N3249" t="s">
        <v>1099</v>
      </c>
      <c r="O3249">
        <f>Table1[[#This Row],[Unit_Price]]*Table1[[#This Row],[Quantity]]</f>
        <v>125</v>
      </c>
    </row>
    <row r="3250" spans="1:15" x14ac:dyDescent="0.3">
      <c r="A3250" t="s">
        <v>5067</v>
      </c>
      <c r="B3250" t="s">
        <v>1698</v>
      </c>
      <c r="C3250" t="s">
        <v>393</v>
      </c>
      <c r="D3250" t="s">
        <v>1059</v>
      </c>
      <c r="E3250">
        <v>1</v>
      </c>
      <c r="F3250">
        <f>_xlfn.XLOOKUP(Table1[[#This Row],[ProductID]],Products!A:A,Products!D:D,,0)</f>
        <v>110</v>
      </c>
      <c r="I3250">
        <v>399</v>
      </c>
      <c r="J3250">
        <v>359</v>
      </c>
      <c r="K3250" t="s">
        <v>1107</v>
      </c>
      <c r="L3250">
        <v>359</v>
      </c>
      <c r="M3250" t="s">
        <v>1093</v>
      </c>
      <c r="N3250" t="s">
        <v>1094</v>
      </c>
      <c r="O3250">
        <f>Table1[[#This Row],[Unit_Price]]*Table1[[#This Row],[Quantity]]</f>
        <v>110</v>
      </c>
    </row>
    <row r="3251" spans="1:15" x14ac:dyDescent="0.3">
      <c r="A3251" t="s">
        <v>5068</v>
      </c>
      <c r="B3251" t="s">
        <v>1619</v>
      </c>
      <c r="C3251" t="s">
        <v>347</v>
      </c>
      <c r="D3251" t="s">
        <v>1071</v>
      </c>
      <c r="E3251">
        <v>1</v>
      </c>
      <c r="F3251">
        <f>_xlfn.XLOOKUP(Table1[[#This Row],[ProductID]],Products!A:A,Products!D:D,,0)</f>
        <v>125</v>
      </c>
      <c r="I3251">
        <v>399</v>
      </c>
      <c r="J3251">
        <v>399</v>
      </c>
      <c r="K3251" t="s">
        <v>1102</v>
      </c>
      <c r="L3251">
        <v>399</v>
      </c>
      <c r="M3251" t="s">
        <v>1098</v>
      </c>
      <c r="N3251" t="s">
        <v>1099</v>
      </c>
      <c r="O3251">
        <f>Table1[[#This Row],[Unit_Price]]*Table1[[#This Row],[Quantity]]</f>
        <v>125</v>
      </c>
    </row>
    <row r="3252" spans="1:15" x14ac:dyDescent="0.3">
      <c r="A3252" t="s">
        <v>5069</v>
      </c>
      <c r="B3252" t="s">
        <v>3562</v>
      </c>
      <c r="C3252" t="s">
        <v>785</v>
      </c>
      <c r="D3252" t="s">
        <v>1080</v>
      </c>
      <c r="E3252">
        <v>1</v>
      </c>
      <c r="F3252">
        <f>_xlfn.XLOOKUP(Table1[[#This Row],[ProductID]],Products!A:A,Products!D:D,,0)</f>
        <v>45</v>
      </c>
      <c r="I3252">
        <v>249</v>
      </c>
      <c r="J3252">
        <v>249</v>
      </c>
      <c r="K3252" t="s">
        <v>1102</v>
      </c>
      <c r="L3252">
        <v>249</v>
      </c>
      <c r="M3252" t="s">
        <v>1093</v>
      </c>
      <c r="N3252" t="s">
        <v>1099</v>
      </c>
      <c r="O3252">
        <f>Table1[[#This Row],[Unit_Price]]*Table1[[#This Row],[Quantity]]</f>
        <v>45</v>
      </c>
    </row>
    <row r="3253" spans="1:15" x14ac:dyDescent="0.3">
      <c r="A3253" t="s">
        <v>5070</v>
      </c>
      <c r="B3253" t="s">
        <v>2896</v>
      </c>
      <c r="C3253" t="s">
        <v>991</v>
      </c>
      <c r="D3253" t="s">
        <v>1075</v>
      </c>
      <c r="E3253">
        <v>2</v>
      </c>
      <c r="F3253">
        <f>_xlfn.XLOOKUP(Table1[[#This Row],[ProductID]],Products!A:A,Products!D:D,,0)</f>
        <v>80</v>
      </c>
      <c r="I3253">
        <v>499</v>
      </c>
      <c r="J3253">
        <v>449</v>
      </c>
      <c r="K3253" t="s">
        <v>1107</v>
      </c>
      <c r="L3253">
        <v>898</v>
      </c>
      <c r="M3253" t="s">
        <v>1093</v>
      </c>
      <c r="N3253" t="s">
        <v>1123</v>
      </c>
      <c r="O3253">
        <f>Table1[[#This Row],[Unit_Price]]*Table1[[#This Row],[Quantity]]</f>
        <v>160</v>
      </c>
    </row>
    <row r="3254" spans="1:15" x14ac:dyDescent="0.3">
      <c r="A3254" t="s">
        <v>5071</v>
      </c>
      <c r="B3254" t="s">
        <v>1813</v>
      </c>
      <c r="C3254" t="s">
        <v>179</v>
      </c>
      <c r="D3254" t="s">
        <v>1062</v>
      </c>
      <c r="E3254">
        <v>1</v>
      </c>
      <c r="F3254">
        <f>_xlfn.XLOOKUP(Table1[[#This Row],[ProductID]],Products!A:A,Products!D:D,,0)</f>
        <v>95</v>
      </c>
      <c r="I3254">
        <v>349</v>
      </c>
      <c r="J3254">
        <v>279</v>
      </c>
      <c r="K3254" t="s">
        <v>1097</v>
      </c>
      <c r="L3254">
        <v>279</v>
      </c>
      <c r="M3254" t="s">
        <v>1098</v>
      </c>
      <c r="N3254" t="s">
        <v>1099</v>
      </c>
      <c r="O3254">
        <f>Table1[[#This Row],[Unit_Price]]*Table1[[#This Row],[Quantity]]</f>
        <v>95</v>
      </c>
    </row>
    <row r="3255" spans="1:15" x14ac:dyDescent="0.3">
      <c r="A3255" t="s">
        <v>5072</v>
      </c>
      <c r="B3255" t="s">
        <v>1368</v>
      </c>
      <c r="C3255" t="s">
        <v>943</v>
      </c>
      <c r="D3255" t="s">
        <v>1073</v>
      </c>
      <c r="E3255">
        <v>1</v>
      </c>
      <c r="F3255">
        <f>_xlfn.XLOOKUP(Table1[[#This Row],[ProductID]],Products!A:A,Products!D:D,,0)</f>
        <v>100</v>
      </c>
      <c r="I3255">
        <v>349</v>
      </c>
      <c r="J3255">
        <v>314</v>
      </c>
      <c r="K3255" t="s">
        <v>1107</v>
      </c>
      <c r="L3255">
        <v>314</v>
      </c>
      <c r="M3255" t="s">
        <v>1098</v>
      </c>
      <c r="N3255" t="s">
        <v>1099</v>
      </c>
      <c r="O3255">
        <f>Table1[[#This Row],[Unit_Price]]*Table1[[#This Row],[Quantity]]</f>
        <v>100</v>
      </c>
    </row>
    <row r="3256" spans="1:15" x14ac:dyDescent="0.3">
      <c r="A3256" t="s">
        <v>5073</v>
      </c>
      <c r="B3256" t="s">
        <v>3516</v>
      </c>
      <c r="C3256" t="s">
        <v>899</v>
      </c>
      <c r="D3256" t="s">
        <v>1071</v>
      </c>
      <c r="E3256">
        <v>1</v>
      </c>
      <c r="F3256">
        <f>_xlfn.XLOOKUP(Table1[[#This Row],[ProductID]],Products!A:A,Products!D:D,,0)</f>
        <v>125</v>
      </c>
      <c r="I3256">
        <v>399</v>
      </c>
      <c r="J3256">
        <v>359</v>
      </c>
      <c r="K3256" t="s">
        <v>1107</v>
      </c>
      <c r="L3256">
        <v>359</v>
      </c>
      <c r="M3256" t="s">
        <v>1093</v>
      </c>
      <c r="N3256" t="s">
        <v>1094</v>
      </c>
      <c r="O3256">
        <f>Table1[[#This Row],[Unit_Price]]*Table1[[#This Row],[Quantity]]</f>
        <v>125</v>
      </c>
    </row>
    <row r="3257" spans="1:15" x14ac:dyDescent="0.3">
      <c r="A3257" t="s">
        <v>5074</v>
      </c>
      <c r="B3257" t="s">
        <v>1555</v>
      </c>
      <c r="C3257" t="s">
        <v>761</v>
      </c>
      <c r="D3257" t="s">
        <v>1075</v>
      </c>
      <c r="E3257">
        <v>1</v>
      </c>
      <c r="F3257">
        <f>_xlfn.XLOOKUP(Table1[[#This Row],[ProductID]],Products!A:A,Products!D:D,,0)</f>
        <v>80</v>
      </c>
      <c r="I3257">
        <v>499</v>
      </c>
      <c r="J3257">
        <v>499</v>
      </c>
      <c r="K3257" t="s">
        <v>1102</v>
      </c>
      <c r="L3257">
        <v>499</v>
      </c>
      <c r="M3257" t="s">
        <v>1098</v>
      </c>
      <c r="N3257" t="s">
        <v>1094</v>
      </c>
      <c r="O3257">
        <f>Table1[[#This Row],[Unit_Price]]*Table1[[#This Row],[Quantity]]</f>
        <v>80</v>
      </c>
    </row>
    <row r="3258" spans="1:15" x14ac:dyDescent="0.3">
      <c r="A3258" t="s">
        <v>5075</v>
      </c>
      <c r="B3258" t="s">
        <v>1668</v>
      </c>
      <c r="C3258" t="s">
        <v>883</v>
      </c>
      <c r="D3258" t="s">
        <v>1073</v>
      </c>
      <c r="E3258">
        <v>1</v>
      </c>
      <c r="F3258">
        <f>_xlfn.XLOOKUP(Table1[[#This Row],[ProductID]],Products!A:A,Products!D:D,,0)</f>
        <v>100</v>
      </c>
      <c r="I3258">
        <v>349</v>
      </c>
      <c r="J3258">
        <v>279</v>
      </c>
      <c r="K3258" t="s">
        <v>1097</v>
      </c>
      <c r="L3258">
        <v>279</v>
      </c>
      <c r="M3258" t="s">
        <v>1093</v>
      </c>
      <c r="N3258" t="s">
        <v>1094</v>
      </c>
      <c r="O3258">
        <f>Table1[[#This Row],[Unit_Price]]*Table1[[#This Row],[Quantity]]</f>
        <v>100</v>
      </c>
    </row>
    <row r="3259" spans="1:15" x14ac:dyDescent="0.3">
      <c r="A3259" t="s">
        <v>5076</v>
      </c>
      <c r="B3259" t="s">
        <v>2198</v>
      </c>
      <c r="C3259" t="s">
        <v>845</v>
      </c>
      <c r="D3259" t="s">
        <v>1057</v>
      </c>
      <c r="E3259">
        <v>1</v>
      </c>
      <c r="F3259">
        <f>_xlfn.XLOOKUP(Table1[[#This Row],[ProductID]],Products!A:A,Products!D:D,,0)</f>
        <v>130</v>
      </c>
      <c r="I3259">
        <v>549</v>
      </c>
      <c r="J3259">
        <v>494</v>
      </c>
      <c r="K3259" t="s">
        <v>1107</v>
      </c>
      <c r="L3259">
        <v>494</v>
      </c>
      <c r="M3259" t="s">
        <v>1098</v>
      </c>
      <c r="N3259" t="s">
        <v>1094</v>
      </c>
      <c r="O3259">
        <f>Table1[[#This Row],[Unit_Price]]*Table1[[#This Row],[Quantity]]</f>
        <v>130</v>
      </c>
    </row>
    <row r="3260" spans="1:15" x14ac:dyDescent="0.3">
      <c r="A3260" t="s">
        <v>5077</v>
      </c>
      <c r="B3260" t="s">
        <v>2254</v>
      </c>
      <c r="C3260" t="s">
        <v>985</v>
      </c>
      <c r="D3260" t="s">
        <v>1078</v>
      </c>
      <c r="E3260">
        <v>1</v>
      </c>
      <c r="F3260">
        <f>_xlfn.XLOOKUP(Table1[[#This Row],[ProductID]],Products!A:A,Products!D:D,,0)</f>
        <v>80</v>
      </c>
      <c r="I3260">
        <v>499</v>
      </c>
      <c r="J3260">
        <v>424</v>
      </c>
      <c r="K3260" t="s">
        <v>1092</v>
      </c>
      <c r="L3260">
        <v>424</v>
      </c>
      <c r="M3260" t="s">
        <v>1098</v>
      </c>
      <c r="N3260" t="s">
        <v>1099</v>
      </c>
      <c r="O3260">
        <f>Table1[[#This Row],[Unit_Price]]*Table1[[#This Row],[Quantity]]</f>
        <v>80</v>
      </c>
    </row>
    <row r="3261" spans="1:15" x14ac:dyDescent="0.3">
      <c r="A3261" t="s">
        <v>5078</v>
      </c>
      <c r="B3261" t="s">
        <v>1394</v>
      </c>
      <c r="C3261" t="s">
        <v>89</v>
      </c>
      <c r="D3261" t="s">
        <v>1053</v>
      </c>
      <c r="E3261">
        <v>3</v>
      </c>
      <c r="F3261">
        <f>_xlfn.XLOOKUP(Table1[[#This Row],[ProductID]],Products!A:A,Products!D:D,,0)</f>
        <v>200</v>
      </c>
      <c r="I3261">
        <v>899</v>
      </c>
      <c r="J3261">
        <v>764</v>
      </c>
      <c r="K3261" t="s">
        <v>1092</v>
      </c>
      <c r="L3261">
        <v>2292</v>
      </c>
      <c r="M3261" t="s">
        <v>1098</v>
      </c>
      <c r="N3261" t="s">
        <v>1099</v>
      </c>
      <c r="O3261">
        <f>Table1[[#This Row],[Unit_Price]]*Table1[[#This Row],[Quantity]]</f>
        <v>600</v>
      </c>
    </row>
    <row r="3262" spans="1:15" x14ac:dyDescent="0.3">
      <c r="A3262" t="s">
        <v>5079</v>
      </c>
      <c r="B3262" t="s">
        <v>3243</v>
      </c>
      <c r="C3262" t="s">
        <v>205</v>
      </c>
      <c r="D3262" t="s">
        <v>1075</v>
      </c>
      <c r="E3262">
        <v>1</v>
      </c>
      <c r="F3262">
        <f>_xlfn.XLOOKUP(Table1[[#This Row],[ProductID]],Products!A:A,Products!D:D,,0)</f>
        <v>80</v>
      </c>
      <c r="I3262">
        <v>499</v>
      </c>
      <c r="J3262">
        <v>499</v>
      </c>
      <c r="K3262" t="s">
        <v>1102</v>
      </c>
      <c r="L3262">
        <v>499</v>
      </c>
      <c r="M3262" t="s">
        <v>1093</v>
      </c>
      <c r="N3262" t="s">
        <v>1099</v>
      </c>
      <c r="O3262">
        <f>Table1[[#This Row],[Unit_Price]]*Table1[[#This Row],[Quantity]]</f>
        <v>80</v>
      </c>
    </row>
    <row r="3263" spans="1:15" x14ac:dyDescent="0.3">
      <c r="A3263" t="s">
        <v>5080</v>
      </c>
      <c r="B3263" t="s">
        <v>2285</v>
      </c>
      <c r="C3263" t="s">
        <v>851</v>
      </c>
      <c r="D3263" t="s">
        <v>1051</v>
      </c>
      <c r="E3263">
        <v>2</v>
      </c>
      <c r="F3263">
        <f>_xlfn.XLOOKUP(Table1[[#This Row],[ProductID]],Products!A:A,Products!D:D,,0)</f>
        <v>150</v>
      </c>
      <c r="I3263">
        <v>499</v>
      </c>
      <c r="J3263">
        <v>499</v>
      </c>
      <c r="K3263" t="s">
        <v>1102</v>
      </c>
      <c r="L3263">
        <v>998</v>
      </c>
      <c r="M3263" t="s">
        <v>1098</v>
      </c>
      <c r="N3263" t="s">
        <v>1099</v>
      </c>
      <c r="O3263">
        <f>Table1[[#This Row],[Unit_Price]]*Table1[[#This Row],[Quantity]]</f>
        <v>300</v>
      </c>
    </row>
    <row r="3264" spans="1:15" x14ac:dyDescent="0.3">
      <c r="A3264" t="s">
        <v>5081</v>
      </c>
      <c r="B3264" t="s">
        <v>2438</v>
      </c>
      <c r="C3264" t="s">
        <v>903</v>
      </c>
      <c r="D3264" t="s">
        <v>1068</v>
      </c>
      <c r="E3264">
        <v>4</v>
      </c>
      <c r="F3264">
        <f>_xlfn.XLOOKUP(Table1[[#This Row],[ProductID]],Products!A:A,Products!D:D,,0)</f>
        <v>180</v>
      </c>
      <c r="I3264">
        <v>449</v>
      </c>
      <c r="J3264">
        <v>449</v>
      </c>
      <c r="K3264" t="s">
        <v>1102</v>
      </c>
      <c r="L3264">
        <v>1796</v>
      </c>
      <c r="M3264" t="s">
        <v>1098</v>
      </c>
      <c r="N3264" t="s">
        <v>1099</v>
      </c>
      <c r="O3264">
        <f>Table1[[#This Row],[Unit_Price]]*Table1[[#This Row],[Quantity]]</f>
        <v>720</v>
      </c>
    </row>
    <row r="3265" spans="1:15" x14ac:dyDescent="0.3">
      <c r="A3265" t="s">
        <v>5082</v>
      </c>
      <c r="B3265" t="s">
        <v>2541</v>
      </c>
      <c r="C3265" t="s">
        <v>156</v>
      </c>
      <c r="D3265" t="s">
        <v>1078</v>
      </c>
      <c r="E3265">
        <v>2</v>
      </c>
      <c r="F3265">
        <f>_xlfn.XLOOKUP(Table1[[#This Row],[ProductID]],Products!A:A,Products!D:D,,0)</f>
        <v>80</v>
      </c>
      <c r="I3265">
        <v>499</v>
      </c>
      <c r="J3265">
        <v>449</v>
      </c>
      <c r="K3265" t="s">
        <v>1107</v>
      </c>
      <c r="L3265">
        <v>898</v>
      </c>
      <c r="M3265" t="s">
        <v>1098</v>
      </c>
      <c r="N3265" t="s">
        <v>1099</v>
      </c>
      <c r="O3265">
        <f>Table1[[#This Row],[Unit_Price]]*Table1[[#This Row],[Quantity]]</f>
        <v>160</v>
      </c>
    </row>
    <row r="3266" spans="1:15" x14ac:dyDescent="0.3">
      <c r="A3266" t="s">
        <v>5083</v>
      </c>
      <c r="B3266" t="s">
        <v>2717</v>
      </c>
      <c r="C3266" t="s">
        <v>181</v>
      </c>
      <c r="D3266" t="s">
        <v>1078</v>
      </c>
      <c r="E3266">
        <v>1</v>
      </c>
      <c r="F3266">
        <f>_xlfn.XLOOKUP(Table1[[#This Row],[ProductID]],Products!A:A,Products!D:D,,0)</f>
        <v>80</v>
      </c>
      <c r="I3266">
        <v>499</v>
      </c>
      <c r="J3266">
        <v>499</v>
      </c>
      <c r="K3266" t="s">
        <v>1102</v>
      </c>
      <c r="L3266">
        <v>499</v>
      </c>
      <c r="M3266" t="s">
        <v>1126</v>
      </c>
      <c r="N3266" t="s">
        <v>1099</v>
      </c>
      <c r="O3266">
        <f>Table1[[#This Row],[Unit_Price]]*Table1[[#This Row],[Quantity]]</f>
        <v>80</v>
      </c>
    </row>
    <row r="3267" spans="1:15" x14ac:dyDescent="0.3">
      <c r="A3267" t="s">
        <v>5084</v>
      </c>
      <c r="B3267" t="s">
        <v>1113</v>
      </c>
      <c r="C3267" t="s">
        <v>355</v>
      </c>
      <c r="D3267" t="s">
        <v>1057</v>
      </c>
      <c r="E3267">
        <v>1</v>
      </c>
      <c r="F3267">
        <f>_xlfn.XLOOKUP(Table1[[#This Row],[ProductID]],Products!A:A,Products!D:D,,0)</f>
        <v>130</v>
      </c>
      <c r="I3267">
        <v>549</v>
      </c>
      <c r="J3267">
        <v>467</v>
      </c>
      <c r="K3267" t="s">
        <v>1092</v>
      </c>
      <c r="L3267">
        <v>467</v>
      </c>
      <c r="M3267" t="s">
        <v>1098</v>
      </c>
      <c r="N3267" t="s">
        <v>1099</v>
      </c>
      <c r="O3267">
        <f>Table1[[#This Row],[Unit_Price]]*Table1[[#This Row],[Quantity]]</f>
        <v>130</v>
      </c>
    </row>
    <row r="3268" spans="1:15" x14ac:dyDescent="0.3">
      <c r="A3268" t="s">
        <v>5085</v>
      </c>
      <c r="B3268" t="s">
        <v>1933</v>
      </c>
      <c r="C3268" t="s">
        <v>165</v>
      </c>
      <c r="D3268" t="s">
        <v>1071</v>
      </c>
      <c r="E3268">
        <v>1</v>
      </c>
      <c r="F3268">
        <f>_xlfn.XLOOKUP(Table1[[#This Row],[ProductID]],Products!A:A,Products!D:D,,0)</f>
        <v>125</v>
      </c>
      <c r="I3268">
        <v>399</v>
      </c>
      <c r="J3268">
        <v>399</v>
      </c>
      <c r="K3268" t="s">
        <v>1102</v>
      </c>
      <c r="L3268">
        <v>399</v>
      </c>
      <c r="M3268" t="s">
        <v>1098</v>
      </c>
      <c r="N3268" t="s">
        <v>1099</v>
      </c>
      <c r="O3268">
        <f>Table1[[#This Row],[Unit_Price]]*Table1[[#This Row],[Quantity]]</f>
        <v>125</v>
      </c>
    </row>
    <row r="3269" spans="1:15" x14ac:dyDescent="0.3">
      <c r="A3269" t="s">
        <v>5086</v>
      </c>
      <c r="B3269" t="s">
        <v>1965</v>
      </c>
      <c r="C3269" t="s">
        <v>91</v>
      </c>
      <c r="D3269" t="s">
        <v>1066</v>
      </c>
      <c r="E3269">
        <v>2</v>
      </c>
      <c r="F3269">
        <f>_xlfn.XLOOKUP(Table1[[#This Row],[ProductID]],Products!A:A,Products!D:D,,0)</f>
        <v>140</v>
      </c>
      <c r="I3269">
        <v>499</v>
      </c>
      <c r="J3269">
        <v>399</v>
      </c>
      <c r="K3269" t="s">
        <v>1097</v>
      </c>
      <c r="L3269">
        <v>798</v>
      </c>
      <c r="M3269" t="s">
        <v>1098</v>
      </c>
      <c r="N3269" t="s">
        <v>1099</v>
      </c>
      <c r="O3269">
        <f>Table1[[#This Row],[Unit_Price]]*Table1[[#This Row],[Quantity]]</f>
        <v>280</v>
      </c>
    </row>
    <row r="3270" spans="1:15" x14ac:dyDescent="0.3">
      <c r="A3270" t="s">
        <v>5087</v>
      </c>
      <c r="B3270" t="s">
        <v>2940</v>
      </c>
      <c r="C3270" t="s">
        <v>413</v>
      </c>
      <c r="D3270" t="s">
        <v>1078</v>
      </c>
      <c r="E3270">
        <v>2</v>
      </c>
      <c r="F3270">
        <f>_xlfn.XLOOKUP(Table1[[#This Row],[ProductID]],Products!A:A,Products!D:D,,0)</f>
        <v>80</v>
      </c>
      <c r="I3270">
        <v>499</v>
      </c>
      <c r="J3270">
        <v>449</v>
      </c>
      <c r="K3270" t="s">
        <v>1107</v>
      </c>
      <c r="L3270">
        <v>898</v>
      </c>
      <c r="M3270" t="s">
        <v>1098</v>
      </c>
      <c r="N3270" t="s">
        <v>1099</v>
      </c>
      <c r="O3270">
        <f>Table1[[#This Row],[Unit_Price]]*Table1[[#This Row],[Quantity]]</f>
        <v>160</v>
      </c>
    </row>
    <row r="3271" spans="1:15" x14ac:dyDescent="0.3">
      <c r="A3271" t="s">
        <v>5088</v>
      </c>
      <c r="B3271" t="s">
        <v>2589</v>
      </c>
      <c r="C3271" t="s">
        <v>619</v>
      </c>
      <c r="D3271" t="s">
        <v>1057</v>
      </c>
      <c r="E3271">
        <v>1</v>
      </c>
      <c r="F3271">
        <f>_xlfn.XLOOKUP(Table1[[#This Row],[ProductID]],Products!A:A,Products!D:D,,0)</f>
        <v>130</v>
      </c>
      <c r="I3271">
        <v>549</v>
      </c>
      <c r="J3271">
        <v>439</v>
      </c>
      <c r="K3271" t="s">
        <v>1097</v>
      </c>
      <c r="L3271">
        <v>439</v>
      </c>
      <c r="M3271" t="s">
        <v>1098</v>
      </c>
      <c r="N3271" t="s">
        <v>1099</v>
      </c>
      <c r="O3271">
        <f>Table1[[#This Row],[Unit_Price]]*Table1[[#This Row],[Quantity]]</f>
        <v>130</v>
      </c>
    </row>
    <row r="3272" spans="1:15" x14ac:dyDescent="0.3">
      <c r="A3272" t="s">
        <v>5089</v>
      </c>
      <c r="B3272" t="s">
        <v>2485</v>
      </c>
      <c r="C3272" t="s">
        <v>667</v>
      </c>
      <c r="D3272" t="s">
        <v>1057</v>
      </c>
      <c r="E3272">
        <v>3</v>
      </c>
      <c r="F3272">
        <f>_xlfn.XLOOKUP(Table1[[#This Row],[ProductID]],Products!A:A,Products!D:D,,0)</f>
        <v>130</v>
      </c>
      <c r="I3272">
        <v>549</v>
      </c>
      <c r="J3272">
        <v>549</v>
      </c>
      <c r="K3272" t="s">
        <v>1102</v>
      </c>
      <c r="L3272">
        <v>1647</v>
      </c>
      <c r="M3272" t="s">
        <v>1098</v>
      </c>
      <c r="N3272" t="s">
        <v>1099</v>
      </c>
      <c r="O3272">
        <f>Table1[[#This Row],[Unit_Price]]*Table1[[#This Row],[Quantity]]</f>
        <v>390</v>
      </c>
    </row>
    <row r="3273" spans="1:15" x14ac:dyDescent="0.3">
      <c r="A3273" t="s">
        <v>5090</v>
      </c>
      <c r="B3273" t="s">
        <v>2709</v>
      </c>
      <c r="C3273" t="s">
        <v>795</v>
      </c>
      <c r="D3273" t="s">
        <v>1066</v>
      </c>
      <c r="E3273">
        <v>1</v>
      </c>
      <c r="F3273">
        <f>_xlfn.XLOOKUP(Table1[[#This Row],[ProductID]],Products!A:A,Products!D:D,,0)</f>
        <v>140</v>
      </c>
      <c r="I3273">
        <v>499</v>
      </c>
      <c r="J3273">
        <v>449</v>
      </c>
      <c r="K3273" t="s">
        <v>1107</v>
      </c>
      <c r="L3273">
        <v>449</v>
      </c>
      <c r="M3273" t="s">
        <v>1093</v>
      </c>
      <c r="N3273" t="s">
        <v>1099</v>
      </c>
      <c r="O3273">
        <f>Table1[[#This Row],[Unit_Price]]*Table1[[#This Row],[Quantity]]</f>
        <v>140</v>
      </c>
    </row>
    <row r="3274" spans="1:15" x14ac:dyDescent="0.3">
      <c r="A3274" t="s">
        <v>5091</v>
      </c>
      <c r="B3274" t="s">
        <v>1768</v>
      </c>
      <c r="C3274" t="s">
        <v>527</v>
      </c>
      <c r="D3274" t="s">
        <v>1071</v>
      </c>
      <c r="E3274">
        <v>1</v>
      </c>
      <c r="F3274">
        <f>_xlfn.XLOOKUP(Table1[[#This Row],[ProductID]],Products!A:A,Products!D:D,,0)</f>
        <v>125</v>
      </c>
      <c r="I3274">
        <v>399</v>
      </c>
      <c r="J3274">
        <v>399</v>
      </c>
      <c r="K3274" t="s">
        <v>1102</v>
      </c>
      <c r="L3274">
        <v>399</v>
      </c>
      <c r="M3274" t="s">
        <v>1098</v>
      </c>
      <c r="N3274" t="s">
        <v>1099</v>
      </c>
      <c r="O3274">
        <f>Table1[[#This Row],[Unit_Price]]*Table1[[#This Row],[Quantity]]</f>
        <v>125</v>
      </c>
    </row>
    <row r="3275" spans="1:15" x14ac:dyDescent="0.3">
      <c r="A3275" t="s">
        <v>5092</v>
      </c>
      <c r="B3275" t="s">
        <v>3320</v>
      </c>
      <c r="C3275" t="s">
        <v>136</v>
      </c>
      <c r="D3275" t="s">
        <v>1059</v>
      </c>
      <c r="E3275">
        <v>2</v>
      </c>
      <c r="F3275">
        <f>_xlfn.XLOOKUP(Table1[[#This Row],[ProductID]],Products!A:A,Products!D:D,,0)</f>
        <v>110</v>
      </c>
      <c r="I3275">
        <v>399</v>
      </c>
      <c r="J3275">
        <v>359</v>
      </c>
      <c r="K3275" t="s">
        <v>1107</v>
      </c>
      <c r="L3275">
        <v>718</v>
      </c>
      <c r="M3275" t="s">
        <v>1093</v>
      </c>
      <c r="N3275" t="s">
        <v>1099</v>
      </c>
      <c r="O3275">
        <f>Table1[[#This Row],[Unit_Price]]*Table1[[#This Row],[Quantity]]</f>
        <v>220</v>
      </c>
    </row>
    <row r="3276" spans="1:15" x14ac:dyDescent="0.3">
      <c r="A3276" t="s">
        <v>5093</v>
      </c>
      <c r="B3276" t="s">
        <v>1426</v>
      </c>
      <c r="C3276" t="s">
        <v>14</v>
      </c>
      <c r="D3276" t="s">
        <v>1059</v>
      </c>
      <c r="E3276">
        <v>1</v>
      </c>
      <c r="F3276">
        <f>_xlfn.XLOOKUP(Table1[[#This Row],[ProductID]],Products!A:A,Products!D:D,,0)</f>
        <v>110</v>
      </c>
      <c r="I3276">
        <v>399</v>
      </c>
      <c r="J3276">
        <v>319</v>
      </c>
      <c r="K3276" t="s">
        <v>1097</v>
      </c>
      <c r="L3276">
        <v>319</v>
      </c>
      <c r="M3276" t="s">
        <v>1093</v>
      </c>
      <c r="N3276" t="s">
        <v>1094</v>
      </c>
      <c r="O3276">
        <f>Table1[[#This Row],[Unit_Price]]*Table1[[#This Row],[Quantity]]</f>
        <v>110</v>
      </c>
    </row>
    <row r="3277" spans="1:15" x14ac:dyDescent="0.3">
      <c r="A3277" t="s">
        <v>5094</v>
      </c>
      <c r="B3277" t="s">
        <v>3191</v>
      </c>
      <c r="C3277" t="s">
        <v>439</v>
      </c>
      <c r="D3277" t="s">
        <v>1053</v>
      </c>
      <c r="E3277">
        <v>1</v>
      </c>
      <c r="F3277">
        <f>_xlfn.XLOOKUP(Table1[[#This Row],[ProductID]],Products!A:A,Products!D:D,,0)</f>
        <v>200</v>
      </c>
      <c r="I3277">
        <v>899</v>
      </c>
      <c r="J3277">
        <v>899</v>
      </c>
      <c r="K3277" t="s">
        <v>1102</v>
      </c>
      <c r="L3277">
        <v>899</v>
      </c>
      <c r="M3277" t="s">
        <v>1098</v>
      </c>
      <c r="N3277" t="s">
        <v>1099</v>
      </c>
      <c r="O3277">
        <f>Table1[[#This Row],[Unit_Price]]*Table1[[#This Row],[Quantity]]</f>
        <v>200</v>
      </c>
    </row>
    <row r="3278" spans="1:15" x14ac:dyDescent="0.3">
      <c r="A3278" t="s">
        <v>5095</v>
      </c>
      <c r="B3278" t="s">
        <v>1513</v>
      </c>
      <c r="C3278" t="s">
        <v>717</v>
      </c>
      <c r="D3278" t="s">
        <v>1075</v>
      </c>
      <c r="E3278">
        <v>4</v>
      </c>
      <c r="F3278">
        <f>_xlfn.XLOOKUP(Table1[[#This Row],[ProductID]],Products!A:A,Products!D:D,,0)</f>
        <v>80</v>
      </c>
      <c r="I3278">
        <v>499</v>
      </c>
      <c r="J3278">
        <v>449</v>
      </c>
      <c r="K3278" t="s">
        <v>1107</v>
      </c>
      <c r="L3278">
        <v>1796</v>
      </c>
      <c r="M3278" t="s">
        <v>1098</v>
      </c>
      <c r="N3278" t="s">
        <v>1099</v>
      </c>
      <c r="O3278">
        <f>Table1[[#This Row],[Unit_Price]]*Table1[[#This Row],[Quantity]]</f>
        <v>320</v>
      </c>
    </row>
    <row r="3279" spans="1:15" x14ac:dyDescent="0.3">
      <c r="A3279" t="s">
        <v>5096</v>
      </c>
      <c r="B3279" t="s">
        <v>2172</v>
      </c>
      <c r="C3279" t="s">
        <v>759</v>
      </c>
      <c r="D3279" t="s">
        <v>1059</v>
      </c>
      <c r="E3279">
        <v>1</v>
      </c>
      <c r="F3279">
        <f>_xlfn.XLOOKUP(Table1[[#This Row],[ProductID]],Products!A:A,Products!D:D,,0)</f>
        <v>110</v>
      </c>
      <c r="I3279">
        <v>399</v>
      </c>
      <c r="J3279">
        <v>399</v>
      </c>
      <c r="K3279" t="s">
        <v>1102</v>
      </c>
      <c r="L3279">
        <v>399</v>
      </c>
      <c r="M3279" t="s">
        <v>1093</v>
      </c>
      <c r="N3279" t="s">
        <v>1099</v>
      </c>
      <c r="O3279">
        <f>Table1[[#This Row],[Unit_Price]]*Table1[[#This Row],[Quantity]]</f>
        <v>110</v>
      </c>
    </row>
    <row r="3280" spans="1:15" x14ac:dyDescent="0.3">
      <c r="A3280" t="s">
        <v>5097</v>
      </c>
      <c r="B3280" t="s">
        <v>4090</v>
      </c>
      <c r="C3280" t="s">
        <v>765</v>
      </c>
      <c r="D3280" t="s">
        <v>1051</v>
      </c>
      <c r="E3280">
        <v>1</v>
      </c>
      <c r="F3280">
        <f>_xlfn.XLOOKUP(Table1[[#This Row],[ProductID]],Products!A:A,Products!D:D,,0)</f>
        <v>150</v>
      </c>
      <c r="I3280">
        <v>499</v>
      </c>
      <c r="J3280">
        <v>449</v>
      </c>
      <c r="K3280" t="s">
        <v>1107</v>
      </c>
      <c r="L3280">
        <v>449</v>
      </c>
      <c r="M3280" t="s">
        <v>1098</v>
      </c>
      <c r="N3280" t="s">
        <v>1099</v>
      </c>
      <c r="O3280">
        <f>Table1[[#This Row],[Unit_Price]]*Table1[[#This Row],[Quantity]]</f>
        <v>150</v>
      </c>
    </row>
    <row r="3281" spans="1:15" x14ac:dyDescent="0.3">
      <c r="A3281" t="s">
        <v>5098</v>
      </c>
      <c r="B3281" t="s">
        <v>2853</v>
      </c>
      <c r="C3281" t="s">
        <v>387</v>
      </c>
      <c r="D3281" t="s">
        <v>1073</v>
      </c>
      <c r="E3281">
        <v>1</v>
      </c>
      <c r="F3281">
        <f>_xlfn.XLOOKUP(Table1[[#This Row],[ProductID]],Products!A:A,Products!D:D,,0)</f>
        <v>100</v>
      </c>
      <c r="I3281">
        <v>349</v>
      </c>
      <c r="J3281">
        <v>314</v>
      </c>
      <c r="K3281" t="s">
        <v>1107</v>
      </c>
      <c r="L3281">
        <v>314</v>
      </c>
      <c r="M3281" t="s">
        <v>1093</v>
      </c>
      <c r="N3281" t="s">
        <v>1094</v>
      </c>
      <c r="O3281">
        <f>Table1[[#This Row],[Unit_Price]]*Table1[[#This Row],[Quantity]]</f>
        <v>100</v>
      </c>
    </row>
    <row r="3282" spans="1:15" x14ac:dyDescent="0.3">
      <c r="A3282" t="s">
        <v>5099</v>
      </c>
      <c r="B3282" t="s">
        <v>3516</v>
      </c>
      <c r="C3282" t="s">
        <v>969</v>
      </c>
      <c r="D3282" t="s">
        <v>1057</v>
      </c>
      <c r="E3282">
        <v>1</v>
      </c>
      <c r="F3282">
        <f>_xlfn.XLOOKUP(Table1[[#This Row],[ProductID]],Products!A:A,Products!D:D,,0)</f>
        <v>130</v>
      </c>
      <c r="I3282">
        <v>549</v>
      </c>
      <c r="J3282">
        <v>494</v>
      </c>
      <c r="K3282" t="s">
        <v>1107</v>
      </c>
      <c r="L3282">
        <v>494</v>
      </c>
      <c r="M3282" t="s">
        <v>1126</v>
      </c>
      <c r="N3282" t="s">
        <v>1099</v>
      </c>
      <c r="O3282">
        <f>Table1[[#This Row],[Unit_Price]]*Table1[[#This Row],[Quantity]]</f>
        <v>130</v>
      </c>
    </row>
    <row r="3283" spans="1:15" x14ac:dyDescent="0.3">
      <c r="A3283" t="s">
        <v>5100</v>
      </c>
      <c r="B3283" t="s">
        <v>1657</v>
      </c>
      <c r="C3283" t="s">
        <v>189</v>
      </c>
      <c r="D3283" t="s">
        <v>1071</v>
      </c>
      <c r="E3283">
        <v>1</v>
      </c>
      <c r="F3283">
        <f>_xlfn.XLOOKUP(Table1[[#This Row],[ProductID]],Products!A:A,Products!D:D,,0)</f>
        <v>125</v>
      </c>
      <c r="I3283">
        <v>399</v>
      </c>
      <c r="J3283">
        <v>319</v>
      </c>
      <c r="K3283" t="s">
        <v>1097</v>
      </c>
      <c r="L3283">
        <v>319</v>
      </c>
      <c r="M3283" t="s">
        <v>1093</v>
      </c>
      <c r="N3283" t="s">
        <v>1099</v>
      </c>
      <c r="O3283">
        <f>Table1[[#This Row],[Unit_Price]]*Table1[[#This Row],[Quantity]]</f>
        <v>125</v>
      </c>
    </row>
    <row r="3284" spans="1:15" x14ac:dyDescent="0.3">
      <c r="A3284" t="s">
        <v>5101</v>
      </c>
      <c r="B3284" t="s">
        <v>2624</v>
      </c>
      <c r="C3284" t="s">
        <v>1025</v>
      </c>
      <c r="D3284" t="s">
        <v>1066</v>
      </c>
      <c r="E3284">
        <v>3</v>
      </c>
      <c r="F3284">
        <f>_xlfn.XLOOKUP(Table1[[#This Row],[ProductID]],Products!A:A,Products!D:D,,0)</f>
        <v>140</v>
      </c>
      <c r="I3284">
        <v>499</v>
      </c>
      <c r="J3284">
        <v>449</v>
      </c>
      <c r="K3284" t="s">
        <v>1107</v>
      </c>
      <c r="L3284">
        <v>1347</v>
      </c>
      <c r="M3284" t="s">
        <v>1093</v>
      </c>
      <c r="N3284" t="s">
        <v>1099</v>
      </c>
      <c r="O3284">
        <f>Table1[[#This Row],[Unit_Price]]*Table1[[#This Row],[Quantity]]</f>
        <v>420</v>
      </c>
    </row>
    <row r="3285" spans="1:15" x14ac:dyDescent="0.3">
      <c r="A3285" t="s">
        <v>5102</v>
      </c>
      <c r="B3285" t="s">
        <v>3206</v>
      </c>
      <c r="C3285" t="s">
        <v>841</v>
      </c>
      <c r="D3285" t="s">
        <v>1073</v>
      </c>
      <c r="E3285">
        <v>2</v>
      </c>
      <c r="F3285">
        <f>_xlfn.XLOOKUP(Table1[[#This Row],[ProductID]],Products!A:A,Products!D:D,,0)</f>
        <v>100</v>
      </c>
      <c r="I3285">
        <v>349</v>
      </c>
      <c r="J3285">
        <v>297</v>
      </c>
      <c r="K3285" t="s">
        <v>1092</v>
      </c>
      <c r="L3285">
        <v>594</v>
      </c>
      <c r="M3285" t="s">
        <v>1093</v>
      </c>
      <c r="N3285" t="s">
        <v>1099</v>
      </c>
      <c r="O3285">
        <f>Table1[[#This Row],[Unit_Price]]*Table1[[#This Row],[Quantity]]</f>
        <v>200</v>
      </c>
    </row>
    <row r="3286" spans="1:15" x14ac:dyDescent="0.3">
      <c r="A3286" t="s">
        <v>5103</v>
      </c>
      <c r="B3286" t="s">
        <v>1270</v>
      </c>
      <c r="C3286" t="s">
        <v>323</v>
      </c>
      <c r="D3286" t="s">
        <v>1064</v>
      </c>
      <c r="E3286">
        <v>1</v>
      </c>
      <c r="F3286">
        <f>_xlfn.XLOOKUP(Table1[[#This Row],[ProductID]],Products!A:A,Products!D:D,,0)</f>
        <v>160</v>
      </c>
      <c r="I3286">
        <v>699</v>
      </c>
      <c r="J3286">
        <v>594</v>
      </c>
      <c r="K3286" t="s">
        <v>1092</v>
      </c>
      <c r="L3286">
        <v>594</v>
      </c>
      <c r="M3286" t="s">
        <v>1093</v>
      </c>
      <c r="N3286" t="s">
        <v>1094</v>
      </c>
      <c r="O3286">
        <f>Table1[[#This Row],[Unit_Price]]*Table1[[#This Row],[Quantity]]</f>
        <v>160</v>
      </c>
    </row>
    <row r="3287" spans="1:15" x14ac:dyDescent="0.3">
      <c r="A3287" t="s">
        <v>5104</v>
      </c>
      <c r="B3287" t="s">
        <v>1736</v>
      </c>
      <c r="C3287" t="s">
        <v>797</v>
      </c>
      <c r="D3287" t="s">
        <v>1055</v>
      </c>
      <c r="E3287">
        <v>2</v>
      </c>
      <c r="F3287">
        <f>_xlfn.XLOOKUP(Table1[[#This Row],[ProductID]],Products!A:A,Products!D:D,,0)</f>
        <v>75</v>
      </c>
      <c r="I3287">
        <v>299</v>
      </c>
      <c r="J3287">
        <v>269</v>
      </c>
      <c r="K3287" t="s">
        <v>1107</v>
      </c>
      <c r="L3287">
        <v>538</v>
      </c>
      <c r="M3287" t="s">
        <v>1098</v>
      </c>
      <c r="N3287" t="s">
        <v>1099</v>
      </c>
      <c r="O3287">
        <f>Table1[[#This Row],[Unit_Price]]*Table1[[#This Row],[Quantity]]</f>
        <v>150</v>
      </c>
    </row>
    <row r="3288" spans="1:15" x14ac:dyDescent="0.3">
      <c r="A3288" t="s">
        <v>5105</v>
      </c>
      <c r="B3288" t="s">
        <v>2778</v>
      </c>
      <c r="C3288" t="s">
        <v>1029</v>
      </c>
      <c r="D3288" t="s">
        <v>1053</v>
      </c>
      <c r="E3288">
        <v>2</v>
      </c>
      <c r="F3288">
        <f>_xlfn.XLOOKUP(Table1[[#This Row],[ProductID]],Products!A:A,Products!D:D,,0)</f>
        <v>200</v>
      </c>
      <c r="I3288">
        <v>899</v>
      </c>
      <c r="J3288">
        <v>809</v>
      </c>
      <c r="K3288" t="s">
        <v>1107</v>
      </c>
      <c r="L3288">
        <v>1618</v>
      </c>
      <c r="M3288" t="s">
        <v>1093</v>
      </c>
      <c r="N3288" t="s">
        <v>1099</v>
      </c>
      <c r="O3288">
        <f>Table1[[#This Row],[Unit_Price]]*Table1[[#This Row],[Quantity]]</f>
        <v>400</v>
      </c>
    </row>
    <row r="3289" spans="1:15" x14ac:dyDescent="0.3">
      <c r="A3289" t="s">
        <v>5106</v>
      </c>
      <c r="B3289" t="s">
        <v>4662</v>
      </c>
      <c r="C3289" t="s">
        <v>227</v>
      </c>
      <c r="D3289" t="s">
        <v>1062</v>
      </c>
      <c r="E3289">
        <v>3</v>
      </c>
      <c r="F3289">
        <f>_xlfn.XLOOKUP(Table1[[#This Row],[ProductID]],Products!A:A,Products!D:D,,0)</f>
        <v>95</v>
      </c>
      <c r="I3289">
        <v>349</v>
      </c>
      <c r="J3289">
        <v>297</v>
      </c>
      <c r="K3289" t="s">
        <v>1092</v>
      </c>
      <c r="L3289">
        <v>891</v>
      </c>
      <c r="M3289" t="s">
        <v>1098</v>
      </c>
      <c r="N3289" t="s">
        <v>1099</v>
      </c>
      <c r="O3289">
        <f>Table1[[#This Row],[Unit_Price]]*Table1[[#This Row],[Quantity]]</f>
        <v>285</v>
      </c>
    </row>
    <row r="3290" spans="1:15" x14ac:dyDescent="0.3">
      <c r="A3290" t="s">
        <v>5107</v>
      </c>
      <c r="B3290" t="s">
        <v>1622</v>
      </c>
      <c r="C3290" t="s">
        <v>875</v>
      </c>
      <c r="D3290" t="s">
        <v>1053</v>
      </c>
      <c r="E3290">
        <v>2</v>
      </c>
      <c r="F3290">
        <f>_xlfn.XLOOKUP(Table1[[#This Row],[ProductID]],Products!A:A,Products!D:D,,0)</f>
        <v>200</v>
      </c>
      <c r="I3290">
        <v>899</v>
      </c>
      <c r="J3290">
        <v>899</v>
      </c>
      <c r="K3290" t="s">
        <v>1102</v>
      </c>
      <c r="L3290">
        <v>1798</v>
      </c>
      <c r="M3290" t="s">
        <v>1126</v>
      </c>
      <c r="N3290" t="s">
        <v>1099</v>
      </c>
      <c r="O3290">
        <f>Table1[[#This Row],[Unit_Price]]*Table1[[#This Row],[Quantity]]</f>
        <v>400</v>
      </c>
    </row>
    <row r="3291" spans="1:15" x14ac:dyDescent="0.3">
      <c r="A3291" t="s">
        <v>5108</v>
      </c>
      <c r="B3291" t="s">
        <v>2285</v>
      </c>
      <c r="C3291" t="s">
        <v>485</v>
      </c>
      <c r="D3291" t="s">
        <v>1055</v>
      </c>
      <c r="E3291">
        <v>1</v>
      </c>
      <c r="F3291">
        <f>_xlfn.XLOOKUP(Table1[[#This Row],[ProductID]],Products!A:A,Products!D:D,,0)</f>
        <v>75</v>
      </c>
      <c r="I3291">
        <v>299</v>
      </c>
      <c r="J3291">
        <v>299</v>
      </c>
      <c r="K3291" t="s">
        <v>1102</v>
      </c>
      <c r="L3291">
        <v>299</v>
      </c>
      <c r="M3291" t="s">
        <v>1093</v>
      </c>
      <c r="N3291" t="s">
        <v>1094</v>
      </c>
      <c r="O3291">
        <f>Table1[[#This Row],[Unit_Price]]*Table1[[#This Row],[Quantity]]</f>
        <v>75</v>
      </c>
    </row>
    <row r="3292" spans="1:15" x14ac:dyDescent="0.3">
      <c r="A3292" t="s">
        <v>5109</v>
      </c>
      <c r="B3292" t="s">
        <v>2155</v>
      </c>
      <c r="C3292" t="s">
        <v>925</v>
      </c>
      <c r="D3292" t="s">
        <v>1051</v>
      </c>
      <c r="E3292">
        <v>1</v>
      </c>
      <c r="F3292">
        <f>_xlfn.XLOOKUP(Table1[[#This Row],[ProductID]],Products!A:A,Products!D:D,,0)</f>
        <v>150</v>
      </c>
      <c r="I3292">
        <v>499</v>
      </c>
      <c r="J3292">
        <v>424</v>
      </c>
      <c r="K3292" t="s">
        <v>1092</v>
      </c>
      <c r="L3292">
        <v>424</v>
      </c>
      <c r="M3292" t="s">
        <v>1093</v>
      </c>
      <c r="N3292" t="s">
        <v>1099</v>
      </c>
      <c r="O3292">
        <f>Table1[[#This Row],[Unit_Price]]*Table1[[#This Row],[Quantity]]</f>
        <v>150</v>
      </c>
    </row>
    <row r="3293" spans="1:15" x14ac:dyDescent="0.3">
      <c r="A3293" t="s">
        <v>5110</v>
      </c>
      <c r="B3293" t="s">
        <v>1217</v>
      </c>
      <c r="C3293" t="s">
        <v>483</v>
      </c>
      <c r="D3293" t="s">
        <v>1080</v>
      </c>
      <c r="E3293">
        <v>2</v>
      </c>
      <c r="F3293">
        <f>_xlfn.XLOOKUP(Table1[[#This Row],[ProductID]],Products!A:A,Products!D:D,,0)</f>
        <v>45</v>
      </c>
      <c r="I3293">
        <v>249</v>
      </c>
      <c r="J3293">
        <v>249</v>
      </c>
      <c r="K3293" t="s">
        <v>1102</v>
      </c>
      <c r="L3293">
        <v>498</v>
      </c>
      <c r="M3293" t="s">
        <v>1098</v>
      </c>
      <c r="N3293" t="s">
        <v>1099</v>
      </c>
      <c r="O3293">
        <f>Table1[[#This Row],[Unit_Price]]*Table1[[#This Row],[Quantity]]</f>
        <v>90</v>
      </c>
    </row>
    <row r="3294" spans="1:15" x14ac:dyDescent="0.3">
      <c r="A3294" t="s">
        <v>5111</v>
      </c>
      <c r="B3294" t="s">
        <v>1813</v>
      </c>
      <c r="C3294" t="s">
        <v>7</v>
      </c>
      <c r="D3294" t="s">
        <v>1059</v>
      </c>
      <c r="E3294">
        <v>1</v>
      </c>
      <c r="F3294">
        <f>_xlfn.XLOOKUP(Table1[[#This Row],[ProductID]],Products!A:A,Products!D:D,,0)</f>
        <v>110</v>
      </c>
      <c r="I3294">
        <v>399</v>
      </c>
      <c r="J3294">
        <v>399</v>
      </c>
      <c r="K3294" t="s">
        <v>1102</v>
      </c>
      <c r="L3294">
        <v>399</v>
      </c>
      <c r="M3294" t="s">
        <v>1093</v>
      </c>
      <c r="N3294" t="s">
        <v>1099</v>
      </c>
      <c r="O3294">
        <f>Table1[[#This Row],[Unit_Price]]*Table1[[#This Row],[Quantity]]</f>
        <v>110</v>
      </c>
    </row>
    <row r="3295" spans="1:15" x14ac:dyDescent="0.3">
      <c r="A3295" t="s">
        <v>5112</v>
      </c>
      <c r="B3295" t="s">
        <v>1386</v>
      </c>
      <c r="C3295" t="s">
        <v>385</v>
      </c>
      <c r="D3295" t="s">
        <v>1080</v>
      </c>
      <c r="E3295">
        <v>1</v>
      </c>
      <c r="F3295">
        <f>_xlfn.XLOOKUP(Table1[[#This Row],[ProductID]],Products!A:A,Products!D:D,,0)</f>
        <v>45</v>
      </c>
      <c r="I3295">
        <v>249</v>
      </c>
      <c r="J3295">
        <v>199</v>
      </c>
      <c r="K3295" t="s">
        <v>1097</v>
      </c>
      <c r="L3295">
        <v>199</v>
      </c>
      <c r="M3295" t="s">
        <v>1093</v>
      </c>
      <c r="N3295" t="s">
        <v>1123</v>
      </c>
      <c r="O3295">
        <f>Table1[[#This Row],[Unit_Price]]*Table1[[#This Row],[Quantity]]</f>
        <v>45</v>
      </c>
    </row>
    <row r="3296" spans="1:15" x14ac:dyDescent="0.3">
      <c r="A3296" t="s">
        <v>5113</v>
      </c>
      <c r="B3296" t="s">
        <v>2169</v>
      </c>
      <c r="C3296" t="s">
        <v>1021</v>
      </c>
      <c r="D3296" t="s">
        <v>1062</v>
      </c>
      <c r="E3296">
        <v>1</v>
      </c>
      <c r="F3296">
        <f>_xlfn.XLOOKUP(Table1[[#This Row],[ProductID]],Products!A:A,Products!D:D,,0)</f>
        <v>95</v>
      </c>
      <c r="I3296">
        <v>349</v>
      </c>
      <c r="J3296">
        <v>297</v>
      </c>
      <c r="K3296" t="s">
        <v>1092</v>
      </c>
      <c r="L3296">
        <v>297</v>
      </c>
      <c r="M3296" t="s">
        <v>1093</v>
      </c>
      <c r="N3296" t="s">
        <v>1099</v>
      </c>
      <c r="O3296">
        <f>Table1[[#This Row],[Unit_Price]]*Table1[[#This Row],[Quantity]]</f>
        <v>95</v>
      </c>
    </row>
    <row r="3297" spans="1:15" x14ac:dyDescent="0.3">
      <c r="A3297" t="s">
        <v>5114</v>
      </c>
      <c r="B3297" t="s">
        <v>2457</v>
      </c>
      <c r="C3297" t="s">
        <v>605</v>
      </c>
      <c r="D3297" t="s">
        <v>1057</v>
      </c>
      <c r="E3297">
        <v>2</v>
      </c>
      <c r="F3297">
        <f>_xlfn.XLOOKUP(Table1[[#This Row],[ProductID]],Products!A:A,Products!D:D,,0)</f>
        <v>130</v>
      </c>
      <c r="I3297">
        <v>549</v>
      </c>
      <c r="J3297">
        <v>549</v>
      </c>
      <c r="K3297" t="s">
        <v>1102</v>
      </c>
      <c r="L3297">
        <v>1098</v>
      </c>
      <c r="M3297" t="s">
        <v>1098</v>
      </c>
      <c r="N3297" t="s">
        <v>1099</v>
      </c>
      <c r="O3297">
        <f>Table1[[#This Row],[Unit_Price]]*Table1[[#This Row],[Quantity]]</f>
        <v>260</v>
      </c>
    </row>
    <row r="3298" spans="1:15" x14ac:dyDescent="0.3">
      <c r="A3298" t="s">
        <v>5115</v>
      </c>
      <c r="B3298" t="s">
        <v>1537</v>
      </c>
      <c r="C3298" t="s">
        <v>233</v>
      </c>
      <c r="D3298" t="s">
        <v>1080</v>
      </c>
      <c r="E3298">
        <v>1</v>
      </c>
      <c r="F3298">
        <f>_xlfn.XLOOKUP(Table1[[#This Row],[ProductID]],Products!A:A,Products!D:D,,0)</f>
        <v>45</v>
      </c>
      <c r="I3298">
        <v>249</v>
      </c>
      <c r="J3298">
        <v>224</v>
      </c>
      <c r="K3298" t="s">
        <v>1107</v>
      </c>
      <c r="L3298">
        <v>224</v>
      </c>
      <c r="M3298" t="s">
        <v>1098</v>
      </c>
      <c r="N3298" t="s">
        <v>1099</v>
      </c>
      <c r="O3298">
        <f>Table1[[#This Row],[Unit_Price]]*Table1[[#This Row],[Quantity]]</f>
        <v>45</v>
      </c>
    </row>
    <row r="3299" spans="1:15" x14ac:dyDescent="0.3">
      <c r="A3299" t="s">
        <v>5116</v>
      </c>
      <c r="B3299" t="s">
        <v>4271</v>
      </c>
      <c r="C3299" t="s">
        <v>567</v>
      </c>
      <c r="D3299" t="s">
        <v>1075</v>
      </c>
      <c r="E3299">
        <v>2</v>
      </c>
      <c r="F3299">
        <f>_xlfn.XLOOKUP(Table1[[#This Row],[ProductID]],Products!A:A,Products!D:D,,0)</f>
        <v>80</v>
      </c>
      <c r="I3299">
        <v>499</v>
      </c>
      <c r="J3299">
        <v>449</v>
      </c>
      <c r="K3299" t="s">
        <v>1107</v>
      </c>
      <c r="L3299">
        <v>898</v>
      </c>
      <c r="M3299" t="s">
        <v>1093</v>
      </c>
      <c r="N3299" t="s">
        <v>1094</v>
      </c>
      <c r="O3299">
        <f>Table1[[#This Row],[Unit_Price]]*Table1[[#This Row],[Quantity]]</f>
        <v>160</v>
      </c>
    </row>
    <row r="3300" spans="1:15" x14ac:dyDescent="0.3">
      <c r="A3300" t="s">
        <v>5117</v>
      </c>
      <c r="B3300" t="s">
        <v>3865</v>
      </c>
      <c r="C3300" t="s">
        <v>1009</v>
      </c>
      <c r="D3300" t="s">
        <v>1059</v>
      </c>
      <c r="E3300">
        <v>1</v>
      </c>
      <c r="F3300">
        <f>_xlfn.XLOOKUP(Table1[[#This Row],[ProductID]],Products!A:A,Products!D:D,,0)</f>
        <v>110</v>
      </c>
      <c r="I3300">
        <v>399</v>
      </c>
      <c r="J3300">
        <v>319</v>
      </c>
      <c r="K3300" t="s">
        <v>1097</v>
      </c>
      <c r="L3300">
        <v>319</v>
      </c>
      <c r="M3300" t="s">
        <v>1093</v>
      </c>
      <c r="N3300" t="s">
        <v>1094</v>
      </c>
      <c r="O3300">
        <f>Table1[[#This Row],[Unit_Price]]*Table1[[#This Row],[Quantity]]</f>
        <v>110</v>
      </c>
    </row>
    <row r="3301" spans="1:15" x14ac:dyDescent="0.3">
      <c r="A3301" t="s">
        <v>5118</v>
      </c>
      <c r="B3301" t="s">
        <v>4078</v>
      </c>
      <c r="C3301" t="s">
        <v>471</v>
      </c>
      <c r="D3301" t="s">
        <v>1064</v>
      </c>
      <c r="E3301">
        <v>2</v>
      </c>
      <c r="F3301">
        <f>_xlfn.XLOOKUP(Table1[[#This Row],[ProductID]],Products!A:A,Products!D:D,,0)</f>
        <v>160</v>
      </c>
      <c r="I3301">
        <v>699</v>
      </c>
      <c r="J3301">
        <v>594</v>
      </c>
      <c r="K3301" t="s">
        <v>1092</v>
      </c>
      <c r="L3301">
        <v>1188</v>
      </c>
      <c r="M3301" t="s">
        <v>1093</v>
      </c>
      <c r="N3301" t="s">
        <v>1099</v>
      </c>
      <c r="O3301">
        <f>Table1[[#This Row],[Unit_Price]]*Table1[[#This Row],[Quantity]]</f>
        <v>320</v>
      </c>
    </row>
    <row r="3302" spans="1:15" x14ac:dyDescent="0.3">
      <c r="A3302" t="s">
        <v>5119</v>
      </c>
      <c r="B3302" t="s">
        <v>2559</v>
      </c>
      <c r="C3302" t="s">
        <v>691</v>
      </c>
      <c r="D3302" t="s">
        <v>1051</v>
      </c>
      <c r="E3302">
        <v>2</v>
      </c>
      <c r="F3302">
        <f>_xlfn.XLOOKUP(Table1[[#This Row],[ProductID]],Products!A:A,Products!D:D,,0)</f>
        <v>150</v>
      </c>
      <c r="I3302">
        <v>499</v>
      </c>
      <c r="J3302">
        <v>424</v>
      </c>
      <c r="K3302" t="s">
        <v>1092</v>
      </c>
      <c r="L3302">
        <v>848</v>
      </c>
      <c r="M3302" t="s">
        <v>1098</v>
      </c>
      <c r="N3302" t="s">
        <v>1099</v>
      </c>
      <c r="O3302">
        <f>Table1[[#This Row],[Unit_Price]]*Table1[[#This Row],[Quantity]]</f>
        <v>300</v>
      </c>
    </row>
    <row r="3303" spans="1:15" x14ac:dyDescent="0.3">
      <c r="A3303" t="s">
        <v>5120</v>
      </c>
      <c r="B3303" t="s">
        <v>1256</v>
      </c>
      <c r="C3303" t="s">
        <v>795</v>
      </c>
      <c r="D3303" t="s">
        <v>1078</v>
      </c>
      <c r="E3303">
        <v>1</v>
      </c>
      <c r="F3303">
        <f>_xlfn.XLOOKUP(Table1[[#This Row],[ProductID]],Products!A:A,Products!D:D,,0)</f>
        <v>80</v>
      </c>
      <c r="I3303">
        <v>499</v>
      </c>
      <c r="J3303">
        <v>449</v>
      </c>
      <c r="K3303" t="s">
        <v>1107</v>
      </c>
      <c r="L3303">
        <v>449</v>
      </c>
      <c r="M3303" t="s">
        <v>1093</v>
      </c>
      <c r="N3303" t="s">
        <v>1123</v>
      </c>
      <c r="O3303">
        <f>Table1[[#This Row],[Unit_Price]]*Table1[[#This Row],[Quantity]]</f>
        <v>80</v>
      </c>
    </row>
    <row r="3304" spans="1:15" x14ac:dyDescent="0.3">
      <c r="A3304" t="s">
        <v>5121</v>
      </c>
      <c r="B3304" t="s">
        <v>1949</v>
      </c>
      <c r="C3304" t="s">
        <v>495</v>
      </c>
      <c r="D3304" t="s">
        <v>1062</v>
      </c>
      <c r="E3304">
        <v>1</v>
      </c>
      <c r="F3304">
        <f>_xlfn.XLOOKUP(Table1[[#This Row],[ProductID]],Products!A:A,Products!D:D,,0)</f>
        <v>95</v>
      </c>
      <c r="I3304">
        <v>349</v>
      </c>
      <c r="J3304">
        <v>314</v>
      </c>
      <c r="K3304" t="s">
        <v>1107</v>
      </c>
      <c r="L3304">
        <v>314</v>
      </c>
      <c r="M3304" t="s">
        <v>1118</v>
      </c>
      <c r="N3304" t="s">
        <v>1099</v>
      </c>
      <c r="O3304">
        <f>Table1[[#This Row],[Unit_Price]]*Table1[[#This Row],[Quantity]]</f>
        <v>95</v>
      </c>
    </row>
    <row r="3305" spans="1:15" x14ac:dyDescent="0.3">
      <c r="A3305" t="s">
        <v>5122</v>
      </c>
      <c r="B3305" t="s">
        <v>1696</v>
      </c>
      <c r="C3305" t="s">
        <v>499</v>
      </c>
      <c r="D3305" t="s">
        <v>1059</v>
      </c>
      <c r="E3305">
        <v>4</v>
      </c>
      <c r="F3305">
        <f>_xlfn.XLOOKUP(Table1[[#This Row],[ProductID]],Products!A:A,Products!D:D,,0)</f>
        <v>110</v>
      </c>
      <c r="I3305">
        <v>399</v>
      </c>
      <c r="J3305">
        <v>359</v>
      </c>
      <c r="K3305" t="s">
        <v>1107</v>
      </c>
      <c r="L3305">
        <v>1436</v>
      </c>
      <c r="M3305" t="s">
        <v>1093</v>
      </c>
      <c r="N3305" t="s">
        <v>1099</v>
      </c>
      <c r="O3305">
        <f>Table1[[#This Row],[Unit_Price]]*Table1[[#This Row],[Quantity]]</f>
        <v>440</v>
      </c>
    </row>
    <row r="3306" spans="1:15" x14ac:dyDescent="0.3">
      <c r="A3306" t="s">
        <v>5123</v>
      </c>
      <c r="B3306" t="s">
        <v>1256</v>
      </c>
      <c r="C3306" t="s">
        <v>911</v>
      </c>
      <c r="D3306" t="s">
        <v>1066</v>
      </c>
      <c r="E3306">
        <v>1</v>
      </c>
      <c r="F3306">
        <f>_xlfn.XLOOKUP(Table1[[#This Row],[ProductID]],Products!A:A,Products!D:D,,0)</f>
        <v>140</v>
      </c>
      <c r="I3306">
        <v>499</v>
      </c>
      <c r="J3306">
        <v>424</v>
      </c>
      <c r="K3306" t="s">
        <v>1092</v>
      </c>
      <c r="L3306">
        <v>424</v>
      </c>
      <c r="M3306" t="s">
        <v>1098</v>
      </c>
      <c r="N3306" t="s">
        <v>1099</v>
      </c>
      <c r="O3306">
        <f>Table1[[#This Row],[Unit_Price]]*Table1[[#This Row],[Quantity]]</f>
        <v>140</v>
      </c>
    </row>
    <row r="3307" spans="1:15" x14ac:dyDescent="0.3">
      <c r="A3307" t="s">
        <v>5124</v>
      </c>
      <c r="B3307" t="s">
        <v>1999</v>
      </c>
      <c r="C3307" t="s">
        <v>281</v>
      </c>
      <c r="D3307" t="s">
        <v>1080</v>
      </c>
      <c r="E3307">
        <v>2</v>
      </c>
      <c r="F3307">
        <f>_xlfn.XLOOKUP(Table1[[#This Row],[ProductID]],Products!A:A,Products!D:D,,0)</f>
        <v>45</v>
      </c>
      <c r="I3307">
        <v>249</v>
      </c>
      <c r="J3307">
        <v>199</v>
      </c>
      <c r="K3307" t="s">
        <v>1097</v>
      </c>
      <c r="L3307">
        <v>398</v>
      </c>
      <c r="M3307" t="s">
        <v>1098</v>
      </c>
      <c r="N3307" t="s">
        <v>1099</v>
      </c>
      <c r="O3307">
        <f>Table1[[#This Row],[Unit_Price]]*Table1[[#This Row],[Quantity]]</f>
        <v>90</v>
      </c>
    </row>
    <row r="3308" spans="1:15" x14ac:dyDescent="0.3">
      <c r="A3308" t="s">
        <v>5125</v>
      </c>
      <c r="B3308" t="s">
        <v>1865</v>
      </c>
      <c r="C3308" t="s">
        <v>709</v>
      </c>
      <c r="D3308" t="s">
        <v>1062</v>
      </c>
      <c r="E3308">
        <v>3</v>
      </c>
      <c r="F3308">
        <f>_xlfn.XLOOKUP(Table1[[#This Row],[ProductID]],Products!A:A,Products!D:D,,0)</f>
        <v>95</v>
      </c>
      <c r="I3308">
        <v>349</v>
      </c>
      <c r="J3308">
        <v>349</v>
      </c>
      <c r="K3308" t="s">
        <v>1102</v>
      </c>
      <c r="L3308">
        <v>1047</v>
      </c>
      <c r="M3308" t="s">
        <v>1098</v>
      </c>
      <c r="N3308" t="s">
        <v>1099</v>
      </c>
      <c r="O3308">
        <f>Table1[[#This Row],[Unit_Price]]*Table1[[#This Row],[Quantity]]</f>
        <v>285</v>
      </c>
    </row>
    <row r="3309" spans="1:15" x14ac:dyDescent="0.3">
      <c r="A3309" t="s">
        <v>5126</v>
      </c>
      <c r="B3309" t="s">
        <v>3145</v>
      </c>
      <c r="C3309" t="s">
        <v>565</v>
      </c>
      <c r="D3309" t="s">
        <v>1051</v>
      </c>
      <c r="E3309">
        <v>1</v>
      </c>
      <c r="F3309">
        <f>_xlfn.XLOOKUP(Table1[[#This Row],[ProductID]],Products!A:A,Products!D:D,,0)</f>
        <v>150</v>
      </c>
      <c r="I3309">
        <v>499</v>
      </c>
      <c r="J3309">
        <v>499</v>
      </c>
      <c r="K3309" t="s">
        <v>1102</v>
      </c>
      <c r="L3309">
        <v>499</v>
      </c>
      <c r="M3309" t="s">
        <v>1093</v>
      </c>
      <c r="N3309" t="s">
        <v>1099</v>
      </c>
      <c r="O3309">
        <f>Table1[[#This Row],[Unit_Price]]*Table1[[#This Row],[Quantity]]</f>
        <v>150</v>
      </c>
    </row>
    <row r="3310" spans="1:15" x14ac:dyDescent="0.3">
      <c r="A3310" t="s">
        <v>5127</v>
      </c>
      <c r="B3310" t="s">
        <v>1534</v>
      </c>
      <c r="C3310" t="s">
        <v>757</v>
      </c>
      <c r="D3310" t="s">
        <v>1059</v>
      </c>
      <c r="E3310">
        <v>1</v>
      </c>
      <c r="F3310">
        <f>_xlfn.XLOOKUP(Table1[[#This Row],[ProductID]],Products!A:A,Products!D:D,,0)</f>
        <v>110</v>
      </c>
      <c r="I3310">
        <v>399</v>
      </c>
      <c r="J3310">
        <v>319</v>
      </c>
      <c r="K3310" t="s">
        <v>1097</v>
      </c>
      <c r="L3310">
        <v>319</v>
      </c>
      <c r="M3310" t="s">
        <v>1098</v>
      </c>
      <c r="N3310" t="s">
        <v>1099</v>
      </c>
      <c r="O3310">
        <f>Table1[[#This Row],[Unit_Price]]*Table1[[#This Row],[Quantity]]</f>
        <v>110</v>
      </c>
    </row>
    <row r="3311" spans="1:15" x14ac:dyDescent="0.3">
      <c r="A3311" t="s">
        <v>5128</v>
      </c>
      <c r="B3311" t="s">
        <v>2778</v>
      </c>
      <c r="C3311" t="s">
        <v>337</v>
      </c>
      <c r="D3311" t="s">
        <v>1073</v>
      </c>
      <c r="E3311">
        <v>3</v>
      </c>
      <c r="F3311">
        <f>_xlfn.XLOOKUP(Table1[[#This Row],[ProductID]],Products!A:A,Products!D:D,,0)</f>
        <v>100</v>
      </c>
      <c r="I3311">
        <v>349</v>
      </c>
      <c r="J3311">
        <v>279</v>
      </c>
      <c r="K3311" t="s">
        <v>1097</v>
      </c>
      <c r="L3311">
        <v>837</v>
      </c>
      <c r="M3311" t="s">
        <v>1098</v>
      </c>
      <c r="N3311" t="s">
        <v>1099</v>
      </c>
      <c r="O3311">
        <f>Table1[[#This Row],[Unit_Price]]*Table1[[#This Row],[Quantity]]</f>
        <v>300</v>
      </c>
    </row>
    <row r="3312" spans="1:15" x14ac:dyDescent="0.3">
      <c r="A3312" t="s">
        <v>5129</v>
      </c>
      <c r="B3312" t="s">
        <v>1999</v>
      </c>
      <c r="C3312" t="s">
        <v>925</v>
      </c>
      <c r="D3312" t="s">
        <v>1051</v>
      </c>
      <c r="E3312">
        <v>2</v>
      </c>
      <c r="F3312">
        <f>_xlfn.XLOOKUP(Table1[[#This Row],[ProductID]],Products!A:A,Products!D:D,,0)</f>
        <v>150</v>
      </c>
      <c r="I3312">
        <v>499</v>
      </c>
      <c r="J3312">
        <v>424</v>
      </c>
      <c r="K3312" t="s">
        <v>1092</v>
      </c>
      <c r="L3312">
        <v>848</v>
      </c>
      <c r="M3312" t="s">
        <v>1098</v>
      </c>
      <c r="N3312" t="s">
        <v>1099</v>
      </c>
      <c r="O3312">
        <f>Table1[[#This Row],[Unit_Price]]*Table1[[#This Row],[Quantity]]</f>
        <v>300</v>
      </c>
    </row>
    <row r="3313" spans="1:15" x14ac:dyDescent="0.3">
      <c r="A3313" t="s">
        <v>5130</v>
      </c>
      <c r="B3313" t="s">
        <v>3320</v>
      </c>
      <c r="C3313" t="s">
        <v>833</v>
      </c>
      <c r="D3313" t="s">
        <v>1075</v>
      </c>
      <c r="E3313">
        <v>3</v>
      </c>
      <c r="F3313">
        <f>_xlfn.XLOOKUP(Table1[[#This Row],[ProductID]],Products!A:A,Products!D:D,,0)</f>
        <v>80</v>
      </c>
      <c r="I3313">
        <v>499</v>
      </c>
      <c r="J3313">
        <v>449</v>
      </c>
      <c r="K3313" t="s">
        <v>1107</v>
      </c>
      <c r="L3313">
        <v>1347</v>
      </c>
      <c r="M3313" t="s">
        <v>1098</v>
      </c>
      <c r="N3313" t="s">
        <v>1094</v>
      </c>
      <c r="O3313">
        <f>Table1[[#This Row],[Unit_Price]]*Table1[[#This Row],[Quantity]]</f>
        <v>240</v>
      </c>
    </row>
    <row r="3314" spans="1:15" x14ac:dyDescent="0.3">
      <c r="A3314" t="s">
        <v>5131</v>
      </c>
      <c r="B3314" t="s">
        <v>1196</v>
      </c>
      <c r="C3314" t="s">
        <v>889</v>
      </c>
      <c r="D3314" t="s">
        <v>1051</v>
      </c>
      <c r="E3314">
        <v>2</v>
      </c>
      <c r="F3314">
        <f>_xlfn.XLOOKUP(Table1[[#This Row],[ProductID]],Products!A:A,Products!D:D,,0)</f>
        <v>150</v>
      </c>
      <c r="I3314">
        <v>499</v>
      </c>
      <c r="J3314">
        <v>399</v>
      </c>
      <c r="K3314" t="s">
        <v>1097</v>
      </c>
      <c r="L3314">
        <v>798</v>
      </c>
      <c r="M3314" t="s">
        <v>1098</v>
      </c>
      <c r="N3314" t="s">
        <v>1099</v>
      </c>
      <c r="O3314">
        <f>Table1[[#This Row],[Unit_Price]]*Table1[[#This Row],[Quantity]]</f>
        <v>300</v>
      </c>
    </row>
    <row r="3315" spans="1:15" x14ac:dyDescent="0.3">
      <c r="A3315" t="s">
        <v>5132</v>
      </c>
      <c r="B3315" t="s">
        <v>1847</v>
      </c>
      <c r="C3315" t="s">
        <v>449</v>
      </c>
      <c r="D3315" t="s">
        <v>1062</v>
      </c>
      <c r="E3315">
        <v>1</v>
      </c>
      <c r="F3315">
        <f>_xlfn.XLOOKUP(Table1[[#This Row],[ProductID]],Products!A:A,Products!D:D,,0)</f>
        <v>95</v>
      </c>
      <c r="I3315">
        <v>349</v>
      </c>
      <c r="J3315">
        <v>297</v>
      </c>
      <c r="K3315" t="s">
        <v>1092</v>
      </c>
      <c r="L3315">
        <v>297</v>
      </c>
      <c r="M3315" t="s">
        <v>1098</v>
      </c>
      <c r="N3315" t="s">
        <v>1099</v>
      </c>
      <c r="O3315">
        <f>Table1[[#This Row],[Unit_Price]]*Table1[[#This Row],[Quantity]]</f>
        <v>95</v>
      </c>
    </row>
    <row r="3316" spans="1:15" x14ac:dyDescent="0.3">
      <c r="A3316" t="s">
        <v>5133</v>
      </c>
      <c r="B3316" t="s">
        <v>1551</v>
      </c>
      <c r="C3316" t="s">
        <v>1039</v>
      </c>
      <c r="D3316" t="s">
        <v>1068</v>
      </c>
      <c r="E3316">
        <v>1</v>
      </c>
      <c r="F3316">
        <f>_xlfn.XLOOKUP(Table1[[#This Row],[ProductID]],Products!A:A,Products!D:D,,0)</f>
        <v>180</v>
      </c>
      <c r="I3316">
        <v>449</v>
      </c>
      <c r="J3316">
        <v>449</v>
      </c>
      <c r="K3316" t="s">
        <v>1102</v>
      </c>
      <c r="L3316">
        <v>449</v>
      </c>
      <c r="M3316" t="s">
        <v>1098</v>
      </c>
      <c r="N3316" t="s">
        <v>1099</v>
      </c>
      <c r="O3316">
        <f>Table1[[#This Row],[Unit_Price]]*Table1[[#This Row],[Quantity]]</f>
        <v>180</v>
      </c>
    </row>
    <row r="3317" spans="1:15" x14ac:dyDescent="0.3">
      <c r="A3317" t="s">
        <v>5134</v>
      </c>
      <c r="B3317" t="s">
        <v>1264</v>
      </c>
      <c r="C3317" t="s">
        <v>941</v>
      </c>
      <c r="D3317" t="s">
        <v>1057</v>
      </c>
      <c r="E3317">
        <v>1</v>
      </c>
      <c r="F3317">
        <f>_xlfn.XLOOKUP(Table1[[#This Row],[ProductID]],Products!A:A,Products!D:D,,0)</f>
        <v>130</v>
      </c>
      <c r="I3317">
        <v>549</v>
      </c>
      <c r="J3317">
        <v>439</v>
      </c>
      <c r="K3317" t="s">
        <v>1097</v>
      </c>
      <c r="L3317">
        <v>439</v>
      </c>
      <c r="M3317" t="s">
        <v>1093</v>
      </c>
      <c r="N3317" t="s">
        <v>1123</v>
      </c>
      <c r="O3317">
        <f>Table1[[#This Row],[Unit_Price]]*Table1[[#This Row],[Quantity]]</f>
        <v>130</v>
      </c>
    </row>
    <row r="3318" spans="1:15" x14ac:dyDescent="0.3">
      <c r="A3318" t="s">
        <v>5135</v>
      </c>
      <c r="B3318" t="s">
        <v>2397</v>
      </c>
      <c r="C3318" t="s">
        <v>567</v>
      </c>
      <c r="D3318" t="s">
        <v>1075</v>
      </c>
      <c r="E3318">
        <v>1</v>
      </c>
      <c r="F3318">
        <f>_xlfn.XLOOKUP(Table1[[#This Row],[ProductID]],Products!A:A,Products!D:D,,0)</f>
        <v>80</v>
      </c>
      <c r="I3318">
        <v>499</v>
      </c>
      <c r="J3318">
        <v>499</v>
      </c>
      <c r="K3318" t="s">
        <v>1102</v>
      </c>
      <c r="L3318">
        <v>499</v>
      </c>
      <c r="M3318" t="s">
        <v>1093</v>
      </c>
      <c r="N3318" t="s">
        <v>1094</v>
      </c>
      <c r="O3318">
        <f>Table1[[#This Row],[Unit_Price]]*Table1[[#This Row],[Quantity]]</f>
        <v>80</v>
      </c>
    </row>
    <row r="3319" spans="1:15" x14ac:dyDescent="0.3">
      <c r="A3319" t="s">
        <v>5136</v>
      </c>
      <c r="B3319" t="s">
        <v>3228</v>
      </c>
      <c r="C3319" t="s">
        <v>611</v>
      </c>
      <c r="D3319" t="s">
        <v>1066</v>
      </c>
      <c r="E3319">
        <v>1</v>
      </c>
      <c r="F3319">
        <f>_xlfn.XLOOKUP(Table1[[#This Row],[ProductID]],Products!A:A,Products!D:D,,0)</f>
        <v>140</v>
      </c>
      <c r="I3319">
        <v>499</v>
      </c>
      <c r="J3319">
        <v>449</v>
      </c>
      <c r="K3319" t="s">
        <v>1107</v>
      </c>
      <c r="L3319">
        <v>449</v>
      </c>
      <c r="M3319" t="s">
        <v>1098</v>
      </c>
      <c r="N3319" t="s">
        <v>1099</v>
      </c>
      <c r="O3319">
        <f>Table1[[#This Row],[Unit_Price]]*Table1[[#This Row],[Quantity]]</f>
        <v>140</v>
      </c>
    </row>
    <row r="3320" spans="1:15" x14ac:dyDescent="0.3">
      <c r="A3320" t="s">
        <v>5137</v>
      </c>
      <c r="B3320" t="s">
        <v>1226</v>
      </c>
      <c r="C3320" t="s">
        <v>371</v>
      </c>
      <c r="D3320" t="s">
        <v>1048</v>
      </c>
      <c r="E3320">
        <v>2</v>
      </c>
      <c r="F3320">
        <f>_xlfn.XLOOKUP(Table1[[#This Row],[ProductID]],Products!A:A,Products!D:D,,0)</f>
        <v>120</v>
      </c>
      <c r="I3320">
        <v>599</v>
      </c>
      <c r="J3320">
        <v>509</v>
      </c>
      <c r="K3320" t="s">
        <v>1092</v>
      </c>
      <c r="L3320">
        <v>1018</v>
      </c>
      <c r="M3320" t="s">
        <v>1098</v>
      </c>
      <c r="N3320" t="s">
        <v>1099</v>
      </c>
      <c r="O3320">
        <f>Table1[[#This Row],[Unit_Price]]*Table1[[#This Row],[Quantity]]</f>
        <v>240</v>
      </c>
    </row>
    <row r="3321" spans="1:15" x14ac:dyDescent="0.3">
      <c r="A3321" t="s">
        <v>5138</v>
      </c>
      <c r="B3321" t="s">
        <v>2518</v>
      </c>
      <c r="C3321" t="s">
        <v>389</v>
      </c>
      <c r="D3321" t="s">
        <v>1062</v>
      </c>
      <c r="E3321">
        <v>2</v>
      </c>
      <c r="F3321">
        <f>_xlfn.XLOOKUP(Table1[[#This Row],[ProductID]],Products!A:A,Products!D:D,,0)</f>
        <v>95</v>
      </c>
      <c r="I3321">
        <v>349</v>
      </c>
      <c r="J3321">
        <v>314</v>
      </c>
      <c r="K3321" t="s">
        <v>1107</v>
      </c>
      <c r="L3321">
        <v>628</v>
      </c>
      <c r="M3321" t="s">
        <v>1098</v>
      </c>
      <c r="N3321" t="s">
        <v>1099</v>
      </c>
      <c r="O3321">
        <f>Table1[[#This Row],[Unit_Price]]*Table1[[#This Row],[Quantity]]</f>
        <v>190</v>
      </c>
    </row>
    <row r="3322" spans="1:15" x14ac:dyDescent="0.3">
      <c r="A3322" t="s">
        <v>5139</v>
      </c>
      <c r="B3322" t="s">
        <v>4662</v>
      </c>
      <c r="C3322" t="s">
        <v>201</v>
      </c>
      <c r="D3322" t="s">
        <v>1055</v>
      </c>
      <c r="E3322">
        <v>2</v>
      </c>
      <c r="F3322">
        <f>_xlfn.XLOOKUP(Table1[[#This Row],[ProductID]],Products!A:A,Products!D:D,,0)</f>
        <v>75</v>
      </c>
      <c r="I3322">
        <v>299</v>
      </c>
      <c r="J3322">
        <v>239</v>
      </c>
      <c r="K3322" t="s">
        <v>1097</v>
      </c>
      <c r="L3322">
        <v>478</v>
      </c>
      <c r="M3322" t="s">
        <v>1098</v>
      </c>
      <c r="N3322" t="s">
        <v>1099</v>
      </c>
      <c r="O3322">
        <f>Table1[[#This Row],[Unit_Price]]*Table1[[#This Row],[Quantity]]</f>
        <v>150</v>
      </c>
    </row>
    <row r="3323" spans="1:15" x14ac:dyDescent="0.3">
      <c r="A3323" t="s">
        <v>5140</v>
      </c>
      <c r="B3323" t="s">
        <v>5141</v>
      </c>
      <c r="C3323" t="s">
        <v>609</v>
      </c>
      <c r="D3323" t="s">
        <v>1066</v>
      </c>
      <c r="E3323">
        <v>1</v>
      </c>
      <c r="F3323">
        <f>_xlfn.XLOOKUP(Table1[[#This Row],[ProductID]],Products!A:A,Products!D:D,,0)</f>
        <v>140</v>
      </c>
      <c r="I3323">
        <v>499</v>
      </c>
      <c r="J3323">
        <v>499</v>
      </c>
      <c r="K3323" t="s">
        <v>1102</v>
      </c>
      <c r="L3323">
        <v>499</v>
      </c>
      <c r="M3323" t="s">
        <v>1098</v>
      </c>
      <c r="N3323" t="s">
        <v>1099</v>
      </c>
      <c r="O3323">
        <f>Table1[[#This Row],[Unit_Price]]*Table1[[#This Row],[Quantity]]</f>
        <v>140</v>
      </c>
    </row>
    <row r="3324" spans="1:15" x14ac:dyDescent="0.3">
      <c r="A3324" t="s">
        <v>5142</v>
      </c>
      <c r="B3324" t="s">
        <v>2754</v>
      </c>
      <c r="C3324" t="s">
        <v>775</v>
      </c>
      <c r="D3324" t="s">
        <v>1071</v>
      </c>
      <c r="E3324">
        <v>1</v>
      </c>
      <c r="F3324">
        <f>_xlfn.XLOOKUP(Table1[[#This Row],[ProductID]],Products!A:A,Products!D:D,,0)</f>
        <v>125</v>
      </c>
      <c r="I3324">
        <v>399</v>
      </c>
      <c r="J3324">
        <v>399</v>
      </c>
      <c r="K3324" t="s">
        <v>1102</v>
      </c>
      <c r="L3324">
        <v>399</v>
      </c>
      <c r="M3324" t="s">
        <v>1098</v>
      </c>
      <c r="N3324" t="s">
        <v>1099</v>
      </c>
      <c r="O3324">
        <f>Table1[[#This Row],[Unit_Price]]*Table1[[#This Row],[Quantity]]</f>
        <v>125</v>
      </c>
    </row>
    <row r="3325" spans="1:15" x14ac:dyDescent="0.3">
      <c r="A3325" t="s">
        <v>5143</v>
      </c>
      <c r="B3325" t="s">
        <v>2385</v>
      </c>
      <c r="C3325" t="s">
        <v>875</v>
      </c>
      <c r="D3325" t="s">
        <v>1059</v>
      </c>
      <c r="E3325">
        <v>3</v>
      </c>
      <c r="F3325">
        <f>_xlfn.XLOOKUP(Table1[[#This Row],[ProductID]],Products!A:A,Products!D:D,,0)</f>
        <v>110</v>
      </c>
      <c r="I3325">
        <v>399</v>
      </c>
      <c r="J3325">
        <v>359</v>
      </c>
      <c r="K3325" t="s">
        <v>1107</v>
      </c>
      <c r="L3325">
        <v>1077</v>
      </c>
      <c r="M3325" t="s">
        <v>1098</v>
      </c>
      <c r="N3325" t="s">
        <v>1099</v>
      </c>
      <c r="O3325">
        <f>Table1[[#This Row],[Unit_Price]]*Table1[[#This Row],[Quantity]]</f>
        <v>330</v>
      </c>
    </row>
    <row r="3326" spans="1:15" x14ac:dyDescent="0.3">
      <c r="A3326" t="s">
        <v>5144</v>
      </c>
      <c r="B3326" t="s">
        <v>1572</v>
      </c>
      <c r="C3326" t="s">
        <v>931</v>
      </c>
      <c r="D3326" t="s">
        <v>1080</v>
      </c>
      <c r="E3326">
        <v>1</v>
      </c>
      <c r="F3326">
        <f>_xlfn.XLOOKUP(Table1[[#This Row],[ProductID]],Products!A:A,Products!D:D,,0)</f>
        <v>45</v>
      </c>
      <c r="I3326">
        <v>249</v>
      </c>
      <c r="J3326">
        <v>212</v>
      </c>
      <c r="K3326" t="s">
        <v>1092</v>
      </c>
      <c r="L3326">
        <v>212</v>
      </c>
      <c r="M3326" t="s">
        <v>1098</v>
      </c>
      <c r="N3326" t="s">
        <v>1099</v>
      </c>
      <c r="O3326">
        <f>Table1[[#This Row],[Unit_Price]]*Table1[[#This Row],[Quantity]]</f>
        <v>45</v>
      </c>
    </row>
    <row r="3327" spans="1:15" x14ac:dyDescent="0.3">
      <c r="A3327" t="s">
        <v>5145</v>
      </c>
      <c r="B3327" t="s">
        <v>1547</v>
      </c>
      <c r="C3327" t="s">
        <v>733</v>
      </c>
      <c r="D3327" t="s">
        <v>1053</v>
      </c>
      <c r="E3327">
        <v>2</v>
      </c>
      <c r="F3327">
        <f>_xlfn.XLOOKUP(Table1[[#This Row],[ProductID]],Products!A:A,Products!D:D,,0)</f>
        <v>200</v>
      </c>
      <c r="I3327">
        <v>899</v>
      </c>
      <c r="J3327">
        <v>899</v>
      </c>
      <c r="K3327" t="s">
        <v>1102</v>
      </c>
      <c r="L3327">
        <v>1798</v>
      </c>
      <c r="M3327" t="s">
        <v>1126</v>
      </c>
      <c r="N3327" t="s">
        <v>1099</v>
      </c>
      <c r="O3327">
        <f>Table1[[#This Row],[Unit_Price]]*Table1[[#This Row],[Quantity]]</f>
        <v>400</v>
      </c>
    </row>
    <row r="3328" spans="1:15" x14ac:dyDescent="0.3">
      <c r="A3328" t="s">
        <v>5146</v>
      </c>
      <c r="B3328" t="s">
        <v>1715</v>
      </c>
      <c r="C3328" t="s">
        <v>355</v>
      </c>
      <c r="D3328" t="s">
        <v>1064</v>
      </c>
      <c r="E3328">
        <v>1</v>
      </c>
      <c r="F3328">
        <f>_xlfn.XLOOKUP(Table1[[#This Row],[ProductID]],Products!A:A,Products!D:D,,0)</f>
        <v>160</v>
      </c>
      <c r="I3328">
        <v>699</v>
      </c>
      <c r="J3328">
        <v>629</v>
      </c>
      <c r="K3328" t="s">
        <v>1107</v>
      </c>
      <c r="L3328">
        <v>629</v>
      </c>
      <c r="M3328" t="s">
        <v>1098</v>
      </c>
      <c r="N3328" t="s">
        <v>1099</v>
      </c>
      <c r="O3328">
        <f>Table1[[#This Row],[Unit_Price]]*Table1[[#This Row],[Quantity]]</f>
        <v>160</v>
      </c>
    </row>
    <row r="3329" spans="1:15" x14ac:dyDescent="0.3">
      <c r="A3329" t="s">
        <v>5147</v>
      </c>
      <c r="B3329" t="s">
        <v>1630</v>
      </c>
      <c r="C3329" t="s">
        <v>657</v>
      </c>
      <c r="D3329" t="s">
        <v>1073</v>
      </c>
      <c r="E3329">
        <v>1</v>
      </c>
      <c r="F3329">
        <f>_xlfn.XLOOKUP(Table1[[#This Row],[ProductID]],Products!A:A,Products!D:D,,0)</f>
        <v>100</v>
      </c>
      <c r="I3329">
        <v>349</v>
      </c>
      <c r="J3329">
        <v>297</v>
      </c>
      <c r="K3329" t="s">
        <v>1092</v>
      </c>
      <c r="L3329">
        <v>297</v>
      </c>
      <c r="M3329" t="s">
        <v>1098</v>
      </c>
      <c r="N3329" t="s">
        <v>1099</v>
      </c>
      <c r="O3329">
        <f>Table1[[#This Row],[Unit_Price]]*Table1[[#This Row],[Quantity]]</f>
        <v>100</v>
      </c>
    </row>
    <row r="3330" spans="1:15" x14ac:dyDescent="0.3">
      <c r="A3330" t="s">
        <v>5148</v>
      </c>
      <c r="B3330" t="s">
        <v>1736</v>
      </c>
      <c r="C3330" t="s">
        <v>261</v>
      </c>
      <c r="D3330" t="s">
        <v>1057</v>
      </c>
      <c r="E3330">
        <v>1</v>
      </c>
      <c r="F3330">
        <f>_xlfn.XLOOKUP(Table1[[#This Row],[ProductID]],Products!A:A,Products!D:D,,0)</f>
        <v>130</v>
      </c>
      <c r="I3330">
        <v>549</v>
      </c>
      <c r="J3330">
        <v>494</v>
      </c>
      <c r="K3330" t="s">
        <v>1107</v>
      </c>
      <c r="L3330">
        <v>494</v>
      </c>
      <c r="M3330" t="s">
        <v>1126</v>
      </c>
      <c r="N3330" t="s">
        <v>1099</v>
      </c>
      <c r="O3330">
        <f>Table1[[#This Row],[Unit_Price]]*Table1[[#This Row],[Quantity]]</f>
        <v>130</v>
      </c>
    </row>
    <row r="3331" spans="1:15" x14ac:dyDescent="0.3">
      <c r="A3331" t="s">
        <v>5149</v>
      </c>
      <c r="B3331" t="s">
        <v>1688</v>
      </c>
      <c r="C3331" t="s">
        <v>755</v>
      </c>
      <c r="D3331" t="s">
        <v>1053</v>
      </c>
      <c r="E3331">
        <v>1</v>
      </c>
      <c r="F3331">
        <f>_xlfn.XLOOKUP(Table1[[#This Row],[ProductID]],Products!A:A,Products!D:D,,0)</f>
        <v>200</v>
      </c>
      <c r="I3331">
        <v>899</v>
      </c>
      <c r="J3331">
        <v>719</v>
      </c>
      <c r="K3331" t="s">
        <v>1097</v>
      </c>
      <c r="L3331">
        <v>719</v>
      </c>
      <c r="M3331" t="s">
        <v>1098</v>
      </c>
      <c r="N3331" t="s">
        <v>1099</v>
      </c>
      <c r="O3331">
        <f>Table1[[#This Row],[Unit_Price]]*Table1[[#This Row],[Quantity]]</f>
        <v>200</v>
      </c>
    </row>
    <row r="3332" spans="1:15" x14ac:dyDescent="0.3">
      <c r="A3332" t="s">
        <v>5150</v>
      </c>
      <c r="B3332" t="s">
        <v>2867</v>
      </c>
      <c r="C3332" t="s">
        <v>821</v>
      </c>
      <c r="D3332" t="s">
        <v>1062</v>
      </c>
      <c r="E3332">
        <v>3</v>
      </c>
      <c r="F3332">
        <f>_xlfn.XLOOKUP(Table1[[#This Row],[ProductID]],Products!A:A,Products!D:D,,0)</f>
        <v>95</v>
      </c>
      <c r="I3332">
        <v>349</v>
      </c>
      <c r="J3332">
        <v>279</v>
      </c>
      <c r="K3332" t="s">
        <v>1097</v>
      </c>
      <c r="L3332">
        <v>837</v>
      </c>
      <c r="M3332" t="s">
        <v>1093</v>
      </c>
      <c r="N3332" t="s">
        <v>1099</v>
      </c>
      <c r="O3332">
        <f>Table1[[#This Row],[Unit_Price]]*Table1[[#This Row],[Quantity]]</f>
        <v>285</v>
      </c>
    </row>
    <row r="3333" spans="1:15" x14ac:dyDescent="0.3">
      <c r="A3333" t="s">
        <v>5151</v>
      </c>
      <c r="B3333" t="s">
        <v>1410</v>
      </c>
      <c r="C3333" t="s">
        <v>485</v>
      </c>
      <c r="D3333" t="s">
        <v>1066</v>
      </c>
      <c r="E3333">
        <v>2</v>
      </c>
      <c r="F3333">
        <f>_xlfn.XLOOKUP(Table1[[#This Row],[ProductID]],Products!A:A,Products!D:D,,0)</f>
        <v>140</v>
      </c>
      <c r="I3333">
        <v>499</v>
      </c>
      <c r="J3333">
        <v>449</v>
      </c>
      <c r="K3333" t="s">
        <v>1107</v>
      </c>
      <c r="L3333">
        <v>898</v>
      </c>
      <c r="M3333" t="s">
        <v>1098</v>
      </c>
      <c r="N3333" t="s">
        <v>1099</v>
      </c>
      <c r="O3333">
        <f>Table1[[#This Row],[Unit_Price]]*Table1[[#This Row],[Quantity]]</f>
        <v>280</v>
      </c>
    </row>
    <row r="3334" spans="1:15" x14ac:dyDescent="0.3">
      <c r="A3334" t="s">
        <v>5152</v>
      </c>
      <c r="B3334" t="s">
        <v>2481</v>
      </c>
      <c r="C3334" t="s">
        <v>621</v>
      </c>
      <c r="D3334" t="s">
        <v>1055</v>
      </c>
      <c r="E3334">
        <v>1</v>
      </c>
      <c r="F3334">
        <f>_xlfn.XLOOKUP(Table1[[#This Row],[ProductID]],Products!A:A,Products!D:D,,0)</f>
        <v>75</v>
      </c>
      <c r="I3334">
        <v>299</v>
      </c>
      <c r="J3334">
        <v>254</v>
      </c>
      <c r="K3334" t="s">
        <v>1092</v>
      </c>
      <c r="L3334">
        <v>254</v>
      </c>
      <c r="M3334" t="s">
        <v>1093</v>
      </c>
      <c r="N3334" t="s">
        <v>1099</v>
      </c>
      <c r="O3334">
        <f>Table1[[#This Row],[Unit_Price]]*Table1[[#This Row],[Quantity]]</f>
        <v>75</v>
      </c>
    </row>
    <row r="3335" spans="1:15" x14ac:dyDescent="0.3">
      <c r="A3335" t="s">
        <v>5153</v>
      </c>
      <c r="B3335" t="s">
        <v>1636</v>
      </c>
      <c r="C3335" t="s">
        <v>461</v>
      </c>
      <c r="D3335" t="s">
        <v>1064</v>
      </c>
      <c r="E3335">
        <v>1</v>
      </c>
      <c r="F3335">
        <f>_xlfn.XLOOKUP(Table1[[#This Row],[ProductID]],Products!A:A,Products!D:D,,0)</f>
        <v>160</v>
      </c>
      <c r="I3335">
        <v>699</v>
      </c>
      <c r="J3335">
        <v>559</v>
      </c>
      <c r="K3335" t="s">
        <v>1097</v>
      </c>
      <c r="L3335">
        <v>559</v>
      </c>
      <c r="M3335" t="s">
        <v>1098</v>
      </c>
      <c r="N3335" t="s">
        <v>1099</v>
      </c>
      <c r="O3335">
        <f>Table1[[#This Row],[Unit_Price]]*Table1[[#This Row],[Quantity]]</f>
        <v>160</v>
      </c>
    </row>
    <row r="3336" spans="1:15" x14ac:dyDescent="0.3">
      <c r="A3336" t="s">
        <v>5154</v>
      </c>
      <c r="B3336" t="s">
        <v>3448</v>
      </c>
      <c r="C3336" t="s">
        <v>102</v>
      </c>
      <c r="D3336" t="s">
        <v>1066</v>
      </c>
      <c r="E3336">
        <v>3</v>
      </c>
      <c r="F3336">
        <f>_xlfn.XLOOKUP(Table1[[#This Row],[ProductID]],Products!A:A,Products!D:D,,0)</f>
        <v>140</v>
      </c>
      <c r="I3336">
        <v>499</v>
      </c>
      <c r="J3336">
        <v>399</v>
      </c>
      <c r="K3336" t="s">
        <v>1097</v>
      </c>
      <c r="L3336">
        <v>1197</v>
      </c>
      <c r="M3336" t="s">
        <v>1093</v>
      </c>
      <c r="N3336" t="s">
        <v>1099</v>
      </c>
      <c r="O3336">
        <f>Table1[[#This Row],[Unit_Price]]*Table1[[#This Row],[Quantity]]</f>
        <v>420</v>
      </c>
    </row>
    <row r="3337" spans="1:15" x14ac:dyDescent="0.3">
      <c r="A3337" t="s">
        <v>5155</v>
      </c>
      <c r="B3337" t="s">
        <v>1166</v>
      </c>
      <c r="C3337" t="s">
        <v>795</v>
      </c>
      <c r="D3337" t="s">
        <v>1055</v>
      </c>
      <c r="E3337">
        <v>1</v>
      </c>
      <c r="F3337">
        <f>_xlfn.XLOOKUP(Table1[[#This Row],[ProductID]],Products!A:A,Products!D:D,,0)</f>
        <v>75</v>
      </c>
      <c r="I3337">
        <v>299</v>
      </c>
      <c r="J3337">
        <v>254</v>
      </c>
      <c r="K3337" t="s">
        <v>1092</v>
      </c>
      <c r="L3337">
        <v>254</v>
      </c>
      <c r="M3337" t="s">
        <v>1098</v>
      </c>
      <c r="N3337" t="s">
        <v>1094</v>
      </c>
      <c r="O3337">
        <f>Table1[[#This Row],[Unit_Price]]*Table1[[#This Row],[Quantity]]</f>
        <v>75</v>
      </c>
    </row>
    <row r="3338" spans="1:15" x14ac:dyDescent="0.3">
      <c r="A3338" t="s">
        <v>5156</v>
      </c>
      <c r="B3338" t="s">
        <v>1422</v>
      </c>
      <c r="C3338" t="s">
        <v>891</v>
      </c>
      <c r="D3338" t="s">
        <v>1059</v>
      </c>
      <c r="E3338">
        <v>1</v>
      </c>
      <c r="F3338">
        <f>_xlfn.XLOOKUP(Table1[[#This Row],[ProductID]],Products!A:A,Products!D:D,,0)</f>
        <v>110</v>
      </c>
      <c r="I3338">
        <v>399</v>
      </c>
      <c r="J3338">
        <v>319</v>
      </c>
      <c r="K3338" t="s">
        <v>1097</v>
      </c>
      <c r="L3338">
        <v>319</v>
      </c>
      <c r="M3338" t="s">
        <v>1098</v>
      </c>
      <c r="N3338" t="s">
        <v>1099</v>
      </c>
      <c r="O3338">
        <f>Table1[[#This Row],[Unit_Price]]*Table1[[#This Row],[Quantity]]</f>
        <v>110</v>
      </c>
    </row>
    <row r="3339" spans="1:15" x14ac:dyDescent="0.3">
      <c r="A3339" t="s">
        <v>5157</v>
      </c>
      <c r="B3339" t="s">
        <v>1935</v>
      </c>
      <c r="C3339" t="s">
        <v>893</v>
      </c>
      <c r="D3339" t="s">
        <v>1053</v>
      </c>
      <c r="E3339">
        <v>3</v>
      </c>
      <c r="F3339">
        <f>_xlfn.XLOOKUP(Table1[[#This Row],[ProductID]],Products!A:A,Products!D:D,,0)</f>
        <v>200</v>
      </c>
      <c r="I3339">
        <v>899</v>
      </c>
      <c r="J3339">
        <v>764</v>
      </c>
      <c r="K3339" t="s">
        <v>1092</v>
      </c>
      <c r="L3339">
        <v>2292</v>
      </c>
      <c r="M3339" t="s">
        <v>1098</v>
      </c>
      <c r="N3339" t="s">
        <v>1099</v>
      </c>
      <c r="O3339">
        <f>Table1[[#This Row],[Unit_Price]]*Table1[[#This Row],[Quantity]]</f>
        <v>600</v>
      </c>
    </row>
    <row r="3340" spans="1:15" x14ac:dyDescent="0.3">
      <c r="A3340" t="s">
        <v>5158</v>
      </c>
      <c r="B3340" t="s">
        <v>2231</v>
      </c>
      <c r="C3340" t="s">
        <v>205</v>
      </c>
      <c r="D3340" t="s">
        <v>1066</v>
      </c>
      <c r="E3340">
        <v>2</v>
      </c>
      <c r="F3340">
        <f>_xlfn.XLOOKUP(Table1[[#This Row],[ProductID]],Products!A:A,Products!D:D,,0)</f>
        <v>140</v>
      </c>
      <c r="I3340">
        <v>499</v>
      </c>
      <c r="J3340">
        <v>499</v>
      </c>
      <c r="K3340" t="s">
        <v>1102</v>
      </c>
      <c r="L3340">
        <v>998</v>
      </c>
      <c r="M3340" t="s">
        <v>1098</v>
      </c>
      <c r="N3340" t="s">
        <v>1099</v>
      </c>
      <c r="O3340">
        <f>Table1[[#This Row],[Unit_Price]]*Table1[[#This Row],[Quantity]]</f>
        <v>280</v>
      </c>
    </row>
    <row r="3341" spans="1:15" x14ac:dyDescent="0.3">
      <c r="A3341" t="s">
        <v>5159</v>
      </c>
      <c r="B3341" t="s">
        <v>1361</v>
      </c>
      <c r="C3341" t="s">
        <v>473</v>
      </c>
      <c r="D3341" t="s">
        <v>1062</v>
      </c>
      <c r="E3341">
        <v>1</v>
      </c>
      <c r="F3341">
        <f>_xlfn.XLOOKUP(Table1[[#This Row],[ProductID]],Products!A:A,Products!D:D,,0)</f>
        <v>95</v>
      </c>
      <c r="I3341">
        <v>349</v>
      </c>
      <c r="J3341">
        <v>314</v>
      </c>
      <c r="K3341" t="s">
        <v>1107</v>
      </c>
      <c r="L3341">
        <v>314</v>
      </c>
      <c r="M3341" t="s">
        <v>1093</v>
      </c>
      <c r="N3341" t="s">
        <v>1123</v>
      </c>
      <c r="O3341">
        <f>Table1[[#This Row],[Unit_Price]]*Table1[[#This Row],[Quantity]]</f>
        <v>95</v>
      </c>
    </row>
    <row r="3342" spans="1:15" x14ac:dyDescent="0.3">
      <c r="A3342" t="s">
        <v>5160</v>
      </c>
      <c r="B3342" t="s">
        <v>1509</v>
      </c>
      <c r="C3342" t="s">
        <v>205</v>
      </c>
      <c r="D3342" t="s">
        <v>1053</v>
      </c>
      <c r="E3342">
        <v>2</v>
      </c>
      <c r="F3342">
        <f>_xlfn.XLOOKUP(Table1[[#This Row],[ProductID]],Products!A:A,Products!D:D,,0)</f>
        <v>200</v>
      </c>
      <c r="I3342">
        <v>899</v>
      </c>
      <c r="J3342">
        <v>899</v>
      </c>
      <c r="K3342" t="s">
        <v>1102</v>
      </c>
      <c r="L3342">
        <v>1798</v>
      </c>
      <c r="M3342" t="s">
        <v>1093</v>
      </c>
      <c r="N3342" t="s">
        <v>1123</v>
      </c>
      <c r="O3342">
        <f>Table1[[#This Row],[Unit_Price]]*Table1[[#This Row],[Quantity]]</f>
        <v>400</v>
      </c>
    </row>
    <row r="3343" spans="1:15" x14ac:dyDescent="0.3">
      <c r="A3343" t="s">
        <v>5161</v>
      </c>
      <c r="B3343" t="s">
        <v>1430</v>
      </c>
      <c r="C3343" t="s">
        <v>357</v>
      </c>
      <c r="D3343" t="s">
        <v>1080</v>
      </c>
      <c r="E3343">
        <v>1</v>
      </c>
      <c r="F3343">
        <f>_xlfn.XLOOKUP(Table1[[#This Row],[ProductID]],Products!A:A,Products!D:D,,0)</f>
        <v>45</v>
      </c>
      <c r="I3343">
        <v>249</v>
      </c>
      <c r="J3343">
        <v>212</v>
      </c>
      <c r="K3343" t="s">
        <v>1092</v>
      </c>
      <c r="L3343">
        <v>212</v>
      </c>
      <c r="M3343" t="s">
        <v>1098</v>
      </c>
      <c r="N3343" t="s">
        <v>1099</v>
      </c>
      <c r="O3343">
        <f>Table1[[#This Row],[Unit_Price]]*Table1[[#This Row],[Quantity]]</f>
        <v>45</v>
      </c>
    </row>
    <row r="3344" spans="1:15" x14ac:dyDescent="0.3">
      <c r="A3344" t="s">
        <v>5162</v>
      </c>
      <c r="B3344" t="s">
        <v>1339</v>
      </c>
      <c r="C3344" t="s">
        <v>122</v>
      </c>
      <c r="D3344" t="s">
        <v>1051</v>
      </c>
      <c r="E3344">
        <v>1</v>
      </c>
      <c r="F3344">
        <f>_xlfn.XLOOKUP(Table1[[#This Row],[ProductID]],Products!A:A,Products!D:D,,0)</f>
        <v>150</v>
      </c>
      <c r="I3344">
        <v>499</v>
      </c>
      <c r="J3344">
        <v>399</v>
      </c>
      <c r="K3344" t="s">
        <v>1097</v>
      </c>
      <c r="L3344">
        <v>399</v>
      </c>
      <c r="M3344" t="s">
        <v>1093</v>
      </c>
      <c r="N3344" t="s">
        <v>1099</v>
      </c>
      <c r="O3344">
        <f>Table1[[#This Row],[Unit_Price]]*Table1[[#This Row],[Quantity]]</f>
        <v>150</v>
      </c>
    </row>
    <row r="3345" spans="1:15" x14ac:dyDescent="0.3">
      <c r="A3345" t="s">
        <v>5163</v>
      </c>
      <c r="B3345" t="s">
        <v>1113</v>
      </c>
      <c r="C3345" t="s">
        <v>1003</v>
      </c>
      <c r="D3345" t="s">
        <v>1078</v>
      </c>
      <c r="E3345">
        <v>1</v>
      </c>
      <c r="F3345">
        <f>_xlfn.XLOOKUP(Table1[[#This Row],[ProductID]],Products!A:A,Products!D:D,,0)</f>
        <v>80</v>
      </c>
      <c r="I3345">
        <v>499</v>
      </c>
      <c r="J3345">
        <v>499</v>
      </c>
      <c r="K3345" t="s">
        <v>1102</v>
      </c>
      <c r="L3345">
        <v>499</v>
      </c>
      <c r="M3345" t="s">
        <v>1098</v>
      </c>
      <c r="N3345" t="s">
        <v>1099</v>
      </c>
      <c r="O3345">
        <f>Table1[[#This Row],[Unit_Price]]*Table1[[#This Row],[Quantity]]</f>
        <v>80</v>
      </c>
    </row>
    <row r="3346" spans="1:15" x14ac:dyDescent="0.3">
      <c r="A3346" t="s">
        <v>5164</v>
      </c>
      <c r="B3346" t="s">
        <v>1434</v>
      </c>
      <c r="C3346" t="s">
        <v>835</v>
      </c>
      <c r="D3346" t="s">
        <v>1064</v>
      </c>
      <c r="E3346">
        <v>1</v>
      </c>
      <c r="F3346">
        <f>_xlfn.XLOOKUP(Table1[[#This Row],[ProductID]],Products!A:A,Products!D:D,,0)</f>
        <v>160</v>
      </c>
      <c r="I3346">
        <v>699</v>
      </c>
      <c r="J3346">
        <v>559</v>
      </c>
      <c r="K3346" t="s">
        <v>1097</v>
      </c>
      <c r="L3346">
        <v>559</v>
      </c>
      <c r="M3346" t="s">
        <v>1098</v>
      </c>
      <c r="N3346" t="s">
        <v>1099</v>
      </c>
      <c r="O3346">
        <f>Table1[[#This Row],[Unit_Price]]*Table1[[#This Row],[Quantity]]</f>
        <v>160</v>
      </c>
    </row>
    <row r="3347" spans="1:15" x14ac:dyDescent="0.3">
      <c r="A3347" t="s">
        <v>5165</v>
      </c>
      <c r="B3347" t="s">
        <v>2124</v>
      </c>
      <c r="C3347" t="s">
        <v>491</v>
      </c>
      <c r="D3347" t="s">
        <v>1055</v>
      </c>
      <c r="E3347">
        <v>2</v>
      </c>
      <c r="F3347">
        <f>_xlfn.XLOOKUP(Table1[[#This Row],[ProductID]],Products!A:A,Products!D:D,,0)</f>
        <v>75</v>
      </c>
      <c r="I3347">
        <v>299</v>
      </c>
      <c r="J3347">
        <v>239</v>
      </c>
      <c r="K3347" t="s">
        <v>1097</v>
      </c>
      <c r="L3347">
        <v>478</v>
      </c>
      <c r="M3347" t="s">
        <v>1093</v>
      </c>
      <c r="N3347" t="s">
        <v>1123</v>
      </c>
      <c r="O3347">
        <f>Table1[[#This Row],[Unit_Price]]*Table1[[#This Row],[Quantity]]</f>
        <v>150</v>
      </c>
    </row>
    <row r="3348" spans="1:15" x14ac:dyDescent="0.3">
      <c r="A3348" t="s">
        <v>5166</v>
      </c>
      <c r="B3348" t="s">
        <v>2757</v>
      </c>
      <c r="C3348" t="s">
        <v>505</v>
      </c>
      <c r="D3348" t="s">
        <v>1073</v>
      </c>
      <c r="E3348">
        <v>1</v>
      </c>
      <c r="F3348">
        <f>_xlfn.XLOOKUP(Table1[[#This Row],[ProductID]],Products!A:A,Products!D:D,,0)</f>
        <v>100</v>
      </c>
      <c r="I3348">
        <v>349</v>
      </c>
      <c r="J3348">
        <v>349</v>
      </c>
      <c r="K3348" t="s">
        <v>1102</v>
      </c>
      <c r="L3348">
        <v>349</v>
      </c>
      <c r="M3348" t="s">
        <v>1098</v>
      </c>
      <c r="N3348" t="s">
        <v>1099</v>
      </c>
      <c r="O3348">
        <f>Table1[[#This Row],[Unit_Price]]*Table1[[#This Row],[Quantity]]</f>
        <v>100</v>
      </c>
    </row>
    <row r="3349" spans="1:15" x14ac:dyDescent="0.3">
      <c r="A3349" t="s">
        <v>5167</v>
      </c>
      <c r="B3349" t="s">
        <v>1484</v>
      </c>
      <c r="C3349" t="s">
        <v>205</v>
      </c>
      <c r="D3349" t="s">
        <v>1055</v>
      </c>
      <c r="E3349">
        <v>1</v>
      </c>
      <c r="F3349">
        <f>_xlfn.XLOOKUP(Table1[[#This Row],[ProductID]],Products!A:A,Products!D:D,,0)</f>
        <v>75</v>
      </c>
      <c r="I3349">
        <v>299</v>
      </c>
      <c r="J3349">
        <v>269</v>
      </c>
      <c r="K3349" t="s">
        <v>1107</v>
      </c>
      <c r="L3349">
        <v>269</v>
      </c>
      <c r="M3349" t="s">
        <v>1126</v>
      </c>
      <c r="N3349" t="s">
        <v>1099</v>
      </c>
      <c r="O3349">
        <f>Table1[[#This Row],[Unit_Price]]*Table1[[#This Row],[Quantity]]</f>
        <v>75</v>
      </c>
    </row>
    <row r="3350" spans="1:15" x14ac:dyDescent="0.3">
      <c r="A3350" t="s">
        <v>5168</v>
      </c>
      <c r="B3350" t="s">
        <v>1389</v>
      </c>
      <c r="C3350" t="s">
        <v>703</v>
      </c>
      <c r="D3350" t="s">
        <v>1064</v>
      </c>
      <c r="E3350">
        <v>1</v>
      </c>
      <c r="F3350">
        <f>_xlfn.XLOOKUP(Table1[[#This Row],[ProductID]],Products!A:A,Products!D:D,,0)</f>
        <v>160</v>
      </c>
      <c r="I3350">
        <v>699</v>
      </c>
      <c r="J3350">
        <v>629</v>
      </c>
      <c r="K3350" t="s">
        <v>1107</v>
      </c>
      <c r="L3350">
        <v>629</v>
      </c>
      <c r="M3350" t="s">
        <v>1093</v>
      </c>
      <c r="N3350" t="s">
        <v>1099</v>
      </c>
      <c r="O3350">
        <f>Table1[[#This Row],[Unit_Price]]*Table1[[#This Row],[Quantity]]</f>
        <v>160</v>
      </c>
    </row>
    <row r="3351" spans="1:15" x14ac:dyDescent="0.3">
      <c r="A3351" t="s">
        <v>5169</v>
      </c>
      <c r="B3351" t="s">
        <v>3280</v>
      </c>
      <c r="C3351" t="s">
        <v>317</v>
      </c>
      <c r="D3351" t="s">
        <v>1053</v>
      </c>
      <c r="E3351">
        <v>2</v>
      </c>
      <c r="F3351">
        <f>_xlfn.XLOOKUP(Table1[[#This Row],[ProductID]],Products!A:A,Products!D:D,,0)</f>
        <v>200</v>
      </c>
      <c r="I3351">
        <v>899</v>
      </c>
      <c r="J3351">
        <v>899</v>
      </c>
      <c r="K3351" t="s">
        <v>1102</v>
      </c>
      <c r="L3351">
        <v>1798</v>
      </c>
      <c r="M3351" t="s">
        <v>1098</v>
      </c>
      <c r="N3351" t="s">
        <v>1099</v>
      </c>
      <c r="O3351">
        <f>Table1[[#This Row],[Unit_Price]]*Table1[[#This Row],[Quantity]]</f>
        <v>400</v>
      </c>
    </row>
    <row r="3352" spans="1:15" x14ac:dyDescent="0.3">
      <c r="A3352" t="s">
        <v>5170</v>
      </c>
      <c r="B3352" t="s">
        <v>1377</v>
      </c>
      <c r="C3352" t="s">
        <v>853</v>
      </c>
      <c r="D3352" t="s">
        <v>1057</v>
      </c>
      <c r="E3352">
        <v>1</v>
      </c>
      <c r="F3352">
        <f>_xlfn.XLOOKUP(Table1[[#This Row],[ProductID]],Products!A:A,Products!D:D,,0)</f>
        <v>130</v>
      </c>
      <c r="I3352">
        <v>549</v>
      </c>
      <c r="J3352">
        <v>549</v>
      </c>
      <c r="K3352" t="s">
        <v>1102</v>
      </c>
      <c r="L3352">
        <v>549</v>
      </c>
      <c r="M3352" t="s">
        <v>1098</v>
      </c>
      <c r="N3352" t="s">
        <v>1099</v>
      </c>
      <c r="O3352">
        <f>Table1[[#This Row],[Unit_Price]]*Table1[[#This Row],[Quantity]]</f>
        <v>130</v>
      </c>
    </row>
    <row r="3353" spans="1:15" x14ac:dyDescent="0.3">
      <c r="A3353" t="s">
        <v>5171</v>
      </c>
      <c r="B3353" t="s">
        <v>1402</v>
      </c>
      <c r="C3353" t="s">
        <v>507</v>
      </c>
      <c r="D3353" t="s">
        <v>1057</v>
      </c>
      <c r="E3353">
        <v>2</v>
      </c>
      <c r="F3353">
        <f>_xlfn.XLOOKUP(Table1[[#This Row],[ProductID]],Products!A:A,Products!D:D,,0)</f>
        <v>130</v>
      </c>
      <c r="I3353">
        <v>549</v>
      </c>
      <c r="J3353">
        <v>549</v>
      </c>
      <c r="K3353" t="s">
        <v>1102</v>
      </c>
      <c r="L3353">
        <v>1098</v>
      </c>
      <c r="M3353" t="s">
        <v>1098</v>
      </c>
      <c r="N3353" t="s">
        <v>1099</v>
      </c>
      <c r="O3353">
        <f>Table1[[#This Row],[Unit_Price]]*Table1[[#This Row],[Quantity]]</f>
        <v>260</v>
      </c>
    </row>
    <row r="3354" spans="1:15" x14ac:dyDescent="0.3">
      <c r="A3354" t="s">
        <v>5172</v>
      </c>
      <c r="B3354" t="s">
        <v>1398</v>
      </c>
      <c r="C3354" t="s">
        <v>1039</v>
      </c>
      <c r="D3354" t="s">
        <v>1051</v>
      </c>
      <c r="E3354">
        <v>3</v>
      </c>
      <c r="F3354">
        <f>_xlfn.XLOOKUP(Table1[[#This Row],[ProductID]],Products!A:A,Products!D:D,,0)</f>
        <v>150</v>
      </c>
      <c r="I3354">
        <v>499</v>
      </c>
      <c r="J3354">
        <v>499</v>
      </c>
      <c r="K3354" t="s">
        <v>1102</v>
      </c>
      <c r="L3354">
        <v>1497</v>
      </c>
      <c r="M3354" t="s">
        <v>1098</v>
      </c>
      <c r="N3354" t="s">
        <v>1099</v>
      </c>
      <c r="O3354">
        <f>Table1[[#This Row],[Unit_Price]]*Table1[[#This Row],[Quantity]]</f>
        <v>450</v>
      </c>
    </row>
    <row r="3355" spans="1:15" x14ac:dyDescent="0.3">
      <c r="A3355" t="s">
        <v>5173</v>
      </c>
      <c r="B3355" t="s">
        <v>1902</v>
      </c>
      <c r="C3355" t="s">
        <v>315</v>
      </c>
      <c r="D3355" t="s">
        <v>1073</v>
      </c>
      <c r="E3355">
        <v>3</v>
      </c>
      <c r="F3355">
        <f>_xlfn.XLOOKUP(Table1[[#This Row],[ProductID]],Products!A:A,Products!D:D,,0)</f>
        <v>100</v>
      </c>
      <c r="I3355">
        <v>349</v>
      </c>
      <c r="J3355">
        <v>314</v>
      </c>
      <c r="K3355" t="s">
        <v>1107</v>
      </c>
      <c r="L3355">
        <v>942</v>
      </c>
      <c r="M3355" t="s">
        <v>1093</v>
      </c>
      <c r="N3355" t="s">
        <v>1099</v>
      </c>
      <c r="O3355">
        <f>Table1[[#This Row],[Unit_Price]]*Table1[[#This Row],[Quantity]]</f>
        <v>300</v>
      </c>
    </row>
    <row r="3356" spans="1:15" x14ac:dyDescent="0.3">
      <c r="A3356" t="s">
        <v>5174</v>
      </c>
      <c r="B3356" t="s">
        <v>2664</v>
      </c>
      <c r="C3356" t="s">
        <v>1033</v>
      </c>
      <c r="D3356" t="s">
        <v>1078</v>
      </c>
      <c r="E3356">
        <v>1</v>
      </c>
      <c r="F3356">
        <f>_xlfn.XLOOKUP(Table1[[#This Row],[ProductID]],Products!A:A,Products!D:D,,0)</f>
        <v>80</v>
      </c>
      <c r="I3356">
        <v>499</v>
      </c>
      <c r="J3356">
        <v>424</v>
      </c>
      <c r="K3356" t="s">
        <v>1092</v>
      </c>
      <c r="L3356">
        <v>424</v>
      </c>
      <c r="M3356" t="s">
        <v>1098</v>
      </c>
      <c r="N3356" t="s">
        <v>1099</v>
      </c>
      <c r="O3356">
        <f>Table1[[#This Row],[Unit_Price]]*Table1[[#This Row],[Quantity]]</f>
        <v>80</v>
      </c>
    </row>
    <row r="3357" spans="1:15" x14ac:dyDescent="0.3">
      <c r="A3357" t="s">
        <v>5175</v>
      </c>
      <c r="B3357" t="s">
        <v>2229</v>
      </c>
      <c r="C3357" t="s">
        <v>457</v>
      </c>
      <c r="D3357" t="s">
        <v>1078</v>
      </c>
      <c r="E3357">
        <v>1</v>
      </c>
      <c r="F3357">
        <f>_xlfn.XLOOKUP(Table1[[#This Row],[ProductID]],Products!A:A,Products!D:D,,0)</f>
        <v>80</v>
      </c>
      <c r="I3357">
        <v>499</v>
      </c>
      <c r="J3357">
        <v>399</v>
      </c>
      <c r="K3357" t="s">
        <v>1097</v>
      </c>
      <c r="L3357">
        <v>399</v>
      </c>
      <c r="M3357" t="s">
        <v>1098</v>
      </c>
      <c r="N3357" t="s">
        <v>1099</v>
      </c>
      <c r="O3357">
        <f>Table1[[#This Row],[Unit_Price]]*Table1[[#This Row],[Quantity]]</f>
        <v>80</v>
      </c>
    </row>
    <row r="3358" spans="1:15" x14ac:dyDescent="0.3">
      <c r="A3358" t="s">
        <v>5176</v>
      </c>
      <c r="B3358" t="s">
        <v>2727</v>
      </c>
      <c r="C3358" t="s">
        <v>1037</v>
      </c>
      <c r="D3358" t="s">
        <v>1048</v>
      </c>
      <c r="E3358">
        <v>1</v>
      </c>
      <c r="F3358">
        <f>_xlfn.XLOOKUP(Table1[[#This Row],[ProductID]],Products!A:A,Products!D:D,,0)</f>
        <v>120</v>
      </c>
      <c r="I3358">
        <v>599</v>
      </c>
      <c r="J3358">
        <v>599</v>
      </c>
      <c r="K3358" t="s">
        <v>1102</v>
      </c>
      <c r="L3358">
        <v>599</v>
      </c>
      <c r="M3358" t="s">
        <v>1093</v>
      </c>
      <c r="N3358" t="s">
        <v>1099</v>
      </c>
      <c r="O3358">
        <f>Table1[[#This Row],[Unit_Price]]*Table1[[#This Row],[Quantity]]</f>
        <v>120</v>
      </c>
    </row>
    <row r="3359" spans="1:15" x14ac:dyDescent="0.3">
      <c r="A3359" t="s">
        <v>5177</v>
      </c>
      <c r="B3359" t="s">
        <v>1150</v>
      </c>
      <c r="C3359" t="s">
        <v>851</v>
      </c>
      <c r="D3359" t="s">
        <v>1059</v>
      </c>
      <c r="E3359">
        <v>3</v>
      </c>
      <c r="F3359">
        <f>_xlfn.XLOOKUP(Table1[[#This Row],[ProductID]],Products!A:A,Products!D:D,,0)</f>
        <v>110</v>
      </c>
      <c r="I3359">
        <v>399</v>
      </c>
      <c r="J3359">
        <v>339</v>
      </c>
      <c r="K3359" t="s">
        <v>1092</v>
      </c>
      <c r="L3359">
        <v>1017</v>
      </c>
      <c r="M3359" t="s">
        <v>1098</v>
      </c>
      <c r="N3359" t="s">
        <v>1099</v>
      </c>
      <c r="O3359">
        <f>Table1[[#This Row],[Unit_Price]]*Table1[[#This Row],[Quantity]]</f>
        <v>330</v>
      </c>
    </row>
    <row r="3360" spans="1:15" x14ac:dyDescent="0.3">
      <c r="A3360" t="s">
        <v>5178</v>
      </c>
      <c r="B3360" t="s">
        <v>1134</v>
      </c>
      <c r="C3360" t="s">
        <v>229</v>
      </c>
      <c r="D3360" t="s">
        <v>1080</v>
      </c>
      <c r="E3360">
        <v>1</v>
      </c>
      <c r="F3360">
        <f>_xlfn.XLOOKUP(Table1[[#This Row],[ProductID]],Products!A:A,Products!D:D,,0)</f>
        <v>45</v>
      </c>
      <c r="I3360">
        <v>249</v>
      </c>
      <c r="J3360">
        <v>249</v>
      </c>
      <c r="K3360" t="s">
        <v>1102</v>
      </c>
      <c r="L3360">
        <v>249</v>
      </c>
      <c r="M3360" t="s">
        <v>1093</v>
      </c>
      <c r="N3360" t="s">
        <v>1094</v>
      </c>
      <c r="O3360">
        <f>Table1[[#This Row],[Unit_Price]]*Table1[[#This Row],[Quantity]]</f>
        <v>45</v>
      </c>
    </row>
    <row r="3361" spans="1:15" x14ac:dyDescent="0.3">
      <c r="A3361" t="s">
        <v>5179</v>
      </c>
      <c r="B3361" t="s">
        <v>4511</v>
      </c>
      <c r="C3361" t="s">
        <v>613</v>
      </c>
      <c r="D3361" t="s">
        <v>1073</v>
      </c>
      <c r="E3361">
        <v>1</v>
      </c>
      <c r="F3361">
        <f>_xlfn.XLOOKUP(Table1[[#This Row],[ProductID]],Products!A:A,Products!D:D,,0)</f>
        <v>100</v>
      </c>
      <c r="I3361">
        <v>349</v>
      </c>
      <c r="J3361">
        <v>279</v>
      </c>
      <c r="K3361" t="s">
        <v>1097</v>
      </c>
      <c r="L3361">
        <v>279</v>
      </c>
      <c r="M3361" t="s">
        <v>1098</v>
      </c>
      <c r="N3361" t="s">
        <v>1094</v>
      </c>
      <c r="O3361">
        <f>Table1[[#This Row],[Unit_Price]]*Table1[[#This Row],[Quantity]]</f>
        <v>100</v>
      </c>
    </row>
    <row r="3362" spans="1:15" x14ac:dyDescent="0.3">
      <c r="A3362" t="s">
        <v>5180</v>
      </c>
      <c r="B3362" t="s">
        <v>1254</v>
      </c>
      <c r="C3362" t="s">
        <v>903</v>
      </c>
      <c r="D3362" t="s">
        <v>1080</v>
      </c>
      <c r="E3362">
        <v>1</v>
      </c>
      <c r="F3362">
        <f>_xlfn.XLOOKUP(Table1[[#This Row],[ProductID]],Products!A:A,Products!D:D,,0)</f>
        <v>45</v>
      </c>
      <c r="I3362">
        <v>249</v>
      </c>
      <c r="J3362">
        <v>249</v>
      </c>
      <c r="K3362" t="s">
        <v>1102</v>
      </c>
      <c r="L3362">
        <v>249</v>
      </c>
      <c r="M3362" t="s">
        <v>1093</v>
      </c>
      <c r="N3362" t="s">
        <v>1099</v>
      </c>
      <c r="O3362">
        <f>Table1[[#This Row],[Unit_Price]]*Table1[[#This Row],[Quantity]]</f>
        <v>45</v>
      </c>
    </row>
    <row r="3363" spans="1:15" x14ac:dyDescent="0.3">
      <c r="A3363" t="s">
        <v>5181</v>
      </c>
      <c r="B3363" t="s">
        <v>1221</v>
      </c>
      <c r="C3363" t="s">
        <v>617</v>
      </c>
      <c r="D3363" t="s">
        <v>1062</v>
      </c>
      <c r="E3363">
        <v>2</v>
      </c>
      <c r="F3363">
        <f>_xlfn.XLOOKUP(Table1[[#This Row],[ProductID]],Products!A:A,Products!D:D,,0)</f>
        <v>95</v>
      </c>
      <c r="I3363">
        <v>349</v>
      </c>
      <c r="J3363">
        <v>314</v>
      </c>
      <c r="K3363" t="s">
        <v>1107</v>
      </c>
      <c r="L3363">
        <v>628</v>
      </c>
      <c r="M3363" t="s">
        <v>1098</v>
      </c>
      <c r="N3363" t="s">
        <v>1099</v>
      </c>
      <c r="O3363">
        <f>Table1[[#This Row],[Unit_Price]]*Table1[[#This Row],[Quantity]]</f>
        <v>190</v>
      </c>
    </row>
    <row r="3364" spans="1:15" x14ac:dyDescent="0.3">
      <c r="A3364" t="s">
        <v>5182</v>
      </c>
      <c r="B3364" t="s">
        <v>2867</v>
      </c>
      <c r="C3364" t="s">
        <v>225</v>
      </c>
      <c r="D3364" t="s">
        <v>1066</v>
      </c>
      <c r="E3364">
        <v>2</v>
      </c>
      <c r="F3364">
        <f>_xlfn.XLOOKUP(Table1[[#This Row],[ProductID]],Products!A:A,Products!D:D,,0)</f>
        <v>140</v>
      </c>
      <c r="I3364">
        <v>499</v>
      </c>
      <c r="J3364">
        <v>424</v>
      </c>
      <c r="K3364" t="s">
        <v>1092</v>
      </c>
      <c r="L3364">
        <v>848</v>
      </c>
      <c r="M3364" t="s">
        <v>1093</v>
      </c>
      <c r="N3364" t="s">
        <v>1099</v>
      </c>
      <c r="O3364">
        <f>Table1[[#This Row],[Unit_Price]]*Table1[[#This Row],[Quantity]]</f>
        <v>280</v>
      </c>
    </row>
    <row r="3365" spans="1:15" x14ac:dyDescent="0.3">
      <c r="A3365" t="s">
        <v>5183</v>
      </c>
      <c r="B3365" t="s">
        <v>2778</v>
      </c>
      <c r="C3365" t="s">
        <v>49</v>
      </c>
      <c r="D3365" t="s">
        <v>1055</v>
      </c>
      <c r="E3365">
        <v>1</v>
      </c>
      <c r="F3365">
        <f>_xlfn.XLOOKUP(Table1[[#This Row],[ProductID]],Products!A:A,Products!D:D,,0)</f>
        <v>75</v>
      </c>
      <c r="I3365">
        <v>299</v>
      </c>
      <c r="J3365">
        <v>254</v>
      </c>
      <c r="K3365" t="s">
        <v>1092</v>
      </c>
      <c r="L3365">
        <v>254</v>
      </c>
      <c r="M3365" t="s">
        <v>1093</v>
      </c>
      <c r="N3365" t="s">
        <v>1099</v>
      </c>
      <c r="O3365">
        <f>Table1[[#This Row],[Unit_Price]]*Table1[[#This Row],[Quantity]]</f>
        <v>75</v>
      </c>
    </row>
    <row r="3366" spans="1:15" x14ac:dyDescent="0.3">
      <c r="A3366" t="s">
        <v>5184</v>
      </c>
      <c r="B3366" t="s">
        <v>1106</v>
      </c>
      <c r="C3366" t="s">
        <v>583</v>
      </c>
      <c r="D3366" t="s">
        <v>1078</v>
      </c>
      <c r="E3366">
        <v>1</v>
      </c>
      <c r="F3366">
        <f>_xlfn.XLOOKUP(Table1[[#This Row],[ProductID]],Products!A:A,Products!D:D,,0)</f>
        <v>80</v>
      </c>
      <c r="I3366">
        <v>499</v>
      </c>
      <c r="J3366">
        <v>499</v>
      </c>
      <c r="K3366" t="s">
        <v>1102</v>
      </c>
      <c r="L3366">
        <v>499</v>
      </c>
      <c r="M3366" t="s">
        <v>1093</v>
      </c>
      <c r="N3366" t="s">
        <v>1099</v>
      </c>
      <c r="O3366">
        <f>Table1[[#This Row],[Unit_Price]]*Table1[[#This Row],[Quantity]]</f>
        <v>80</v>
      </c>
    </row>
    <row r="3367" spans="1:15" x14ac:dyDescent="0.3">
      <c r="A3367" t="s">
        <v>5185</v>
      </c>
      <c r="B3367" t="s">
        <v>2434</v>
      </c>
      <c r="C3367" t="s">
        <v>447</v>
      </c>
      <c r="D3367" t="s">
        <v>1075</v>
      </c>
      <c r="E3367">
        <v>1</v>
      </c>
      <c r="F3367">
        <f>_xlfn.XLOOKUP(Table1[[#This Row],[ProductID]],Products!A:A,Products!D:D,,0)</f>
        <v>80</v>
      </c>
      <c r="I3367">
        <v>499</v>
      </c>
      <c r="J3367">
        <v>424</v>
      </c>
      <c r="K3367" t="s">
        <v>1092</v>
      </c>
      <c r="L3367">
        <v>424</v>
      </c>
      <c r="M3367" t="s">
        <v>1093</v>
      </c>
      <c r="N3367" t="s">
        <v>1099</v>
      </c>
      <c r="O3367">
        <f>Table1[[#This Row],[Unit_Price]]*Table1[[#This Row],[Quantity]]</f>
        <v>80</v>
      </c>
    </row>
    <row r="3368" spans="1:15" x14ac:dyDescent="0.3">
      <c r="A3368" t="s">
        <v>5186</v>
      </c>
      <c r="B3368" t="s">
        <v>1451</v>
      </c>
      <c r="C3368" t="s">
        <v>1021</v>
      </c>
      <c r="D3368" t="s">
        <v>1075</v>
      </c>
      <c r="E3368">
        <v>4</v>
      </c>
      <c r="F3368">
        <f>_xlfn.XLOOKUP(Table1[[#This Row],[ProductID]],Products!A:A,Products!D:D,,0)</f>
        <v>80</v>
      </c>
      <c r="I3368">
        <v>499</v>
      </c>
      <c r="J3368">
        <v>449</v>
      </c>
      <c r="K3368" t="s">
        <v>1107</v>
      </c>
      <c r="L3368">
        <v>1796</v>
      </c>
      <c r="M3368" t="s">
        <v>1093</v>
      </c>
      <c r="N3368" t="s">
        <v>1099</v>
      </c>
      <c r="O3368">
        <f>Table1[[#This Row],[Unit_Price]]*Table1[[#This Row],[Quantity]]</f>
        <v>320</v>
      </c>
    </row>
    <row r="3369" spans="1:15" x14ac:dyDescent="0.3">
      <c r="A3369" t="s">
        <v>5187</v>
      </c>
      <c r="B3369" t="s">
        <v>1969</v>
      </c>
      <c r="C3369" t="s">
        <v>835</v>
      </c>
      <c r="D3369" t="s">
        <v>1059</v>
      </c>
      <c r="E3369">
        <v>1</v>
      </c>
      <c r="F3369">
        <f>_xlfn.XLOOKUP(Table1[[#This Row],[ProductID]],Products!A:A,Products!D:D,,0)</f>
        <v>110</v>
      </c>
      <c r="I3369">
        <v>399</v>
      </c>
      <c r="J3369">
        <v>399</v>
      </c>
      <c r="K3369" t="s">
        <v>1102</v>
      </c>
      <c r="L3369">
        <v>399</v>
      </c>
      <c r="M3369" t="s">
        <v>1093</v>
      </c>
      <c r="N3369" t="s">
        <v>1094</v>
      </c>
      <c r="O3369">
        <f>Table1[[#This Row],[Unit_Price]]*Table1[[#This Row],[Quantity]]</f>
        <v>110</v>
      </c>
    </row>
    <row r="3370" spans="1:15" x14ac:dyDescent="0.3">
      <c r="A3370" t="s">
        <v>5188</v>
      </c>
      <c r="B3370" t="s">
        <v>3145</v>
      </c>
      <c r="C3370" t="s">
        <v>585</v>
      </c>
      <c r="D3370" t="s">
        <v>1057</v>
      </c>
      <c r="E3370">
        <v>1</v>
      </c>
      <c r="F3370">
        <f>_xlfn.XLOOKUP(Table1[[#This Row],[ProductID]],Products!A:A,Products!D:D,,0)</f>
        <v>130</v>
      </c>
      <c r="I3370">
        <v>549</v>
      </c>
      <c r="J3370">
        <v>549</v>
      </c>
      <c r="K3370" t="s">
        <v>1102</v>
      </c>
      <c r="L3370">
        <v>549</v>
      </c>
      <c r="M3370" t="s">
        <v>1093</v>
      </c>
      <c r="N3370" t="s">
        <v>1099</v>
      </c>
      <c r="O3370">
        <f>Table1[[#This Row],[Unit_Price]]*Table1[[#This Row],[Quantity]]</f>
        <v>130</v>
      </c>
    </row>
    <row r="3371" spans="1:15" x14ac:dyDescent="0.3">
      <c r="A3371" t="s">
        <v>5189</v>
      </c>
      <c r="B3371" t="s">
        <v>3201</v>
      </c>
      <c r="C3371" t="s">
        <v>1007</v>
      </c>
      <c r="D3371" t="s">
        <v>1073</v>
      </c>
      <c r="E3371">
        <v>1</v>
      </c>
      <c r="F3371">
        <f>_xlfn.XLOOKUP(Table1[[#This Row],[ProductID]],Products!A:A,Products!D:D,,0)</f>
        <v>100</v>
      </c>
      <c r="I3371">
        <v>349</v>
      </c>
      <c r="J3371">
        <v>349</v>
      </c>
      <c r="K3371" t="s">
        <v>1102</v>
      </c>
      <c r="L3371">
        <v>349</v>
      </c>
      <c r="M3371" t="s">
        <v>1093</v>
      </c>
      <c r="N3371" t="s">
        <v>1099</v>
      </c>
      <c r="O3371">
        <f>Table1[[#This Row],[Unit_Price]]*Table1[[#This Row],[Quantity]]</f>
        <v>100</v>
      </c>
    </row>
    <row r="3372" spans="1:15" x14ac:dyDescent="0.3">
      <c r="A3372" t="s">
        <v>5190</v>
      </c>
      <c r="B3372" t="s">
        <v>1507</v>
      </c>
      <c r="C3372" t="s">
        <v>373</v>
      </c>
      <c r="D3372" t="s">
        <v>1057</v>
      </c>
      <c r="E3372">
        <v>2</v>
      </c>
      <c r="F3372">
        <f>_xlfn.XLOOKUP(Table1[[#This Row],[ProductID]],Products!A:A,Products!D:D,,0)</f>
        <v>130</v>
      </c>
      <c r="I3372">
        <v>549</v>
      </c>
      <c r="J3372">
        <v>494</v>
      </c>
      <c r="K3372" t="s">
        <v>1107</v>
      </c>
      <c r="L3372">
        <v>988</v>
      </c>
      <c r="M3372" t="s">
        <v>1093</v>
      </c>
      <c r="N3372" t="s">
        <v>1094</v>
      </c>
      <c r="O3372">
        <f>Table1[[#This Row],[Unit_Price]]*Table1[[#This Row],[Quantity]]</f>
        <v>260</v>
      </c>
    </row>
    <row r="3373" spans="1:15" x14ac:dyDescent="0.3">
      <c r="A3373" t="s">
        <v>5191</v>
      </c>
      <c r="B3373" t="s">
        <v>1997</v>
      </c>
      <c r="C3373" t="s">
        <v>399</v>
      </c>
      <c r="D3373" t="s">
        <v>1064</v>
      </c>
      <c r="E3373">
        <v>3</v>
      </c>
      <c r="F3373">
        <f>_xlfn.XLOOKUP(Table1[[#This Row],[ProductID]],Products!A:A,Products!D:D,,0)</f>
        <v>160</v>
      </c>
      <c r="I3373">
        <v>699</v>
      </c>
      <c r="J3373">
        <v>559</v>
      </c>
      <c r="K3373" t="s">
        <v>1097</v>
      </c>
      <c r="L3373">
        <v>1677</v>
      </c>
      <c r="M3373" t="s">
        <v>1098</v>
      </c>
      <c r="N3373" t="s">
        <v>1099</v>
      </c>
      <c r="O3373">
        <f>Table1[[#This Row],[Unit_Price]]*Table1[[#This Row],[Quantity]]</f>
        <v>480</v>
      </c>
    </row>
    <row r="3374" spans="1:15" x14ac:dyDescent="0.3">
      <c r="A3374" t="s">
        <v>5192</v>
      </c>
      <c r="B3374" t="s">
        <v>1396</v>
      </c>
      <c r="C3374" t="s">
        <v>459</v>
      </c>
      <c r="D3374" t="s">
        <v>1066</v>
      </c>
      <c r="E3374">
        <v>1</v>
      </c>
      <c r="F3374">
        <f>_xlfn.XLOOKUP(Table1[[#This Row],[ProductID]],Products!A:A,Products!D:D,,0)</f>
        <v>140</v>
      </c>
      <c r="I3374">
        <v>499</v>
      </c>
      <c r="J3374">
        <v>399</v>
      </c>
      <c r="K3374" t="s">
        <v>1097</v>
      </c>
      <c r="L3374">
        <v>399</v>
      </c>
      <c r="M3374" t="s">
        <v>1093</v>
      </c>
      <c r="N3374" t="s">
        <v>1099</v>
      </c>
      <c r="O3374">
        <f>Table1[[#This Row],[Unit_Price]]*Table1[[#This Row],[Quantity]]</f>
        <v>140</v>
      </c>
    </row>
    <row r="3375" spans="1:15" x14ac:dyDescent="0.3">
      <c r="A3375" t="s">
        <v>5193</v>
      </c>
      <c r="B3375" t="s">
        <v>2725</v>
      </c>
      <c r="C3375" t="s">
        <v>773</v>
      </c>
      <c r="D3375" t="s">
        <v>1062</v>
      </c>
      <c r="E3375">
        <v>1</v>
      </c>
      <c r="F3375">
        <f>_xlfn.XLOOKUP(Table1[[#This Row],[ProductID]],Products!A:A,Products!D:D,,0)</f>
        <v>95</v>
      </c>
      <c r="I3375">
        <v>349</v>
      </c>
      <c r="J3375">
        <v>297</v>
      </c>
      <c r="K3375" t="s">
        <v>1092</v>
      </c>
      <c r="L3375">
        <v>297</v>
      </c>
      <c r="M3375" t="s">
        <v>1126</v>
      </c>
      <c r="N3375" t="s">
        <v>1099</v>
      </c>
      <c r="O3375">
        <f>Table1[[#This Row],[Unit_Price]]*Table1[[#This Row],[Quantity]]</f>
        <v>95</v>
      </c>
    </row>
    <row r="3376" spans="1:15" x14ac:dyDescent="0.3">
      <c r="A3376" t="s">
        <v>5194</v>
      </c>
      <c r="B3376" t="s">
        <v>2434</v>
      </c>
      <c r="C3376" t="s">
        <v>897</v>
      </c>
      <c r="D3376" t="s">
        <v>1053</v>
      </c>
      <c r="E3376">
        <v>3</v>
      </c>
      <c r="F3376">
        <f>_xlfn.XLOOKUP(Table1[[#This Row],[ProductID]],Products!A:A,Products!D:D,,0)</f>
        <v>200</v>
      </c>
      <c r="I3376">
        <v>899</v>
      </c>
      <c r="J3376">
        <v>899</v>
      </c>
      <c r="K3376" t="s">
        <v>1102</v>
      </c>
      <c r="L3376">
        <v>2697</v>
      </c>
      <c r="M3376" t="s">
        <v>1093</v>
      </c>
      <c r="N3376" t="s">
        <v>1099</v>
      </c>
      <c r="O3376">
        <f>Table1[[#This Row],[Unit_Price]]*Table1[[#This Row],[Quantity]]</f>
        <v>600</v>
      </c>
    </row>
    <row r="3377" spans="1:15" x14ac:dyDescent="0.3">
      <c r="A3377" t="s">
        <v>5195</v>
      </c>
      <c r="B3377" t="s">
        <v>2354</v>
      </c>
      <c r="C3377" t="s">
        <v>1019</v>
      </c>
      <c r="D3377" t="s">
        <v>1080</v>
      </c>
      <c r="E3377">
        <v>3</v>
      </c>
      <c r="F3377">
        <f>_xlfn.XLOOKUP(Table1[[#This Row],[ProductID]],Products!A:A,Products!D:D,,0)</f>
        <v>45</v>
      </c>
      <c r="I3377">
        <v>249</v>
      </c>
      <c r="J3377">
        <v>249</v>
      </c>
      <c r="K3377" t="s">
        <v>1102</v>
      </c>
      <c r="L3377">
        <v>747</v>
      </c>
      <c r="M3377" t="s">
        <v>1098</v>
      </c>
      <c r="N3377" t="s">
        <v>1099</v>
      </c>
      <c r="O3377">
        <f>Table1[[#This Row],[Unit_Price]]*Table1[[#This Row],[Quantity]]</f>
        <v>135</v>
      </c>
    </row>
    <row r="3378" spans="1:15" x14ac:dyDescent="0.3">
      <c r="A3378" t="s">
        <v>5196</v>
      </c>
      <c r="B3378" t="s">
        <v>2502</v>
      </c>
      <c r="C3378" t="s">
        <v>409</v>
      </c>
      <c r="D3378" t="s">
        <v>1059</v>
      </c>
      <c r="E3378">
        <v>3</v>
      </c>
      <c r="F3378">
        <f>_xlfn.XLOOKUP(Table1[[#This Row],[ProductID]],Products!A:A,Products!D:D,,0)</f>
        <v>110</v>
      </c>
      <c r="I3378">
        <v>399</v>
      </c>
      <c r="J3378">
        <v>319</v>
      </c>
      <c r="K3378" t="s">
        <v>1097</v>
      </c>
      <c r="L3378">
        <v>957</v>
      </c>
      <c r="M3378" t="s">
        <v>1093</v>
      </c>
      <c r="N3378" t="s">
        <v>1099</v>
      </c>
      <c r="O3378">
        <f>Table1[[#This Row],[Unit_Price]]*Table1[[#This Row],[Quantity]]</f>
        <v>330</v>
      </c>
    </row>
    <row r="3379" spans="1:15" x14ac:dyDescent="0.3">
      <c r="A3379" t="s">
        <v>5197</v>
      </c>
      <c r="B3379" t="s">
        <v>2239</v>
      </c>
      <c r="C3379" t="s">
        <v>633</v>
      </c>
      <c r="D3379" t="s">
        <v>1062</v>
      </c>
      <c r="E3379">
        <v>1</v>
      </c>
      <c r="F3379">
        <f>_xlfn.XLOOKUP(Table1[[#This Row],[ProductID]],Products!A:A,Products!D:D,,0)</f>
        <v>95</v>
      </c>
      <c r="I3379">
        <v>349</v>
      </c>
      <c r="J3379">
        <v>349</v>
      </c>
      <c r="K3379" t="s">
        <v>1102</v>
      </c>
      <c r="L3379">
        <v>349</v>
      </c>
      <c r="M3379" t="s">
        <v>1093</v>
      </c>
      <c r="N3379" t="s">
        <v>1094</v>
      </c>
      <c r="O3379">
        <f>Table1[[#This Row],[Unit_Price]]*Table1[[#This Row],[Quantity]]</f>
        <v>95</v>
      </c>
    </row>
    <row r="3380" spans="1:15" x14ac:dyDescent="0.3">
      <c r="A3380" t="s">
        <v>5198</v>
      </c>
      <c r="B3380" t="s">
        <v>2518</v>
      </c>
      <c r="C3380" t="s">
        <v>815</v>
      </c>
      <c r="D3380" t="s">
        <v>1073</v>
      </c>
      <c r="E3380">
        <v>2</v>
      </c>
      <c r="F3380">
        <f>_xlfn.XLOOKUP(Table1[[#This Row],[ProductID]],Products!A:A,Products!D:D,,0)</f>
        <v>100</v>
      </c>
      <c r="I3380">
        <v>349</v>
      </c>
      <c r="J3380">
        <v>349</v>
      </c>
      <c r="K3380" t="s">
        <v>1102</v>
      </c>
      <c r="L3380">
        <v>698</v>
      </c>
      <c r="M3380" t="s">
        <v>1093</v>
      </c>
      <c r="N3380" t="s">
        <v>1099</v>
      </c>
      <c r="O3380">
        <f>Table1[[#This Row],[Unit_Price]]*Table1[[#This Row],[Quantity]]</f>
        <v>200</v>
      </c>
    </row>
    <row r="3381" spans="1:15" x14ac:dyDescent="0.3">
      <c r="A3381" t="s">
        <v>5199</v>
      </c>
      <c r="B3381" t="s">
        <v>2285</v>
      </c>
      <c r="C3381" t="s">
        <v>903</v>
      </c>
      <c r="D3381" t="s">
        <v>1053</v>
      </c>
      <c r="E3381">
        <v>1</v>
      </c>
      <c r="F3381">
        <f>_xlfn.XLOOKUP(Table1[[#This Row],[ProductID]],Products!A:A,Products!D:D,,0)</f>
        <v>200</v>
      </c>
      <c r="I3381">
        <v>899</v>
      </c>
      <c r="J3381">
        <v>764</v>
      </c>
      <c r="K3381" t="s">
        <v>1092</v>
      </c>
      <c r="L3381">
        <v>764</v>
      </c>
      <c r="M3381" t="s">
        <v>1093</v>
      </c>
      <c r="N3381" t="s">
        <v>1094</v>
      </c>
      <c r="O3381">
        <f>Table1[[#This Row],[Unit_Price]]*Table1[[#This Row],[Quantity]]</f>
        <v>200</v>
      </c>
    </row>
    <row r="3382" spans="1:15" x14ac:dyDescent="0.3">
      <c r="A3382" t="s">
        <v>5200</v>
      </c>
      <c r="B3382" t="s">
        <v>1614</v>
      </c>
      <c r="C3382" t="s">
        <v>873</v>
      </c>
      <c r="D3382" t="s">
        <v>1059</v>
      </c>
      <c r="E3382">
        <v>3</v>
      </c>
      <c r="F3382">
        <f>_xlfn.XLOOKUP(Table1[[#This Row],[ProductID]],Products!A:A,Products!D:D,,0)</f>
        <v>110</v>
      </c>
      <c r="I3382">
        <v>399</v>
      </c>
      <c r="J3382">
        <v>359</v>
      </c>
      <c r="K3382" t="s">
        <v>1107</v>
      </c>
      <c r="L3382">
        <v>1077</v>
      </c>
      <c r="M3382" t="s">
        <v>1093</v>
      </c>
      <c r="N3382" t="s">
        <v>1099</v>
      </c>
      <c r="O3382">
        <f>Table1[[#This Row],[Unit_Price]]*Table1[[#This Row],[Quantity]]</f>
        <v>330</v>
      </c>
    </row>
    <row r="3383" spans="1:15" x14ac:dyDescent="0.3">
      <c r="A3383" t="s">
        <v>5201</v>
      </c>
      <c r="B3383" t="s">
        <v>1408</v>
      </c>
      <c r="C3383" t="s">
        <v>537</v>
      </c>
      <c r="D3383" t="s">
        <v>1066</v>
      </c>
      <c r="E3383">
        <v>1</v>
      </c>
      <c r="F3383">
        <f>_xlfn.XLOOKUP(Table1[[#This Row],[ProductID]],Products!A:A,Products!D:D,,0)</f>
        <v>140</v>
      </c>
      <c r="I3383">
        <v>499</v>
      </c>
      <c r="J3383">
        <v>499</v>
      </c>
      <c r="K3383" t="s">
        <v>1102</v>
      </c>
      <c r="L3383">
        <v>499</v>
      </c>
      <c r="M3383" t="s">
        <v>1093</v>
      </c>
      <c r="N3383" t="s">
        <v>1094</v>
      </c>
      <c r="O3383">
        <f>Table1[[#This Row],[Unit_Price]]*Table1[[#This Row],[Quantity]]</f>
        <v>140</v>
      </c>
    </row>
    <row r="3384" spans="1:15" x14ac:dyDescent="0.3">
      <c r="A3384" t="s">
        <v>5202</v>
      </c>
      <c r="B3384" t="s">
        <v>1676</v>
      </c>
      <c r="C3384" t="s">
        <v>351</v>
      </c>
      <c r="D3384" t="s">
        <v>1057</v>
      </c>
      <c r="E3384">
        <v>1</v>
      </c>
      <c r="F3384">
        <f>_xlfn.XLOOKUP(Table1[[#This Row],[ProductID]],Products!A:A,Products!D:D,,0)</f>
        <v>130</v>
      </c>
      <c r="I3384">
        <v>549</v>
      </c>
      <c r="J3384">
        <v>494</v>
      </c>
      <c r="K3384" t="s">
        <v>1107</v>
      </c>
      <c r="L3384">
        <v>494</v>
      </c>
      <c r="M3384" t="s">
        <v>1093</v>
      </c>
      <c r="N3384" t="s">
        <v>1094</v>
      </c>
      <c r="O3384">
        <f>Table1[[#This Row],[Unit_Price]]*Table1[[#This Row],[Quantity]]</f>
        <v>130</v>
      </c>
    </row>
    <row r="3385" spans="1:15" x14ac:dyDescent="0.3">
      <c r="A3385" t="s">
        <v>5203</v>
      </c>
      <c r="B3385" t="s">
        <v>1650</v>
      </c>
      <c r="C3385" t="s">
        <v>893</v>
      </c>
      <c r="D3385" t="s">
        <v>1055</v>
      </c>
      <c r="E3385">
        <v>1</v>
      </c>
      <c r="F3385">
        <f>_xlfn.XLOOKUP(Table1[[#This Row],[ProductID]],Products!A:A,Products!D:D,,0)</f>
        <v>75</v>
      </c>
      <c r="I3385">
        <v>299</v>
      </c>
      <c r="J3385">
        <v>239</v>
      </c>
      <c r="K3385" t="s">
        <v>1097</v>
      </c>
      <c r="L3385">
        <v>239</v>
      </c>
      <c r="M3385" t="s">
        <v>1093</v>
      </c>
      <c r="N3385" t="s">
        <v>1099</v>
      </c>
      <c r="O3385">
        <f>Table1[[#This Row],[Unit_Price]]*Table1[[#This Row],[Quantity]]</f>
        <v>75</v>
      </c>
    </row>
    <row r="3386" spans="1:15" x14ac:dyDescent="0.3">
      <c r="A3386" t="s">
        <v>5204</v>
      </c>
      <c r="B3386" t="s">
        <v>1589</v>
      </c>
      <c r="C3386" t="s">
        <v>47</v>
      </c>
      <c r="D3386" t="s">
        <v>1051</v>
      </c>
      <c r="E3386">
        <v>2</v>
      </c>
      <c r="F3386">
        <f>_xlfn.XLOOKUP(Table1[[#This Row],[ProductID]],Products!A:A,Products!D:D,,0)</f>
        <v>150</v>
      </c>
      <c r="I3386">
        <v>499</v>
      </c>
      <c r="J3386">
        <v>424</v>
      </c>
      <c r="K3386" t="s">
        <v>1092</v>
      </c>
      <c r="L3386">
        <v>848</v>
      </c>
      <c r="M3386" t="s">
        <v>1098</v>
      </c>
      <c r="N3386" t="s">
        <v>1099</v>
      </c>
      <c r="O3386">
        <f>Table1[[#This Row],[Unit_Price]]*Table1[[#This Row],[Quantity]]</f>
        <v>300</v>
      </c>
    </row>
    <row r="3387" spans="1:15" x14ac:dyDescent="0.3">
      <c r="A3387" t="s">
        <v>5205</v>
      </c>
      <c r="B3387" t="s">
        <v>2617</v>
      </c>
      <c r="C3387" t="s">
        <v>417</v>
      </c>
      <c r="D3387" t="s">
        <v>1068</v>
      </c>
      <c r="E3387">
        <v>2</v>
      </c>
      <c r="F3387">
        <f>_xlfn.XLOOKUP(Table1[[#This Row],[ProductID]],Products!A:A,Products!D:D,,0)</f>
        <v>180</v>
      </c>
      <c r="I3387">
        <v>449</v>
      </c>
      <c r="J3387">
        <v>359</v>
      </c>
      <c r="K3387" t="s">
        <v>1097</v>
      </c>
      <c r="L3387">
        <v>718</v>
      </c>
      <c r="M3387" t="s">
        <v>1098</v>
      </c>
      <c r="N3387" t="s">
        <v>1099</v>
      </c>
      <c r="O3387">
        <f>Table1[[#This Row],[Unit_Price]]*Table1[[#This Row],[Quantity]]</f>
        <v>360</v>
      </c>
    </row>
    <row r="3388" spans="1:15" x14ac:dyDescent="0.3">
      <c r="A3388" t="s">
        <v>5206</v>
      </c>
      <c r="B3388" t="s">
        <v>3280</v>
      </c>
      <c r="C3388" t="s">
        <v>563</v>
      </c>
      <c r="D3388" t="s">
        <v>1080</v>
      </c>
      <c r="E3388">
        <v>1</v>
      </c>
      <c r="F3388">
        <f>_xlfn.XLOOKUP(Table1[[#This Row],[ProductID]],Products!A:A,Products!D:D,,0)</f>
        <v>45</v>
      </c>
      <c r="I3388">
        <v>249</v>
      </c>
      <c r="J3388">
        <v>224</v>
      </c>
      <c r="K3388" t="s">
        <v>1107</v>
      </c>
      <c r="L3388">
        <v>224</v>
      </c>
      <c r="M3388" t="s">
        <v>1093</v>
      </c>
      <c r="N3388" t="s">
        <v>1099</v>
      </c>
      <c r="O3388">
        <f>Table1[[#This Row],[Unit_Price]]*Table1[[#This Row],[Quantity]]</f>
        <v>45</v>
      </c>
    </row>
    <row r="3389" spans="1:15" x14ac:dyDescent="0.3">
      <c r="A3389" t="s">
        <v>5207</v>
      </c>
      <c r="B3389" t="s">
        <v>1985</v>
      </c>
      <c r="C3389" t="s">
        <v>461</v>
      </c>
      <c r="D3389" t="s">
        <v>1075</v>
      </c>
      <c r="E3389">
        <v>2</v>
      </c>
      <c r="F3389">
        <f>_xlfn.XLOOKUP(Table1[[#This Row],[ProductID]],Products!A:A,Products!D:D,,0)</f>
        <v>80</v>
      </c>
      <c r="I3389">
        <v>499</v>
      </c>
      <c r="J3389">
        <v>499</v>
      </c>
      <c r="K3389" t="s">
        <v>1102</v>
      </c>
      <c r="L3389">
        <v>998</v>
      </c>
      <c r="M3389" t="s">
        <v>1126</v>
      </c>
      <c r="N3389" t="s">
        <v>1099</v>
      </c>
      <c r="O3389">
        <f>Table1[[#This Row],[Unit_Price]]*Table1[[#This Row],[Quantity]]</f>
        <v>160</v>
      </c>
    </row>
    <row r="3390" spans="1:15" x14ac:dyDescent="0.3">
      <c r="A3390" t="s">
        <v>5208</v>
      </c>
      <c r="B3390" t="s">
        <v>1396</v>
      </c>
      <c r="C3390" t="s">
        <v>819</v>
      </c>
      <c r="D3390" t="s">
        <v>1078</v>
      </c>
      <c r="E3390">
        <v>1</v>
      </c>
      <c r="F3390">
        <f>_xlfn.XLOOKUP(Table1[[#This Row],[ProductID]],Products!A:A,Products!D:D,,0)</f>
        <v>80</v>
      </c>
      <c r="I3390">
        <v>499</v>
      </c>
      <c r="J3390">
        <v>499</v>
      </c>
      <c r="K3390" t="s">
        <v>1102</v>
      </c>
      <c r="L3390">
        <v>499</v>
      </c>
      <c r="M3390" t="s">
        <v>1093</v>
      </c>
      <c r="N3390" t="s">
        <v>1099</v>
      </c>
      <c r="O3390">
        <f>Table1[[#This Row],[Unit_Price]]*Table1[[#This Row],[Quantity]]</f>
        <v>80</v>
      </c>
    </row>
    <row r="3391" spans="1:15" x14ac:dyDescent="0.3">
      <c r="A3391" t="s">
        <v>5209</v>
      </c>
      <c r="B3391" t="s">
        <v>1983</v>
      </c>
      <c r="C3391" t="s">
        <v>489</v>
      </c>
      <c r="D3391" t="s">
        <v>1064</v>
      </c>
      <c r="E3391">
        <v>1</v>
      </c>
      <c r="F3391">
        <f>_xlfn.XLOOKUP(Table1[[#This Row],[ProductID]],Products!A:A,Products!D:D,,0)</f>
        <v>160</v>
      </c>
      <c r="I3391">
        <v>699</v>
      </c>
      <c r="J3391">
        <v>629</v>
      </c>
      <c r="K3391" t="s">
        <v>1107</v>
      </c>
      <c r="L3391">
        <v>629</v>
      </c>
      <c r="M3391" t="s">
        <v>1098</v>
      </c>
      <c r="N3391" t="s">
        <v>1099</v>
      </c>
      <c r="O3391">
        <f>Table1[[#This Row],[Unit_Price]]*Table1[[#This Row],[Quantity]]</f>
        <v>160</v>
      </c>
    </row>
    <row r="3392" spans="1:15" x14ac:dyDescent="0.3">
      <c r="A3392" t="s">
        <v>5210</v>
      </c>
      <c r="B3392" t="s">
        <v>2583</v>
      </c>
      <c r="C3392" t="s">
        <v>521</v>
      </c>
      <c r="D3392" t="s">
        <v>1062</v>
      </c>
      <c r="E3392">
        <v>4</v>
      </c>
      <c r="F3392">
        <f>_xlfn.XLOOKUP(Table1[[#This Row],[ProductID]],Products!A:A,Products!D:D,,0)</f>
        <v>95</v>
      </c>
      <c r="I3392">
        <v>349</v>
      </c>
      <c r="J3392">
        <v>314</v>
      </c>
      <c r="K3392" t="s">
        <v>1107</v>
      </c>
      <c r="L3392">
        <v>1256</v>
      </c>
      <c r="M3392" t="s">
        <v>1093</v>
      </c>
      <c r="N3392" t="s">
        <v>1094</v>
      </c>
      <c r="O3392">
        <f>Table1[[#This Row],[Unit_Price]]*Table1[[#This Row],[Quantity]]</f>
        <v>380</v>
      </c>
    </row>
    <row r="3393" spans="1:15" x14ac:dyDescent="0.3">
      <c r="A3393" t="s">
        <v>5211</v>
      </c>
      <c r="B3393" t="s">
        <v>1426</v>
      </c>
      <c r="C3393" t="s">
        <v>481</v>
      </c>
      <c r="D3393" t="s">
        <v>1059</v>
      </c>
      <c r="E3393">
        <v>1</v>
      </c>
      <c r="F3393">
        <f>_xlfn.XLOOKUP(Table1[[#This Row],[ProductID]],Products!A:A,Products!D:D,,0)</f>
        <v>110</v>
      </c>
      <c r="I3393">
        <v>399</v>
      </c>
      <c r="J3393">
        <v>399</v>
      </c>
      <c r="K3393" t="s">
        <v>1102</v>
      </c>
      <c r="L3393">
        <v>399</v>
      </c>
      <c r="M3393" t="s">
        <v>1098</v>
      </c>
      <c r="N3393" t="s">
        <v>1099</v>
      </c>
      <c r="O3393">
        <f>Table1[[#This Row],[Unit_Price]]*Table1[[#This Row],[Quantity]]</f>
        <v>110</v>
      </c>
    </row>
    <row r="3394" spans="1:15" x14ac:dyDescent="0.3">
      <c r="A3394" t="s">
        <v>5212</v>
      </c>
      <c r="B3394" t="s">
        <v>1264</v>
      </c>
      <c r="C3394" t="s">
        <v>233</v>
      </c>
      <c r="D3394" t="s">
        <v>1073</v>
      </c>
      <c r="E3394">
        <v>1</v>
      </c>
      <c r="F3394">
        <f>_xlfn.XLOOKUP(Table1[[#This Row],[ProductID]],Products!A:A,Products!D:D,,0)</f>
        <v>100</v>
      </c>
      <c r="I3394">
        <v>349</v>
      </c>
      <c r="J3394">
        <v>314</v>
      </c>
      <c r="K3394" t="s">
        <v>1107</v>
      </c>
      <c r="L3394">
        <v>314</v>
      </c>
      <c r="M3394" t="s">
        <v>1098</v>
      </c>
      <c r="N3394" t="s">
        <v>1094</v>
      </c>
      <c r="O3394">
        <f>Table1[[#This Row],[Unit_Price]]*Table1[[#This Row],[Quantity]]</f>
        <v>100</v>
      </c>
    </row>
    <row r="3395" spans="1:15" x14ac:dyDescent="0.3">
      <c r="A3395" t="s">
        <v>5213</v>
      </c>
      <c r="B3395" t="s">
        <v>2535</v>
      </c>
      <c r="C3395" t="s">
        <v>485</v>
      </c>
      <c r="D3395" t="s">
        <v>1078</v>
      </c>
      <c r="E3395">
        <v>2</v>
      </c>
      <c r="F3395">
        <f>_xlfn.XLOOKUP(Table1[[#This Row],[ProductID]],Products!A:A,Products!D:D,,0)</f>
        <v>80</v>
      </c>
      <c r="I3395">
        <v>499</v>
      </c>
      <c r="J3395">
        <v>499</v>
      </c>
      <c r="K3395" t="s">
        <v>1102</v>
      </c>
      <c r="L3395">
        <v>998</v>
      </c>
      <c r="M3395" t="s">
        <v>1093</v>
      </c>
      <c r="N3395" t="s">
        <v>1123</v>
      </c>
      <c r="O3395">
        <f>Table1[[#This Row],[Unit_Price]]*Table1[[#This Row],[Quantity]]</f>
        <v>160</v>
      </c>
    </row>
    <row r="3396" spans="1:15" x14ac:dyDescent="0.3">
      <c r="A3396" t="s">
        <v>5214</v>
      </c>
      <c r="B3396" t="s">
        <v>2368</v>
      </c>
      <c r="C3396" t="s">
        <v>571</v>
      </c>
      <c r="D3396" t="s">
        <v>1073</v>
      </c>
      <c r="E3396">
        <v>1</v>
      </c>
      <c r="F3396">
        <f>_xlfn.XLOOKUP(Table1[[#This Row],[ProductID]],Products!A:A,Products!D:D,,0)</f>
        <v>100</v>
      </c>
      <c r="I3396">
        <v>349</v>
      </c>
      <c r="J3396">
        <v>297</v>
      </c>
      <c r="K3396" t="s">
        <v>1092</v>
      </c>
      <c r="L3396">
        <v>297</v>
      </c>
      <c r="M3396" t="s">
        <v>1098</v>
      </c>
      <c r="N3396" t="s">
        <v>1099</v>
      </c>
      <c r="O3396">
        <f>Table1[[#This Row],[Unit_Price]]*Table1[[#This Row],[Quantity]]</f>
        <v>100</v>
      </c>
    </row>
    <row r="3397" spans="1:15" x14ac:dyDescent="0.3">
      <c r="A3397" t="s">
        <v>5215</v>
      </c>
      <c r="B3397" t="s">
        <v>1272</v>
      </c>
      <c r="C3397" t="s">
        <v>997</v>
      </c>
      <c r="D3397" t="s">
        <v>1059</v>
      </c>
      <c r="E3397">
        <v>1</v>
      </c>
      <c r="F3397">
        <f>_xlfn.XLOOKUP(Table1[[#This Row],[ProductID]],Products!A:A,Products!D:D,,0)</f>
        <v>110</v>
      </c>
      <c r="I3397">
        <v>399</v>
      </c>
      <c r="J3397">
        <v>359</v>
      </c>
      <c r="K3397" t="s">
        <v>1107</v>
      </c>
      <c r="L3397">
        <v>359</v>
      </c>
      <c r="M3397" t="s">
        <v>1098</v>
      </c>
      <c r="N3397" t="s">
        <v>1099</v>
      </c>
      <c r="O3397">
        <f>Table1[[#This Row],[Unit_Price]]*Table1[[#This Row],[Quantity]]</f>
        <v>110</v>
      </c>
    </row>
    <row r="3398" spans="1:15" x14ac:dyDescent="0.3">
      <c r="A3398" t="s">
        <v>5216</v>
      </c>
      <c r="B3398" t="s">
        <v>2312</v>
      </c>
      <c r="C3398" t="s">
        <v>511</v>
      </c>
      <c r="D3398" t="s">
        <v>1053</v>
      </c>
      <c r="E3398">
        <v>2</v>
      </c>
      <c r="F3398">
        <f>_xlfn.XLOOKUP(Table1[[#This Row],[ProductID]],Products!A:A,Products!D:D,,0)</f>
        <v>200</v>
      </c>
      <c r="I3398">
        <v>899</v>
      </c>
      <c r="J3398">
        <v>719</v>
      </c>
      <c r="K3398" t="s">
        <v>1097</v>
      </c>
      <c r="L3398">
        <v>1438</v>
      </c>
      <c r="M3398" t="s">
        <v>1118</v>
      </c>
      <c r="N3398" t="s">
        <v>1099</v>
      </c>
      <c r="O3398">
        <f>Table1[[#This Row],[Unit_Price]]*Table1[[#This Row],[Quantity]]</f>
        <v>400</v>
      </c>
    </row>
    <row r="3399" spans="1:15" x14ac:dyDescent="0.3">
      <c r="A3399" t="s">
        <v>5217</v>
      </c>
      <c r="B3399" t="s">
        <v>2312</v>
      </c>
      <c r="C3399" t="s">
        <v>150</v>
      </c>
      <c r="D3399" t="s">
        <v>1078</v>
      </c>
      <c r="E3399">
        <v>2</v>
      </c>
      <c r="F3399">
        <f>_xlfn.XLOOKUP(Table1[[#This Row],[ProductID]],Products!A:A,Products!D:D,,0)</f>
        <v>80</v>
      </c>
      <c r="I3399">
        <v>499</v>
      </c>
      <c r="J3399">
        <v>449</v>
      </c>
      <c r="K3399" t="s">
        <v>1107</v>
      </c>
      <c r="L3399">
        <v>898</v>
      </c>
      <c r="M3399" t="s">
        <v>1098</v>
      </c>
      <c r="N3399" t="s">
        <v>1099</v>
      </c>
      <c r="O3399">
        <f>Table1[[#This Row],[Unit_Price]]*Table1[[#This Row],[Quantity]]</f>
        <v>160</v>
      </c>
    </row>
    <row r="3400" spans="1:15" x14ac:dyDescent="0.3">
      <c r="A3400" t="s">
        <v>5218</v>
      </c>
      <c r="B3400" t="s">
        <v>1517</v>
      </c>
      <c r="C3400" t="s">
        <v>615</v>
      </c>
      <c r="D3400" t="s">
        <v>1057</v>
      </c>
      <c r="E3400">
        <v>1</v>
      </c>
      <c r="F3400">
        <f>_xlfn.XLOOKUP(Table1[[#This Row],[ProductID]],Products!A:A,Products!D:D,,0)</f>
        <v>130</v>
      </c>
      <c r="I3400">
        <v>549</v>
      </c>
      <c r="J3400">
        <v>549</v>
      </c>
      <c r="K3400" t="s">
        <v>1102</v>
      </c>
      <c r="L3400">
        <v>549</v>
      </c>
      <c r="M3400" t="s">
        <v>1118</v>
      </c>
      <c r="N3400" t="s">
        <v>1099</v>
      </c>
      <c r="O3400">
        <f>Table1[[#This Row],[Unit_Price]]*Table1[[#This Row],[Quantity]]</f>
        <v>130</v>
      </c>
    </row>
    <row r="3401" spans="1:15" x14ac:dyDescent="0.3">
      <c r="A3401" t="s">
        <v>5219</v>
      </c>
      <c r="B3401" t="s">
        <v>2304</v>
      </c>
      <c r="C3401" t="s">
        <v>841</v>
      </c>
      <c r="D3401" t="s">
        <v>1078</v>
      </c>
      <c r="E3401">
        <v>3</v>
      </c>
      <c r="F3401">
        <f>_xlfn.XLOOKUP(Table1[[#This Row],[ProductID]],Products!A:A,Products!D:D,,0)</f>
        <v>80</v>
      </c>
      <c r="I3401">
        <v>499</v>
      </c>
      <c r="J3401">
        <v>399</v>
      </c>
      <c r="K3401" t="s">
        <v>1097</v>
      </c>
      <c r="L3401">
        <v>1197</v>
      </c>
      <c r="M3401" t="s">
        <v>1093</v>
      </c>
      <c r="N3401" t="s">
        <v>1123</v>
      </c>
      <c r="O3401">
        <f>Table1[[#This Row],[Unit_Price]]*Table1[[#This Row],[Quantity]]</f>
        <v>240</v>
      </c>
    </row>
    <row r="3402" spans="1:15" x14ac:dyDescent="0.3">
      <c r="A3402" t="s">
        <v>5220</v>
      </c>
      <c r="B3402" t="s">
        <v>3198</v>
      </c>
      <c r="C3402" t="s">
        <v>525</v>
      </c>
      <c r="D3402" t="s">
        <v>1080</v>
      </c>
      <c r="E3402">
        <v>2</v>
      </c>
      <c r="F3402">
        <f>_xlfn.XLOOKUP(Table1[[#This Row],[ProductID]],Products!A:A,Products!D:D,,0)</f>
        <v>45</v>
      </c>
      <c r="I3402">
        <v>249</v>
      </c>
      <c r="J3402">
        <v>199</v>
      </c>
      <c r="K3402" t="s">
        <v>1097</v>
      </c>
      <c r="L3402">
        <v>398</v>
      </c>
      <c r="M3402" t="s">
        <v>1093</v>
      </c>
      <c r="N3402" t="s">
        <v>1099</v>
      </c>
      <c r="O3402">
        <f>Table1[[#This Row],[Unit_Price]]*Table1[[#This Row],[Quantity]]</f>
        <v>90</v>
      </c>
    </row>
    <row r="3403" spans="1:15" x14ac:dyDescent="0.3">
      <c r="A3403" t="s">
        <v>5221</v>
      </c>
      <c r="B3403" t="s">
        <v>1156</v>
      </c>
      <c r="C3403" t="s">
        <v>160</v>
      </c>
      <c r="D3403" t="s">
        <v>1062</v>
      </c>
      <c r="E3403">
        <v>3</v>
      </c>
      <c r="F3403">
        <f>_xlfn.XLOOKUP(Table1[[#This Row],[ProductID]],Products!A:A,Products!D:D,,0)</f>
        <v>95</v>
      </c>
      <c r="I3403">
        <v>349</v>
      </c>
      <c r="J3403">
        <v>314</v>
      </c>
      <c r="K3403" t="s">
        <v>1107</v>
      </c>
      <c r="L3403">
        <v>942</v>
      </c>
      <c r="M3403" t="s">
        <v>1093</v>
      </c>
      <c r="N3403" t="s">
        <v>1099</v>
      </c>
      <c r="O3403">
        <f>Table1[[#This Row],[Unit_Price]]*Table1[[#This Row],[Quantity]]</f>
        <v>285</v>
      </c>
    </row>
    <row r="3404" spans="1:15" x14ac:dyDescent="0.3">
      <c r="A3404" t="s">
        <v>5222</v>
      </c>
      <c r="B3404" t="s">
        <v>2132</v>
      </c>
      <c r="C3404" t="s">
        <v>535</v>
      </c>
      <c r="D3404" t="s">
        <v>1048</v>
      </c>
      <c r="E3404">
        <v>2</v>
      </c>
      <c r="F3404">
        <f>_xlfn.XLOOKUP(Table1[[#This Row],[ProductID]],Products!A:A,Products!D:D,,0)</f>
        <v>120</v>
      </c>
      <c r="I3404">
        <v>599</v>
      </c>
      <c r="J3404">
        <v>479</v>
      </c>
      <c r="K3404" t="s">
        <v>1097</v>
      </c>
      <c r="L3404">
        <v>958</v>
      </c>
      <c r="M3404" t="s">
        <v>1098</v>
      </c>
      <c r="N3404" t="s">
        <v>1099</v>
      </c>
      <c r="O3404">
        <f>Table1[[#This Row],[Unit_Price]]*Table1[[#This Row],[Quantity]]</f>
        <v>240</v>
      </c>
    </row>
    <row r="3405" spans="1:15" x14ac:dyDescent="0.3">
      <c r="A3405" t="s">
        <v>5223</v>
      </c>
      <c r="B3405" t="s">
        <v>2859</v>
      </c>
      <c r="C3405" t="s">
        <v>837</v>
      </c>
      <c r="D3405" t="s">
        <v>1059</v>
      </c>
      <c r="E3405">
        <v>4</v>
      </c>
      <c r="F3405">
        <f>_xlfn.XLOOKUP(Table1[[#This Row],[ProductID]],Products!A:A,Products!D:D,,0)</f>
        <v>110</v>
      </c>
      <c r="I3405">
        <v>399</v>
      </c>
      <c r="J3405">
        <v>399</v>
      </c>
      <c r="K3405" t="s">
        <v>1102</v>
      </c>
      <c r="L3405">
        <v>1596</v>
      </c>
      <c r="M3405" t="s">
        <v>1098</v>
      </c>
      <c r="N3405" t="s">
        <v>1099</v>
      </c>
      <c r="O3405">
        <f>Table1[[#This Row],[Unit_Price]]*Table1[[#This Row],[Quantity]]</f>
        <v>440</v>
      </c>
    </row>
    <row r="3406" spans="1:15" x14ac:dyDescent="0.3">
      <c r="A3406" t="s">
        <v>5224</v>
      </c>
      <c r="B3406" t="s">
        <v>1642</v>
      </c>
      <c r="C3406" t="s">
        <v>337</v>
      </c>
      <c r="D3406" t="s">
        <v>1066</v>
      </c>
      <c r="E3406">
        <v>2</v>
      </c>
      <c r="F3406">
        <f>_xlfn.XLOOKUP(Table1[[#This Row],[ProductID]],Products!A:A,Products!D:D,,0)</f>
        <v>140</v>
      </c>
      <c r="I3406">
        <v>499</v>
      </c>
      <c r="J3406">
        <v>449</v>
      </c>
      <c r="K3406" t="s">
        <v>1107</v>
      </c>
      <c r="L3406">
        <v>898</v>
      </c>
      <c r="M3406" t="s">
        <v>1093</v>
      </c>
      <c r="N3406" t="s">
        <v>1099</v>
      </c>
      <c r="O3406">
        <f>Table1[[#This Row],[Unit_Price]]*Table1[[#This Row],[Quantity]]</f>
        <v>280</v>
      </c>
    </row>
    <row r="3407" spans="1:15" x14ac:dyDescent="0.3">
      <c r="A3407" t="s">
        <v>5225</v>
      </c>
      <c r="B3407" t="s">
        <v>2810</v>
      </c>
      <c r="C3407" t="s">
        <v>369</v>
      </c>
      <c r="D3407" t="s">
        <v>1055</v>
      </c>
      <c r="E3407">
        <v>3</v>
      </c>
      <c r="F3407">
        <f>_xlfn.XLOOKUP(Table1[[#This Row],[ProductID]],Products!A:A,Products!D:D,,0)</f>
        <v>75</v>
      </c>
      <c r="I3407">
        <v>299</v>
      </c>
      <c r="J3407">
        <v>269</v>
      </c>
      <c r="K3407" t="s">
        <v>1107</v>
      </c>
      <c r="L3407">
        <v>807</v>
      </c>
      <c r="M3407" t="s">
        <v>1098</v>
      </c>
      <c r="N3407" t="s">
        <v>1099</v>
      </c>
      <c r="O3407">
        <f>Table1[[#This Row],[Unit_Price]]*Table1[[#This Row],[Quantity]]</f>
        <v>225</v>
      </c>
    </row>
    <row r="3408" spans="1:15" x14ac:dyDescent="0.3">
      <c r="A3408" t="s">
        <v>5226</v>
      </c>
      <c r="B3408" t="s">
        <v>2859</v>
      </c>
      <c r="C3408" t="s">
        <v>307</v>
      </c>
      <c r="D3408" t="s">
        <v>1059</v>
      </c>
      <c r="E3408">
        <v>1</v>
      </c>
      <c r="F3408">
        <f>_xlfn.XLOOKUP(Table1[[#This Row],[ProductID]],Products!A:A,Products!D:D,,0)</f>
        <v>110</v>
      </c>
      <c r="I3408">
        <v>399</v>
      </c>
      <c r="J3408">
        <v>359</v>
      </c>
      <c r="K3408" t="s">
        <v>1107</v>
      </c>
      <c r="L3408">
        <v>359</v>
      </c>
      <c r="M3408" t="s">
        <v>1098</v>
      </c>
      <c r="N3408" t="s">
        <v>1099</v>
      </c>
      <c r="O3408">
        <f>Table1[[#This Row],[Unit_Price]]*Table1[[#This Row],[Quantity]]</f>
        <v>110</v>
      </c>
    </row>
    <row r="3409" spans="1:15" x14ac:dyDescent="0.3">
      <c r="A3409" t="s">
        <v>5227</v>
      </c>
      <c r="B3409" t="s">
        <v>3045</v>
      </c>
      <c r="C3409" t="s">
        <v>535</v>
      </c>
      <c r="D3409" t="s">
        <v>1057</v>
      </c>
      <c r="E3409">
        <v>1</v>
      </c>
      <c r="F3409">
        <f>_xlfn.XLOOKUP(Table1[[#This Row],[ProductID]],Products!A:A,Products!D:D,,0)</f>
        <v>130</v>
      </c>
      <c r="I3409">
        <v>549</v>
      </c>
      <c r="J3409">
        <v>494</v>
      </c>
      <c r="K3409" t="s">
        <v>1107</v>
      </c>
      <c r="L3409">
        <v>494</v>
      </c>
      <c r="M3409" t="s">
        <v>1093</v>
      </c>
      <c r="N3409" t="s">
        <v>1099</v>
      </c>
      <c r="O3409">
        <f>Table1[[#This Row],[Unit_Price]]*Table1[[#This Row],[Quantity]]</f>
        <v>130</v>
      </c>
    </row>
    <row r="3410" spans="1:15" x14ac:dyDescent="0.3">
      <c r="A3410" t="s">
        <v>5228</v>
      </c>
      <c r="B3410" t="s">
        <v>1855</v>
      </c>
      <c r="C3410" t="s">
        <v>995</v>
      </c>
      <c r="D3410" t="s">
        <v>1062</v>
      </c>
      <c r="E3410">
        <v>2</v>
      </c>
      <c r="F3410">
        <f>_xlfn.XLOOKUP(Table1[[#This Row],[ProductID]],Products!A:A,Products!D:D,,0)</f>
        <v>95</v>
      </c>
      <c r="I3410">
        <v>349</v>
      </c>
      <c r="J3410">
        <v>297</v>
      </c>
      <c r="K3410" t="s">
        <v>1092</v>
      </c>
      <c r="L3410">
        <v>594</v>
      </c>
      <c r="M3410" t="s">
        <v>1098</v>
      </c>
      <c r="N3410" t="s">
        <v>1123</v>
      </c>
      <c r="O3410">
        <f>Table1[[#This Row],[Unit_Price]]*Table1[[#This Row],[Quantity]]</f>
        <v>190</v>
      </c>
    </row>
    <row r="3411" spans="1:15" x14ac:dyDescent="0.3">
      <c r="A3411" t="s">
        <v>5229</v>
      </c>
      <c r="B3411" t="s">
        <v>1459</v>
      </c>
      <c r="C3411" t="s">
        <v>203</v>
      </c>
      <c r="D3411" t="s">
        <v>1055</v>
      </c>
      <c r="E3411">
        <v>1</v>
      </c>
      <c r="F3411">
        <f>_xlfn.XLOOKUP(Table1[[#This Row],[ProductID]],Products!A:A,Products!D:D,,0)</f>
        <v>75</v>
      </c>
      <c r="I3411">
        <v>299</v>
      </c>
      <c r="J3411">
        <v>254</v>
      </c>
      <c r="K3411" t="s">
        <v>1092</v>
      </c>
      <c r="L3411">
        <v>254</v>
      </c>
      <c r="M3411" t="s">
        <v>1126</v>
      </c>
      <c r="N3411" t="s">
        <v>1123</v>
      </c>
      <c r="O3411">
        <f>Table1[[#This Row],[Unit_Price]]*Table1[[#This Row],[Quantity]]</f>
        <v>75</v>
      </c>
    </row>
    <row r="3412" spans="1:15" x14ac:dyDescent="0.3">
      <c r="A3412" t="s">
        <v>5230</v>
      </c>
      <c r="B3412" t="s">
        <v>5231</v>
      </c>
      <c r="C3412" t="s">
        <v>34</v>
      </c>
      <c r="D3412" t="s">
        <v>1051</v>
      </c>
      <c r="E3412">
        <v>1</v>
      </c>
      <c r="F3412">
        <f>_xlfn.XLOOKUP(Table1[[#This Row],[ProductID]],Products!A:A,Products!D:D,,0)</f>
        <v>150</v>
      </c>
      <c r="I3412">
        <v>499</v>
      </c>
      <c r="J3412">
        <v>449</v>
      </c>
      <c r="K3412" t="s">
        <v>1107</v>
      </c>
      <c r="L3412">
        <v>449</v>
      </c>
      <c r="M3412" t="s">
        <v>1093</v>
      </c>
      <c r="N3412" t="s">
        <v>1099</v>
      </c>
      <c r="O3412">
        <f>Table1[[#This Row],[Unit_Price]]*Table1[[#This Row],[Quantity]]</f>
        <v>150</v>
      </c>
    </row>
    <row r="3413" spans="1:15" x14ac:dyDescent="0.3">
      <c r="A3413" t="s">
        <v>5232</v>
      </c>
      <c r="B3413" t="s">
        <v>1122</v>
      </c>
      <c r="C3413" t="s">
        <v>769</v>
      </c>
      <c r="D3413" t="s">
        <v>1071</v>
      </c>
      <c r="E3413">
        <v>1</v>
      </c>
      <c r="F3413">
        <f>_xlfn.XLOOKUP(Table1[[#This Row],[ProductID]],Products!A:A,Products!D:D,,0)</f>
        <v>125</v>
      </c>
      <c r="I3413">
        <v>399</v>
      </c>
      <c r="J3413">
        <v>339</v>
      </c>
      <c r="K3413" t="s">
        <v>1092</v>
      </c>
      <c r="L3413">
        <v>339</v>
      </c>
      <c r="M3413" t="s">
        <v>1098</v>
      </c>
      <c r="N3413" t="s">
        <v>1099</v>
      </c>
      <c r="O3413">
        <f>Table1[[#This Row],[Unit_Price]]*Table1[[#This Row],[Quantity]]</f>
        <v>125</v>
      </c>
    </row>
    <row r="3414" spans="1:15" x14ac:dyDescent="0.3">
      <c r="A3414" t="s">
        <v>5233</v>
      </c>
      <c r="B3414" t="s">
        <v>1589</v>
      </c>
      <c r="C3414" t="s">
        <v>185</v>
      </c>
      <c r="D3414" t="s">
        <v>1066</v>
      </c>
      <c r="E3414">
        <v>1</v>
      </c>
      <c r="F3414">
        <f>_xlfn.XLOOKUP(Table1[[#This Row],[ProductID]],Products!A:A,Products!D:D,,0)</f>
        <v>140</v>
      </c>
      <c r="I3414">
        <v>499</v>
      </c>
      <c r="J3414">
        <v>424</v>
      </c>
      <c r="K3414" t="s">
        <v>1092</v>
      </c>
      <c r="L3414">
        <v>424</v>
      </c>
      <c r="M3414" t="s">
        <v>1098</v>
      </c>
      <c r="N3414" t="s">
        <v>1099</v>
      </c>
      <c r="O3414">
        <f>Table1[[#This Row],[Unit_Price]]*Table1[[#This Row],[Quantity]]</f>
        <v>140</v>
      </c>
    </row>
    <row r="3415" spans="1:15" x14ac:dyDescent="0.3">
      <c r="A3415" t="s">
        <v>5234</v>
      </c>
      <c r="B3415" t="s">
        <v>1732</v>
      </c>
      <c r="C3415" t="s">
        <v>589</v>
      </c>
      <c r="D3415" t="s">
        <v>1075</v>
      </c>
      <c r="E3415">
        <v>2</v>
      </c>
      <c r="F3415">
        <f>_xlfn.XLOOKUP(Table1[[#This Row],[ProductID]],Products!A:A,Products!D:D,,0)</f>
        <v>80</v>
      </c>
      <c r="I3415">
        <v>499</v>
      </c>
      <c r="J3415">
        <v>424</v>
      </c>
      <c r="K3415" t="s">
        <v>1092</v>
      </c>
      <c r="L3415">
        <v>848</v>
      </c>
      <c r="M3415" t="s">
        <v>1098</v>
      </c>
      <c r="N3415" t="s">
        <v>1099</v>
      </c>
      <c r="O3415">
        <f>Table1[[#This Row],[Unit_Price]]*Table1[[#This Row],[Quantity]]</f>
        <v>160</v>
      </c>
    </row>
    <row r="3416" spans="1:15" x14ac:dyDescent="0.3">
      <c r="A3416" t="s">
        <v>5235</v>
      </c>
      <c r="B3416" t="s">
        <v>1339</v>
      </c>
      <c r="C3416" t="s">
        <v>1017</v>
      </c>
      <c r="D3416" t="s">
        <v>1059</v>
      </c>
      <c r="E3416">
        <v>1</v>
      </c>
      <c r="F3416">
        <f>_xlfn.XLOOKUP(Table1[[#This Row],[ProductID]],Products!A:A,Products!D:D,,0)</f>
        <v>110</v>
      </c>
      <c r="I3416">
        <v>399</v>
      </c>
      <c r="J3416">
        <v>399</v>
      </c>
      <c r="K3416" t="s">
        <v>1102</v>
      </c>
      <c r="L3416">
        <v>399</v>
      </c>
      <c r="M3416" t="s">
        <v>1098</v>
      </c>
      <c r="N3416" t="s">
        <v>1099</v>
      </c>
      <c r="O3416">
        <f>Table1[[#This Row],[Unit_Price]]*Table1[[#This Row],[Quantity]]</f>
        <v>110</v>
      </c>
    </row>
    <row r="3417" spans="1:15" x14ac:dyDescent="0.3">
      <c r="A3417" t="s">
        <v>5236</v>
      </c>
      <c r="B3417" t="s">
        <v>2701</v>
      </c>
      <c r="C3417" t="s">
        <v>857</v>
      </c>
      <c r="D3417" t="s">
        <v>1078</v>
      </c>
      <c r="E3417">
        <v>1</v>
      </c>
      <c r="F3417">
        <f>_xlfn.XLOOKUP(Table1[[#This Row],[ProductID]],Products!A:A,Products!D:D,,0)</f>
        <v>80</v>
      </c>
      <c r="I3417">
        <v>499</v>
      </c>
      <c r="J3417">
        <v>449</v>
      </c>
      <c r="K3417" t="s">
        <v>1107</v>
      </c>
      <c r="L3417">
        <v>449</v>
      </c>
      <c r="M3417" t="s">
        <v>1093</v>
      </c>
      <c r="N3417" t="s">
        <v>1094</v>
      </c>
      <c r="O3417">
        <f>Table1[[#This Row],[Unit_Price]]*Table1[[#This Row],[Quantity]]</f>
        <v>80</v>
      </c>
    </row>
    <row r="3418" spans="1:15" x14ac:dyDescent="0.3">
      <c r="A3418" t="s">
        <v>5237</v>
      </c>
      <c r="B3418" t="s">
        <v>2116</v>
      </c>
      <c r="C3418" t="s">
        <v>967</v>
      </c>
      <c r="D3418" t="s">
        <v>1068</v>
      </c>
      <c r="E3418">
        <v>1</v>
      </c>
      <c r="F3418">
        <f>_xlfn.XLOOKUP(Table1[[#This Row],[ProductID]],Products!A:A,Products!D:D,,0)</f>
        <v>180</v>
      </c>
      <c r="I3418">
        <v>449</v>
      </c>
      <c r="J3418">
        <v>382</v>
      </c>
      <c r="K3418" t="s">
        <v>1092</v>
      </c>
      <c r="L3418">
        <v>382</v>
      </c>
      <c r="M3418" t="s">
        <v>1093</v>
      </c>
      <c r="N3418" t="s">
        <v>1099</v>
      </c>
      <c r="O3418">
        <f>Table1[[#This Row],[Unit_Price]]*Table1[[#This Row],[Quantity]]</f>
        <v>180</v>
      </c>
    </row>
    <row r="3419" spans="1:15" x14ac:dyDescent="0.3">
      <c r="A3419" t="s">
        <v>5238</v>
      </c>
      <c r="B3419" t="s">
        <v>1202</v>
      </c>
      <c r="C3419" t="s">
        <v>1019</v>
      </c>
      <c r="D3419" t="s">
        <v>1068</v>
      </c>
      <c r="E3419">
        <v>2</v>
      </c>
      <c r="F3419">
        <f>_xlfn.XLOOKUP(Table1[[#This Row],[ProductID]],Products!A:A,Products!D:D,,0)</f>
        <v>180</v>
      </c>
      <c r="I3419">
        <v>449</v>
      </c>
      <c r="J3419">
        <v>449</v>
      </c>
      <c r="K3419" t="s">
        <v>1102</v>
      </c>
      <c r="L3419">
        <v>898</v>
      </c>
      <c r="M3419" t="s">
        <v>1098</v>
      </c>
      <c r="N3419" t="s">
        <v>1099</v>
      </c>
      <c r="O3419">
        <f>Table1[[#This Row],[Unit_Price]]*Table1[[#This Row],[Quantity]]</f>
        <v>360</v>
      </c>
    </row>
    <row r="3420" spans="1:15" x14ac:dyDescent="0.3">
      <c r="A3420" t="s">
        <v>5239</v>
      </c>
      <c r="B3420" t="s">
        <v>3077</v>
      </c>
      <c r="C3420" t="s">
        <v>427</v>
      </c>
      <c r="D3420" t="s">
        <v>1066</v>
      </c>
      <c r="E3420">
        <v>1</v>
      </c>
      <c r="F3420">
        <f>_xlfn.XLOOKUP(Table1[[#This Row],[ProductID]],Products!A:A,Products!D:D,,0)</f>
        <v>140</v>
      </c>
      <c r="I3420">
        <v>499</v>
      </c>
      <c r="J3420">
        <v>449</v>
      </c>
      <c r="K3420" t="s">
        <v>1107</v>
      </c>
      <c r="L3420">
        <v>449</v>
      </c>
      <c r="M3420" t="s">
        <v>1093</v>
      </c>
      <c r="N3420" t="s">
        <v>1094</v>
      </c>
      <c r="O3420">
        <f>Table1[[#This Row],[Unit_Price]]*Table1[[#This Row],[Quantity]]</f>
        <v>140</v>
      </c>
    </row>
    <row r="3421" spans="1:15" x14ac:dyDescent="0.3">
      <c r="A3421" t="s">
        <v>5240</v>
      </c>
      <c r="B3421" t="s">
        <v>1870</v>
      </c>
      <c r="C3421" t="s">
        <v>1023</v>
      </c>
      <c r="D3421" t="s">
        <v>1075</v>
      </c>
      <c r="E3421">
        <v>2</v>
      </c>
      <c r="F3421">
        <f>_xlfn.XLOOKUP(Table1[[#This Row],[ProductID]],Products!A:A,Products!D:D,,0)</f>
        <v>80</v>
      </c>
      <c r="I3421">
        <v>499</v>
      </c>
      <c r="J3421">
        <v>424</v>
      </c>
      <c r="K3421" t="s">
        <v>1092</v>
      </c>
      <c r="L3421">
        <v>848</v>
      </c>
      <c r="M3421" t="s">
        <v>1093</v>
      </c>
      <c r="N3421" t="s">
        <v>1099</v>
      </c>
      <c r="O3421">
        <f>Table1[[#This Row],[Unit_Price]]*Table1[[#This Row],[Quantity]]</f>
        <v>160</v>
      </c>
    </row>
    <row r="3422" spans="1:15" x14ac:dyDescent="0.3">
      <c r="A3422" t="s">
        <v>5241</v>
      </c>
      <c r="B3422" t="s">
        <v>2472</v>
      </c>
      <c r="C3422" t="s">
        <v>989</v>
      </c>
      <c r="D3422" t="s">
        <v>1071</v>
      </c>
      <c r="E3422">
        <v>1</v>
      </c>
      <c r="F3422">
        <f>_xlfn.XLOOKUP(Table1[[#This Row],[ProductID]],Products!A:A,Products!D:D,,0)</f>
        <v>125</v>
      </c>
      <c r="I3422">
        <v>399</v>
      </c>
      <c r="J3422">
        <v>359</v>
      </c>
      <c r="K3422" t="s">
        <v>1107</v>
      </c>
      <c r="L3422">
        <v>359</v>
      </c>
      <c r="M3422" t="s">
        <v>1098</v>
      </c>
      <c r="N3422" t="s">
        <v>1099</v>
      </c>
      <c r="O3422">
        <f>Table1[[#This Row],[Unit_Price]]*Table1[[#This Row],[Quantity]]</f>
        <v>125</v>
      </c>
    </row>
    <row r="3423" spans="1:15" x14ac:dyDescent="0.3">
      <c r="A3423" t="s">
        <v>5242</v>
      </c>
      <c r="B3423" t="s">
        <v>3495</v>
      </c>
      <c r="C3423" t="s">
        <v>273</v>
      </c>
      <c r="D3423" t="s">
        <v>1062</v>
      </c>
      <c r="E3423">
        <v>1</v>
      </c>
      <c r="F3423">
        <f>_xlfn.XLOOKUP(Table1[[#This Row],[ProductID]],Products!A:A,Products!D:D,,0)</f>
        <v>95</v>
      </c>
      <c r="I3423">
        <v>349</v>
      </c>
      <c r="J3423">
        <v>297</v>
      </c>
      <c r="K3423" t="s">
        <v>1092</v>
      </c>
      <c r="L3423">
        <v>297</v>
      </c>
      <c r="M3423" t="s">
        <v>1098</v>
      </c>
      <c r="N3423" t="s">
        <v>1099</v>
      </c>
      <c r="O3423">
        <f>Table1[[#This Row],[Unit_Price]]*Table1[[#This Row],[Quantity]]</f>
        <v>95</v>
      </c>
    </row>
    <row r="3424" spans="1:15" x14ac:dyDescent="0.3">
      <c r="A3424" t="s">
        <v>5243</v>
      </c>
      <c r="B3424" t="s">
        <v>1958</v>
      </c>
      <c r="C3424" t="s">
        <v>547</v>
      </c>
      <c r="D3424" t="s">
        <v>1048</v>
      </c>
      <c r="E3424">
        <v>1</v>
      </c>
      <c r="F3424">
        <f>_xlfn.XLOOKUP(Table1[[#This Row],[ProductID]],Products!A:A,Products!D:D,,0)</f>
        <v>120</v>
      </c>
      <c r="I3424">
        <v>599</v>
      </c>
      <c r="J3424">
        <v>539</v>
      </c>
      <c r="K3424" t="s">
        <v>1107</v>
      </c>
      <c r="L3424">
        <v>539</v>
      </c>
      <c r="M3424" t="s">
        <v>1093</v>
      </c>
      <c r="N3424" t="s">
        <v>1099</v>
      </c>
      <c r="O3424">
        <f>Table1[[#This Row],[Unit_Price]]*Table1[[#This Row],[Quantity]]</f>
        <v>120</v>
      </c>
    </row>
    <row r="3425" spans="1:15" x14ac:dyDescent="0.3">
      <c r="A3425" t="s">
        <v>5244</v>
      </c>
      <c r="B3425" t="s">
        <v>2882</v>
      </c>
      <c r="C3425" t="s">
        <v>519</v>
      </c>
      <c r="D3425" t="s">
        <v>1057</v>
      </c>
      <c r="E3425">
        <v>1</v>
      </c>
      <c r="F3425">
        <f>_xlfn.XLOOKUP(Table1[[#This Row],[ProductID]],Products!A:A,Products!D:D,,0)</f>
        <v>130</v>
      </c>
      <c r="I3425">
        <v>549</v>
      </c>
      <c r="J3425">
        <v>439</v>
      </c>
      <c r="K3425" t="s">
        <v>1097</v>
      </c>
      <c r="L3425">
        <v>439</v>
      </c>
      <c r="M3425" t="s">
        <v>1098</v>
      </c>
      <c r="N3425" t="s">
        <v>1099</v>
      </c>
      <c r="O3425">
        <f>Table1[[#This Row],[Unit_Price]]*Table1[[#This Row],[Quantity]]</f>
        <v>130</v>
      </c>
    </row>
    <row r="3426" spans="1:15" x14ac:dyDescent="0.3">
      <c r="A3426" t="s">
        <v>5245</v>
      </c>
      <c r="B3426" t="s">
        <v>2165</v>
      </c>
      <c r="C3426" t="s">
        <v>821</v>
      </c>
      <c r="D3426" t="s">
        <v>1071</v>
      </c>
      <c r="E3426">
        <v>1</v>
      </c>
      <c r="F3426">
        <f>_xlfn.XLOOKUP(Table1[[#This Row],[ProductID]],Products!A:A,Products!D:D,,0)</f>
        <v>125</v>
      </c>
      <c r="I3426">
        <v>399</v>
      </c>
      <c r="J3426">
        <v>399</v>
      </c>
      <c r="K3426" t="s">
        <v>1102</v>
      </c>
      <c r="L3426">
        <v>399</v>
      </c>
      <c r="M3426" t="s">
        <v>1098</v>
      </c>
      <c r="N3426" t="s">
        <v>1099</v>
      </c>
      <c r="O3426">
        <f>Table1[[#This Row],[Unit_Price]]*Table1[[#This Row],[Quantity]]</f>
        <v>125</v>
      </c>
    </row>
    <row r="3427" spans="1:15" x14ac:dyDescent="0.3">
      <c r="A3427" t="s">
        <v>5246</v>
      </c>
      <c r="B3427" t="s">
        <v>1909</v>
      </c>
      <c r="C3427" t="s">
        <v>181</v>
      </c>
      <c r="D3427" t="s">
        <v>1064</v>
      </c>
      <c r="E3427">
        <v>1</v>
      </c>
      <c r="F3427">
        <f>_xlfn.XLOOKUP(Table1[[#This Row],[ProductID]],Products!A:A,Products!D:D,,0)</f>
        <v>160</v>
      </c>
      <c r="I3427">
        <v>699</v>
      </c>
      <c r="J3427">
        <v>629</v>
      </c>
      <c r="K3427" t="s">
        <v>1107</v>
      </c>
      <c r="L3427">
        <v>629</v>
      </c>
      <c r="M3427" t="s">
        <v>1118</v>
      </c>
      <c r="N3427" t="s">
        <v>1099</v>
      </c>
      <c r="O3427">
        <f>Table1[[#This Row],[Unit_Price]]*Table1[[#This Row],[Quantity]]</f>
        <v>160</v>
      </c>
    </row>
    <row r="3428" spans="1:15" x14ac:dyDescent="0.3">
      <c r="A3428" t="s">
        <v>5247</v>
      </c>
      <c r="B3428" t="s">
        <v>2195</v>
      </c>
      <c r="C3428" t="s">
        <v>579</v>
      </c>
      <c r="D3428" t="s">
        <v>1075</v>
      </c>
      <c r="E3428">
        <v>2</v>
      </c>
      <c r="F3428">
        <f>_xlfn.XLOOKUP(Table1[[#This Row],[ProductID]],Products!A:A,Products!D:D,,0)</f>
        <v>80</v>
      </c>
      <c r="I3428">
        <v>499</v>
      </c>
      <c r="J3428">
        <v>424</v>
      </c>
      <c r="K3428" t="s">
        <v>1092</v>
      </c>
      <c r="L3428">
        <v>848</v>
      </c>
      <c r="M3428" t="s">
        <v>1098</v>
      </c>
      <c r="N3428" t="s">
        <v>1099</v>
      </c>
      <c r="O3428">
        <f>Table1[[#This Row],[Unit_Price]]*Table1[[#This Row],[Quantity]]</f>
        <v>160</v>
      </c>
    </row>
    <row r="3429" spans="1:15" x14ac:dyDescent="0.3">
      <c r="A3429" t="s">
        <v>5248</v>
      </c>
      <c r="B3429" t="s">
        <v>1306</v>
      </c>
      <c r="C3429" t="s">
        <v>679</v>
      </c>
      <c r="D3429" t="s">
        <v>1066</v>
      </c>
      <c r="E3429">
        <v>3</v>
      </c>
      <c r="F3429">
        <f>_xlfn.XLOOKUP(Table1[[#This Row],[ProductID]],Products!A:A,Products!D:D,,0)</f>
        <v>140</v>
      </c>
      <c r="I3429">
        <v>499</v>
      </c>
      <c r="J3429">
        <v>424</v>
      </c>
      <c r="K3429" t="s">
        <v>1092</v>
      </c>
      <c r="L3429">
        <v>1272</v>
      </c>
      <c r="M3429" t="s">
        <v>1093</v>
      </c>
      <c r="N3429" t="s">
        <v>1094</v>
      </c>
      <c r="O3429">
        <f>Table1[[#This Row],[Unit_Price]]*Table1[[#This Row],[Quantity]]</f>
        <v>420</v>
      </c>
    </row>
    <row r="3430" spans="1:15" x14ac:dyDescent="0.3">
      <c r="A3430" t="s">
        <v>5249</v>
      </c>
      <c r="B3430" t="s">
        <v>3495</v>
      </c>
      <c r="C3430" t="s">
        <v>705</v>
      </c>
      <c r="D3430" t="s">
        <v>1075</v>
      </c>
      <c r="E3430">
        <v>2</v>
      </c>
      <c r="F3430">
        <f>_xlfn.XLOOKUP(Table1[[#This Row],[ProductID]],Products!A:A,Products!D:D,,0)</f>
        <v>80</v>
      </c>
      <c r="I3430">
        <v>499</v>
      </c>
      <c r="J3430">
        <v>499</v>
      </c>
      <c r="K3430" t="s">
        <v>1102</v>
      </c>
      <c r="L3430">
        <v>998</v>
      </c>
      <c r="M3430" t="s">
        <v>1098</v>
      </c>
      <c r="N3430" t="s">
        <v>1123</v>
      </c>
      <c r="O3430">
        <f>Table1[[#This Row],[Unit_Price]]*Table1[[#This Row],[Quantity]]</f>
        <v>160</v>
      </c>
    </row>
    <row r="3431" spans="1:15" x14ac:dyDescent="0.3">
      <c r="A3431" t="s">
        <v>5250</v>
      </c>
      <c r="B3431" t="s">
        <v>3206</v>
      </c>
      <c r="C3431" t="s">
        <v>729</v>
      </c>
      <c r="D3431" t="s">
        <v>1066</v>
      </c>
      <c r="E3431">
        <v>2</v>
      </c>
      <c r="F3431">
        <f>_xlfn.XLOOKUP(Table1[[#This Row],[ProductID]],Products!A:A,Products!D:D,,0)</f>
        <v>140</v>
      </c>
      <c r="I3431">
        <v>499</v>
      </c>
      <c r="J3431">
        <v>499</v>
      </c>
      <c r="K3431" t="s">
        <v>1102</v>
      </c>
      <c r="L3431">
        <v>998</v>
      </c>
      <c r="M3431" t="s">
        <v>1118</v>
      </c>
      <c r="N3431" t="s">
        <v>1099</v>
      </c>
      <c r="O3431">
        <f>Table1[[#This Row],[Unit_Price]]*Table1[[#This Row],[Quantity]]</f>
        <v>280</v>
      </c>
    </row>
    <row r="3432" spans="1:15" x14ac:dyDescent="0.3">
      <c r="A3432" t="s">
        <v>5251</v>
      </c>
      <c r="B3432" t="s">
        <v>1839</v>
      </c>
      <c r="C3432" t="s">
        <v>297</v>
      </c>
      <c r="D3432" t="s">
        <v>1055</v>
      </c>
      <c r="E3432">
        <v>3</v>
      </c>
      <c r="F3432">
        <f>_xlfn.XLOOKUP(Table1[[#This Row],[ProductID]],Products!A:A,Products!D:D,,0)</f>
        <v>75</v>
      </c>
      <c r="I3432">
        <v>299</v>
      </c>
      <c r="J3432">
        <v>299</v>
      </c>
      <c r="K3432" t="s">
        <v>1102</v>
      </c>
      <c r="L3432">
        <v>897</v>
      </c>
      <c r="M3432" t="s">
        <v>1093</v>
      </c>
      <c r="N3432" t="s">
        <v>1099</v>
      </c>
      <c r="O3432">
        <f>Table1[[#This Row],[Unit_Price]]*Table1[[#This Row],[Quantity]]</f>
        <v>225</v>
      </c>
    </row>
    <row r="3433" spans="1:15" x14ac:dyDescent="0.3">
      <c r="A3433" t="s">
        <v>5252</v>
      </c>
      <c r="B3433" t="s">
        <v>2152</v>
      </c>
      <c r="C3433" t="s">
        <v>457</v>
      </c>
      <c r="D3433" t="s">
        <v>1075</v>
      </c>
      <c r="E3433">
        <v>1</v>
      </c>
      <c r="F3433">
        <f>_xlfn.XLOOKUP(Table1[[#This Row],[ProductID]],Products!A:A,Products!D:D,,0)</f>
        <v>80</v>
      </c>
      <c r="I3433">
        <v>499</v>
      </c>
      <c r="J3433">
        <v>424</v>
      </c>
      <c r="K3433" t="s">
        <v>1092</v>
      </c>
      <c r="L3433">
        <v>424</v>
      </c>
      <c r="M3433" t="s">
        <v>1093</v>
      </c>
      <c r="N3433" t="s">
        <v>1123</v>
      </c>
      <c r="O3433">
        <f>Table1[[#This Row],[Unit_Price]]*Table1[[#This Row],[Quantity]]</f>
        <v>80</v>
      </c>
    </row>
    <row r="3434" spans="1:15" x14ac:dyDescent="0.3">
      <c r="A3434" t="s">
        <v>5253</v>
      </c>
      <c r="B3434" t="s">
        <v>1312</v>
      </c>
      <c r="C3434" t="s">
        <v>737</v>
      </c>
      <c r="D3434" t="s">
        <v>1055</v>
      </c>
      <c r="E3434">
        <v>1</v>
      </c>
      <c r="F3434">
        <f>_xlfn.XLOOKUP(Table1[[#This Row],[ProductID]],Products!A:A,Products!D:D,,0)</f>
        <v>75</v>
      </c>
      <c r="I3434">
        <v>299</v>
      </c>
      <c r="J3434">
        <v>239</v>
      </c>
      <c r="K3434" t="s">
        <v>1097</v>
      </c>
      <c r="L3434">
        <v>239</v>
      </c>
      <c r="M3434" t="s">
        <v>1098</v>
      </c>
      <c r="N3434" t="s">
        <v>1099</v>
      </c>
      <c r="O3434">
        <f>Table1[[#This Row],[Unit_Price]]*Table1[[#This Row],[Quantity]]</f>
        <v>75</v>
      </c>
    </row>
    <row r="3435" spans="1:15" x14ac:dyDescent="0.3">
      <c r="A3435" t="s">
        <v>5254</v>
      </c>
      <c r="B3435" t="s">
        <v>2847</v>
      </c>
      <c r="C3435" t="s">
        <v>537</v>
      </c>
      <c r="D3435" t="s">
        <v>1075</v>
      </c>
      <c r="E3435">
        <v>1</v>
      </c>
      <c r="F3435">
        <f>_xlfn.XLOOKUP(Table1[[#This Row],[ProductID]],Products!A:A,Products!D:D,,0)</f>
        <v>80</v>
      </c>
      <c r="I3435">
        <v>499</v>
      </c>
      <c r="J3435">
        <v>499</v>
      </c>
      <c r="K3435" t="s">
        <v>1102</v>
      </c>
      <c r="L3435">
        <v>499</v>
      </c>
      <c r="M3435" t="s">
        <v>1098</v>
      </c>
      <c r="N3435" t="s">
        <v>1099</v>
      </c>
      <c r="O3435">
        <f>Table1[[#This Row],[Unit_Price]]*Table1[[#This Row],[Quantity]]</f>
        <v>80</v>
      </c>
    </row>
    <row r="3436" spans="1:15" x14ac:dyDescent="0.3">
      <c r="A3436" t="s">
        <v>5255</v>
      </c>
      <c r="B3436" t="s">
        <v>3404</v>
      </c>
      <c r="C3436" t="s">
        <v>191</v>
      </c>
      <c r="D3436" t="s">
        <v>1080</v>
      </c>
      <c r="E3436">
        <v>2</v>
      </c>
      <c r="F3436">
        <f>_xlfn.XLOOKUP(Table1[[#This Row],[ProductID]],Products!A:A,Products!D:D,,0)</f>
        <v>45</v>
      </c>
      <c r="I3436">
        <v>249</v>
      </c>
      <c r="J3436">
        <v>224</v>
      </c>
      <c r="K3436" t="s">
        <v>1107</v>
      </c>
      <c r="L3436">
        <v>448</v>
      </c>
      <c r="M3436" t="s">
        <v>1093</v>
      </c>
      <c r="N3436" t="s">
        <v>1099</v>
      </c>
      <c r="O3436">
        <f>Table1[[#This Row],[Unit_Price]]*Table1[[#This Row],[Quantity]]</f>
        <v>90</v>
      </c>
    </row>
    <row r="3437" spans="1:15" x14ac:dyDescent="0.3">
      <c r="A3437" t="s">
        <v>5256</v>
      </c>
      <c r="B3437" t="s">
        <v>2847</v>
      </c>
      <c r="C3437" t="s">
        <v>219</v>
      </c>
      <c r="D3437" t="s">
        <v>1078</v>
      </c>
      <c r="E3437">
        <v>1</v>
      </c>
      <c r="F3437">
        <f>_xlfn.XLOOKUP(Table1[[#This Row],[ProductID]],Products!A:A,Products!D:D,,0)</f>
        <v>80</v>
      </c>
      <c r="I3437">
        <v>499</v>
      </c>
      <c r="J3437">
        <v>424</v>
      </c>
      <c r="K3437" t="s">
        <v>1092</v>
      </c>
      <c r="L3437">
        <v>424</v>
      </c>
      <c r="M3437" t="s">
        <v>1098</v>
      </c>
      <c r="N3437" t="s">
        <v>1099</v>
      </c>
      <c r="O3437">
        <f>Table1[[#This Row],[Unit_Price]]*Table1[[#This Row],[Quantity]]</f>
        <v>80</v>
      </c>
    </row>
    <row r="3438" spans="1:15" x14ac:dyDescent="0.3">
      <c r="A3438" t="s">
        <v>5257</v>
      </c>
      <c r="B3438" t="s">
        <v>3470</v>
      </c>
      <c r="C3438" t="s">
        <v>447</v>
      </c>
      <c r="D3438" t="s">
        <v>1059</v>
      </c>
      <c r="E3438">
        <v>2</v>
      </c>
      <c r="F3438">
        <f>_xlfn.XLOOKUP(Table1[[#This Row],[ProductID]],Products!A:A,Products!D:D,,0)</f>
        <v>110</v>
      </c>
      <c r="I3438">
        <v>399</v>
      </c>
      <c r="J3438">
        <v>359</v>
      </c>
      <c r="K3438" t="s">
        <v>1107</v>
      </c>
      <c r="L3438">
        <v>718</v>
      </c>
      <c r="M3438" t="s">
        <v>1093</v>
      </c>
      <c r="N3438" t="s">
        <v>1094</v>
      </c>
      <c r="O3438">
        <f>Table1[[#This Row],[Unit_Price]]*Table1[[#This Row],[Quantity]]</f>
        <v>220</v>
      </c>
    </row>
    <row r="3439" spans="1:15" x14ac:dyDescent="0.3">
      <c r="A3439" t="s">
        <v>5258</v>
      </c>
      <c r="B3439" t="s">
        <v>1736</v>
      </c>
      <c r="C3439" t="s">
        <v>449</v>
      </c>
      <c r="D3439" t="s">
        <v>1080</v>
      </c>
      <c r="E3439">
        <v>1</v>
      </c>
      <c r="F3439">
        <f>_xlfn.XLOOKUP(Table1[[#This Row],[ProductID]],Products!A:A,Products!D:D,,0)</f>
        <v>45</v>
      </c>
      <c r="I3439">
        <v>249</v>
      </c>
      <c r="J3439">
        <v>199</v>
      </c>
      <c r="K3439" t="s">
        <v>1097</v>
      </c>
      <c r="L3439">
        <v>199</v>
      </c>
      <c r="M3439" t="s">
        <v>1093</v>
      </c>
      <c r="N3439" t="s">
        <v>1094</v>
      </c>
      <c r="O3439">
        <f>Table1[[#This Row],[Unit_Price]]*Table1[[#This Row],[Quantity]]</f>
        <v>45</v>
      </c>
    </row>
    <row r="3440" spans="1:15" x14ac:dyDescent="0.3">
      <c r="A3440" t="s">
        <v>5259</v>
      </c>
      <c r="B3440" t="s">
        <v>2485</v>
      </c>
      <c r="C3440" t="s">
        <v>945</v>
      </c>
      <c r="D3440" t="s">
        <v>1055</v>
      </c>
      <c r="E3440">
        <v>1</v>
      </c>
      <c r="F3440">
        <f>_xlfn.XLOOKUP(Table1[[#This Row],[ProductID]],Products!A:A,Products!D:D,,0)</f>
        <v>75</v>
      </c>
      <c r="I3440">
        <v>299</v>
      </c>
      <c r="J3440">
        <v>254</v>
      </c>
      <c r="K3440" t="s">
        <v>1092</v>
      </c>
      <c r="L3440">
        <v>254</v>
      </c>
      <c r="M3440" t="s">
        <v>1126</v>
      </c>
      <c r="N3440" t="s">
        <v>1099</v>
      </c>
      <c r="O3440">
        <f>Table1[[#This Row],[Unit_Price]]*Table1[[#This Row],[Quantity]]</f>
        <v>75</v>
      </c>
    </row>
    <row r="3441" spans="1:15" x14ac:dyDescent="0.3">
      <c r="A3441" t="s">
        <v>5260</v>
      </c>
      <c r="B3441" t="s">
        <v>5261</v>
      </c>
      <c r="C3441" t="s">
        <v>919</v>
      </c>
      <c r="D3441" t="s">
        <v>1078</v>
      </c>
      <c r="E3441">
        <v>4</v>
      </c>
      <c r="F3441">
        <f>_xlfn.XLOOKUP(Table1[[#This Row],[ProductID]],Products!A:A,Products!D:D,,0)</f>
        <v>80</v>
      </c>
      <c r="I3441">
        <v>499</v>
      </c>
      <c r="J3441">
        <v>399</v>
      </c>
      <c r="K3441" t="s">
        <v>1097</v>
      </c>
      <c r="L3441">
        <v>1596</v>
      </c>
      <c r="M3441" t="s">
        <v>1098</v>
      </c>
      <c r="N3441" t="s">
        <v>1099</v>
      </c>
      <c r="O3441">
        <f>Table1[[#This Row],[Unit_Price]]*Table1[[#This Row],[Quantity]]</f>
        <v>320</v>
      </c>
    </row>
    <row r="3442" spans="1:15" x14ac:dyDescent="0.3">
      <c r="A3442" t="s">
        <v>5262</v>
      </c>
      <c r="B3442" t="s">
        <v>1534</v>
      </c>
      <c r="C3442" t="s">
        <v>969</v>
      </c>
      <c r="D3442" t="s">
        <v>1059</v>
      </c>
      <c r="E3442">
        <v>1</v>
      </c>
      <c r="F3442">
        <f>_xlfn.XLOOKUP(Table1[[#This Row],[ProductID]],Products!A:A,Products!D:D,,0)</f>
        <v>110</v>
      </c>
      <c r="I3442">
        <v>399</v>
      </c>
      <c r="J3442">
        <v>359</v>
      </c>
      <c r="K3442" t="s">
        <v>1107</v>
      </c>
      <c r="L3442">
        <v>359</v>
      </c>
      <c r="M3442" t="s">
        <v>1093</v>
      </c>
      <c r="N3442" t="s">
        <v>1094</v>
      </c>
      <c r="O3442">
        <f>Table1[[#This Row],[Unit_Price]]*Table1[[#This Row],[Quantity]]</f>
        <v>110</v>
      </c>
    </row>
    <row r="3443" spans="1:15" x14ac:dyDescent="0.3">
      <c r="A3443" t="s">
        <v>5263</v>
      </c>
      <c r="B3443" t="s">
        <v>2518</v>
      </c>
      <c r="C3443" t="s">
        <v>647</v>
      </c>
      <c r="D3443" t="s">
        <v>1055</v>
      </c>
      <c r="E3443">
        <v>2</v>
      </c>
      <c r="F3443">
        <f>_xlfn.XLOOKUP(Table1[[#This Row],[ProductID]],Products!A:A,Products!D:D,,0)</f>
        <v>75</v>
      </c>
      <c r="I3443">
        <v>299</v>
      </c>
      <c r="J3443">
        <v>254</v>
      </c>
      <c r="K3443" t="s">
        <v>1092</v>
      </c>
      <c r="L3443">
        <v>508</v>
      </c>
      <c r="M3443" t="s">
        <v>1093</v>
      </c>
      <c r="N3443" t="s">
        <v>1094</v>
      </c>
      <c r="O3443">
        <f>Table1[[#This Row],[Unit_Price]]*Table1[[#This Row],[Quantity]]</f>
        <v>150</v>
      </c>
    </row>
    <row r="3444" spans="1:15" x14ac:dyDescent="0.3">
      <c r="A3444" t="s">
        <v>5264</v>
      </c>
      <c r="B3444" t="s">
        <v>2027</v>
      </c>
      <c r="C3444" t="s">
        <v>451</v>
      </c>
      <c r="D3444" t="s">
        <v>1048</v>
      </c>
      <c r="E3444">
        <v>2</v>
      </c>
      <c r="F3444">
        <f>_xlfn.XLOOKUP(Table1[[#This Row],[ProductID]],Products!A:A,Products!D:D,,0)</f>
        <v>120</v>
      </c>
      <c r="I3444">
        <v>599</v>
      </c>
      <c r="J3444">
        <v>509</v>
      </c>
      <c r="K3444" t="s">
        <v>1092</v>
      </c>
      <c r="L3444">
        <v>1018</v>
      </c>
      <c r="M3444" t="s">
        <v>1098</v>
      </c>
      <c r="N3444" t="s">
        <v>1123</v>
      </c>
      <c r="O3444">
        <f>Table1[[#This Row],[Unit_Price]]*Table1[[#This Row],[Quantity]]</f>
        <v>240</v>
      </c>
    </row>
    <row r="3445" spans="1:15" x14ac:dyDescent="0.3">
      <c r="A3445" t="s">
        <v>5265</v>
      </c>
      <c r="B3445" t="s">
        <v>2481</v>
      </c>
      <c r="C3445" t="s">
        <v>489</v>
      </c>
      <c r="D3445" t="s">
        <v>1078</v>
      </c>
      <c r="E3445">
        <v>2</v>
      </c>
      <c r="F3445">
        <f>_xlfn.XLOOKUP(Table1[[#This Row],[ProductID]],Products!A:A,Products!D:D,,0)</f>
        <v>80</v>
      </c>
      <c r="I3445">
        <v>499</v>
      </c>
      <c r="J3445">
        <v>449</v>
      </c>
      <c r="K3445" t="s">
        <v>1107</v>
      </c>
      <c r="L3445">
        <v>898</v>
      </c>
      <c r="M3445" t="s">
        <v>1098</v>
      </c>
      <c r="N3445" t="s">
        <v>1099</v>
      </c>
      <c r="O3445">
        <f>Table1[[#This Row],[Unit_Price]]*Table1[[#This Row],[Quantity]]</f>
        <v>160</v>
      </c>
    </row>
    <row r="3446" spans="1:15" x14ac:dyDescent="0.3">
      <c r="A3446" t="s">
        <v>5266</v>
      </c>
      <c r="B3446" t="s">
        <v>3694</v>
      </c>
      <c r="C3446" t="s">
        <v>7</v>
      </c>
      <c r="D3446" t="s">
        <v>1059</v>
      </c>
      <c r="E3446">
        <v>1</v>
      </c>
      <c r="F3446">
        <f>_xlfn.XLOOKUP(Table1[[#This Row],[ProductID]],Products!A:A,Products!D:D,,0)</f>
        <v>110</v>
      </c>
      <c r="I3446">
        <v>399</v>
      </c>
      <c r="J3446">
        <v>399</v>
      </c>
      <c r="K3446" t="s">
        <v>1102</v>
      </c>
      <c r="L3446">
        <v>399</v>
      </c>
      <c r="M3446" t="s">
        <v>1093</v>
      </c>
      <c r="N3446" t="s">
        <v>1099</v>
      </c>
      <c r="O3446">
        <f>Table1[[#This Row],[Unit_Price]]*Table1[[#This Row],[Quantity]]</f>
        <v>110</v>
      </c>
    </row>
    <row r="3447" spans="1:15" x14ac:dyDescent="0.3">
      <c r="A3447" t="s">
        <v>5267</v>
      </c>
      <c r="B3447" t="s">
        <v>2949</v>
      </c>
      <c r="C3447" t="s">
        <v>651</v>
      </c>
      <c r="D3447" t="s">
        <v>1075</v>
      </c>
      <c r="E3447">
        <v>1</v>
      </c>
      <c r="F3447">
        <f>_xlfn.XLOOKUP(Table1[[#This Row],[ProductID]],Products!A:A,Products!D:D,,0)</f>
        <v>80</v>
      </c>
      <c r="I3447">
        <v>499</v>
      </c>
      <c r="J3447">
        <v>424</v>
      </c>
      <c r="K3447" t="s">
        <v>1092</v>
      </c>
      <c r="L3447">
        <v>424</v>
      </c>
      <c r="M3447" t="s">
        <v>1126</v>
      </c>
      <c r="N3447" t="s">
        <v>1099</v>
      </c>
      <c r="O3447">
        <f>Table1[[#This Row],[Unit_Price]]*Table1[[#This Row],[Quantity]]</f>
        <v>80</v>
      </c>
    </row>
    <row r="3448" spans="1:15" x14ac:dyDescent="0.3">
      <c r="A3448" t="s">
        <v>5268</v>
      </c>
      <c r="B3448" t="s">
        <v>1865</v>
      </c>
      <c r="C3448" t="s">
        <v>425</v>
      </c>
      <c r="D3448" t="s">
        <v>1053</v>
      </c>
      <c r="E3448">
        <v>2</v>
      </c>
      <c r="F3448">
        <f>_xlfn.XLOOKUP(Table1[[#This Row],[ProductID]],Products!A:A,Products!D:D,,0)</f>
        <v>200</v>
      </c>
      <c r="I3448">
        <v>899</v>
      </c>
      <c r="J3448">
        <v>899</v>
      </c>
      <c r="K3448" t="s">
        <v>1102</v>
      </c>
      <c r="L3448">
        <v>1798</v>
      </c>
      <c r="M3448" t="s">
        <v>1098</v>
      </c>
      <c r="N3448" t="s">
        <v>1099</v>
      </c>
      <c r="O3448">
        <f>Table1[[#This Row],[Unit_Price]]*Table1[[#This Row],[Quantity]]</f>
        <v>400</v>
      </c>
    </row>
    <row r="3449" spans="1:15" x14ac:dyDescent="0.3">
      <c r="A3449" t="s">
        <v>5269</v>
      </c>
      <c r="B3449" t="s">
        <v>2370</v>
      </c>
      <c r="C3449" t="s">
        <v>731</v>
      </c>
      <c r="D3449" t="s">
        <v>1055</v>
      </c>
      <c r="E3449">
        <v>2</v>
      </c>
      <c r="F3449">
        <f>_xlfn.XLOOKUP(Table1[[#This Row],[ProductID]],Products!A:A,Products!D:D,,0)</f>
        <v>75</v>
      </c>
      <c r="I3449">
        <v>299</v>
      </c>
      <c r="J3449">
        <v>254</v>
      </c>
      <c r="K3449" t="s">
        <v>1092</v>
      </c>
      <c r="L3449">
        <v>508</v>
      </c>
      <c r="M3449" t="s">
        <v>1093</v>
      </c>
      <c r="N3449" t="s">
        <v>1094</v>
      </c>
      <c r="O3449">
        <f>Table1[[#This Row],[Unit_Price]]*Table1[[#This Row],[Quantity]]</f>
        <v>150</v>
      </c>
    </row>
    <row r="3450" spans="1:15" x14ac:dyDescent="0.3">
      <c r="A3450" t="s">
        <v>5270</v>
      </c>
      <c r="B3450" t="s">
        <v>1392</v>
      </c>
      <c r="C3450" t="s">
        <v>915</v>
      </c>
      <c r="D3450" t="s">
        <v>1062</v>
      </c>
      <c r="E3450">
        <v>1</v>
      </c>
      <c r="F3450">
        <f>_xlfn.XLOOKUP(Table1[[#This Row],[ProductID]],Products!A:A,Products!D:D,,0)</f>
        <v>95</v>
      </c>
      <c r="I3450">
        <v>349</v>
      </c>
      <c r="J3450">
        <v>279</v>
      </c>
      <c r="K3450" t="s">
        <v>1097</v>
      </c>
      <c r="L3450">
        <v>279</v>
      </c>
      <c r="M3450" t="s">
        <v>1098</v>
      </c>
      <c r="N3450" t="s">
        <v>1094</v>
      </c>
      <c r="O3450">
        <f>Table1[[#This Row],[Unit_Price]]*Table1[[#This Row],[Quantity]]</f>
        <v>95</v>
      </c>
    </row>
    <row r="3451" spans="1:15" x14ac:dyDescent="0.3">
      <c r="A3451" t="s">
        <v>5271</v>
      </c>
      <c r="B3451" t="s">
        <v>3030</v>
      </c>
      <c r="C3451" t="s">
        <v>52</v>
      </c>
      <c r="D3451" t="s">
        <v>1078</v>
      </c>
      <c r="E3451">
        <v>4</v>
      </c>
      <c r="F3451">
        <f>_xlfn.XLOOKUP(Table1[[#This Row],[ProductID]],Products!A:A,Products!D:D,,0)</f>
        <v>80</v>
      </c>
      <c r="I3451">
        <v>499</v>
      </c>
      <c r="J3451">
        <v>399</v>
      </c>
      <c r="K3451" t="s">
        <v>1097</v>
      </c>
      <c r="L3451">
        <v>1596</v>
      </c>
      <c r="M3451" t="s">
        <v>1093</v>
      </c>
      <c r="N3451" t="s">
        <v>1099</v>
      </c>
      <c r="O3451">
        <f>Table1[[#This Row],[Unit_Price]]*Table1[[#This Row],[Quantity]]</f>
        <v>320</v>
      </c>
    </row>
    <row r="3452" spans="1:15" x14ac:dyDescent="0.3">
      <c r="A3452" t="s">
        <v>5272</v>
      </c>
      <c r="B3452" t="s">
        <v>1341</v>
      </c>
      <c r="C3452" t="s">
        <v>789</v>
      </c>
      <c r="D3452" t="s">
        <v>1078</v>
      </c>
      <c r="E3452">
        <v>3</v>
      </c>
      <c r="F3452">
        <f>_xlfn.XLOOKUP(Table1[[#This Row],[ProductID]],Products!A:A,Products!D:D,,0)</f>
        <v>80</v>
      </c>
      <c r="I3452">
        <v>499</v>
      </c>
      <c r="J3452">
        <v>499</v>
      </c>
      <c r="K3452" t="s">
        <v>1102</v>
      </c>
      <c r="L3452">
        <v>1497</v>
      </c>
      <c r="M3452" t="s">
        <v>1093</v>
      </c>
      <c r="N3452" t="s">
        <v>1099</v>
      </c>
      <c r="O3452">
        <f>Table1[[#This Row],[Unit_Price]]*Table1[[#This Row],[Quantity]]</f>
        <v>240</v>
      </c>
    </row>
    <row r="3453" spans="1:15" x14ac:dyDescent="0.3">
      <c r="A3453" t="s">
        <v>5273</v>
      </c>
      <c r="B3453" t="s">
        <v>1386</v>
      </c>
      <c r="C3453" t="s">
        <v>575</v>
      </c>
      <c r="D3453" t="s">
        <v>1075</v>
      </c>
      <c r="E3453">
        <v>2</v>
      </c>
      <c r="F3453">
        <f>_xlfn.XLOOKUP(Table1[[#This Row],[ProductID]],Products!A:A,Products!D:D,,0)</f>
        <v>80</v>
      </c>
      <c r="I3453">
        <v>499</v>
      </c>
      <c r="J3453">
        <v>449</v>
      </c>
      <c r="K3453" t="s">
        <v>1107</v>
      </c>
      <c r="L3453">
        <v>898</v>
      </c>
      <c r="M3453" t="s">
        <v>1098</v>
      </c>
      <c r="N3453" t="s">
        <v>1099</v>
      </c>
      <c r="O3453">
        <f>Table1[[#This Row],[Unit_Price]]*Table1[[#This Row],[Quantity]]</f>
        <v>160</v>
      </c>
    </row>
    <row r="3454" spans="1:15" x14ac:dyDescent="0.3">
      <c r="A3454" t="s">
        <v>5274</v>
      </c>
      <c r="B3454" t="s">
        <v>2316</v>
      </c>
      <c r="C3454" t="s">
        <v>499</v>
      </c>
      <c r="D3454" t="s">
        <v>1059</v>
      </c>
      <c r="E3454">
        <v>1</v>
      </c>
      <c r="F3454">
        <f>_xlfn.XLOOKUP(Table1[[#This Row],[ProductID]],Products!A:A,Products!D:D,,0)</f>
        <v>110</v>
      </c>
      <c r="I3454">
        <v>399</v>
      </c>
      <c r="J3454">
        <v>399</v>
      </c>
      <c r="K3454" t="s">
        <v>1102</v>
      </c>
      <c r="L3454">
        <v>399</v>
      </c>
      <c r="M3454" t="s">
        <v>1098</v>
      </c>
      <c r="N3454" t="s">
        <v>1099</v>
      </c>
      <c r="O3454">
        <f>Table1[[#This Row],[Unit_Price]]*Table1[[#This Row],[Quantity]]</f>
        <v>110</v>
      </c>
    </row>
    <row r="3455" spans="1:15" x14ac:dyDescent="0.3">
      <c r="A3455" t="s">
        <v>5275</v>
      </c>
      <c r="B3455" t="s">
        <v>2487</v>
      </c>
      <c r="C3455" t="s">
        <v>44</v>
      </c>
      <c r="D3455" t="s">
        <v>1062</v>
      </c>
      <c r="E3455">
        <v>1</v>
      </c>
      <c r="F3455">
        <f>_xlfn.XLOOKUP(Table1[[#This Row],[ProductID]],Products!A:A,Products!D:D,,0)</f>
        <v>95</v>
      </c>
      <c r="I3455">
        <v>349</v>
      </c>
      <c r="J3455">
        <v>279</v>
      </c>
      <c r="K3455" t="s">
        <v>1097</v>
      </c>
      <c r="L3455">
        <v>279</v>
      </c>
      <c r="M3455" t="s">
        <v>1126</v>
      </c>
      <c r="N3455" t="s">
        <v>1099</v>
      </c>
      <c r="O3455">
        <f>Table1[[#This Row],[Unit_Price]]*Table1[[#This Row],[Quantity]]</f>
        <v>95</v>
      </c>
    </row>
    <row r="3456" spans="1:15" x14ac:dyDescent="0.3">
      <c r="A3456" t="s">
        <v>5276</v>
      </c>
      <c r="B3456" t="s">
        <v>1381</v>
      </c>
      <c r="C3456" t="s">
        <v>851</v>
      </c>
      <c r="D3456" t="s">
        <v>1080</v>
      </c>
      <c r="E3456">
        <v>1</v>
      </c>
      <c r="F3456">
        <f>_xlfn.XLOOKUP(Table1[[#This Row],[ProductID]],Products!A:A,Products!D:D,,0)</f>
        <v>45</v>
      </c>
      <c r="I3456">
        <v>249</v>
      </c>
      <c r="J3456">
        <v>224</v>
      </c>
      <c r="K3456" t="s">
        <v>1107</v>
      </c>
      <c r="L3456">
        <v>224</v>
      </c>
      <c r="M3456" t="s">
        <v>1093</v>
      </c>
      <c r="N3456" t="s">
        <v>1099</v>
      </c>
      <c r="O3456">
        <f>Table1[[#This Row],[Unit_Price]]*Table1[[#This Row],[Quantity]]</f>
        <v>45</v>
      </c>
    </row>
    <row r="3457" spans="1:15" x14ac:dyDescent="0.3">
      <c r="A3457" t="s">
        <v>5277</v>
      </c>
      <c r="B3457" t="s">
        <v>2198</v>
      </c>
      <c r="C3457" t="s">
        <v>677</v>
      </c>
      <c r="D3457" t="s">
        <v>1078</v>
      </c>
      <c r="E3457">
        <v>1</v>
      </c>
      <c r="F3457">
        <f>_xlfn.XLOOKUP(Table1[[#This Row],[ProductID]],Products!A:A,Products!D:D,,0)</f>
        <v>80</v>
      </c>
      <c r="I3457">
        <v>499</v>
      </c>
      <c r="J3457">
        <v>449</v>
      </c>
      <c r="K3457" t="s">
        <v>1107</v>
      </c>
      <c r="L3457">
        <v>449</v>
      </c>
      <c r="M3457" t="s">
        <v>1098</v>
      </c>
      <c r="N3457" t="s">
        <v>1123</v>
      </c>
      <c r="O3457">
        <f>Table1[[#This Row],[Unit_Price]]*Table1[[#This Row],[Quantity]]</f>
        <v>80</v>
      </c>
    </row>
    <row r="3458" spans="1:15" x14ac:dyDescent="0.3">
      <c r="A3458" t="s">
        <v>5278</v>
      </c>
      <c r="B3458" t="s">
        <v>4662</v>
      </c>
      <c r="C3458" t="s">
        <v>847</v>
      </c>
      <c r="D3458" t="s">
        <v>1075</v>
      </c>
      <c r="E3458">
        <v>1</v>
      </c>
      <c r="F3458">
        <f>_xlfn.XLOOKUP(Table1[[#This Row],[ProductID]],Products!A:A,Products!D:D,,0)</f>
        <v>80</v>
      </c>
      <c r="I3458">
        <v>499</v>
      </c>
      <c r="J3458">
        <v>449</v>
      </c>
      <c r="K3458" t="s">
        <v>1107</v>
      </c>
      <c r="L3458">
        <v>449</v>
      </c>
      <c r="M3458" t="s">
        <v>1093</v>
      </c>
      <c r="N3458" t="s">
        <v>1099</v>
      </c>
      <c r="O3458">
        <f>Table1[[#This Row],[Unit_Price]]*Table1[[#This Row],[Quantity]]</f>
        <v>80</v>
      </c>
    </row>
    <row r="3459" spans="1:15" x14ac:dyDescent="0.3">
      <c r="A3459" t="s">
        <v>5279</v>
      </c>
      <c r="B3459" t="s">
        <v>3865</v>
      </c>
      <c r="C3459" t="s">
        <v>331</v>
      </c>
      <c r="D3459" t="s">
        <v>1073</v>
      </c>
      <c r="E3459">
        <v>2</v>
      </c>
      <c r="F3459">
        <f>_xlfn.XLOOKUP(Table1[[#This Row],[ProductID]],Products!A:A,Products!D:D,,0)</f>
        <v>100</v>
      </c>
      <c r="I3459">
        <v>349</v>
      </c>
      <c r="J3459">
        <v>314</v>
      </c>
      <c r="K3459" t="s">
        <v>1107</v>
      </c>
      <c r="L3459">
        <v>628</v>
      </c>
      <c r="M3459" t="s">
        <v>1098</v>
      </c>
      <c r="N3459" t="s">
        <v>1099</v>
      </c>
      <c r="O3459">
        <f>Table1[[#This Row],[Unit_Price]]*Table1[[#This Row],[Quantity]]</f>
        <v>200</v>
      </c>
    </row>
    <row r="3460" spans="1:15" x14ac:dyDescent="0.3">
      <c r="A3460" t="s">
        <v>5280</v>
      </c>
      <c r="B3460" t="s">
        <v>2778</v>
      </c>
      <c r="C3460" t="s">
        <v>917</v>
      </c>
      <c r="D3460" t="s">
        <v>1059</v>
      </c>
      <c r="E3460">
        <v>1</v>
      </c>
      <c r="F3460">
        <f>_xlfn.XLOOKUP(Table1[[#This Row],[ProductID]],Products!A:A,Products!D:D,,0)</f>
        <v>110</v>
      </c>
      <c r="I3460">
        <v>399</v>
      </c>
      <c r="J3460">
        <v>339</v>
      </c>
      <c r="K3460" t="s">
        <v>1092</v>
      </c>
      <c r="L3460">
        <v>339</v>
      </c>
      <c r="M3460" t="s">
        <v>1093</v>
      </c>
      <c r="N3460" t="s">
        <v>1123</v>
      </c>
      <c r="O3460">
        <f>Table1[[#This Row],[Unit_Price]]*Table1[[#This Row],[Quantity]]</f>
        <v>110</v>
      </c>
    </row>
    <row r="3461" spans="1:15" x14ac:dyDescent="0.3">
      <c r="A3461" t="s">
        <v>5281</v>
      </c>
      <c r="B3461" t="s">
        <v>3591</v>
      </c>
      <c r="C3461" t="s">
        <v>995</v>
      </c>
      <c r="D3461" t="s">
        <v>1048</v>
      </c>
      <c r="E3461">
        <v>2</v>
      </c>
      <c r="F3461">
        <f>_xlfn.XLOOKUP(Table1[[#This Row],[ProductID]],Products!A:A,Products!D:D,,0)</f>
        <v>120</v>
      </c>
      <c r="I3461">
        <v>599</v>
      </c>
      <c r="J3461">
        <v>479</v>
      </c>
      <c r="K3461" t="s">
        <v>1097</v>
      </c>
      <c r="L3461">
        <v>958</v>
      </c>
      <c r="M3461" t="s">
        <v>1093</v>
      </c>
      <c r="N3461" t="s">
        <v>1099</v>
      </c>
      <c r="O3461">
        <f>Table1[[#This Row],[Unit_Price]]*Table1[[#This Row],[Quantity]]</f>
        <v>240</v>
      </c>
    </row>
    <row r="3462" spans="1:15" x14ac:dyDescent="0.3">
      <c r="A3462" t="s">
        <v>5282</v>
      </c>
      <c r="B3462" t="s">
        <v>1196</v>
      </c>
      <c r="C3462" t="s">
        <v>379</v>
      </c>
      <c r="D3462" t="s">
        <v>1059</v>
      </c>
      <c r="E3462">
        <v>1</v>
      </c>
      <c r="F3462">
        <f>_xlfn.XLOOKUP(Table1[[#This Row],[ProductID]],Products!A:A,Products!D:D,,0)</f>
        <v>110</v>
      </c>
      <c r="I3462">
        <v>399</v>
      </c>
      <c r="J3462">
        <v>319</v>
      </c>
      <c r="K3462" t="s">
        <v>1097</v>
      </c>
      <c r="L3462">
        <v>319</v>
      </c>
      <c r="M3462" t="s">
        <v>1093</v>
      </c>
      <c r="N3462" t="s">
        <v>1094</v>
      </c>
      <c r="O3462">
        <f>Table1[[#This Row],[Unit_Price]]*Table1[[#This Row],[Quantity]]</f>
        <v>110</v>
      </c>
    </row>
    <row r="3463" spans="1:15" x14ac:dyDescent="0.3">
      <c r="A3463" t="s">
        <v>5283</v>
      </c>
      <c r="B3463" t="s">
        <v>2324</v>
      </c>
      <c r="C3463" t="s">
        <v>669</v>
      </c>
      <c r="D3463" t="s">
        <v>1057</v>
      </c>
      <c r="E3463">
        <v>2</v>
      </c>
      <c r="F3463">
        <f>_xlfn.XLOOKUP(Table1[[#This Row],[ProductID]],Products!A:A,Products!D:D,,0)</f>
        <v>130</v>
      </c>
      <c r="I3463">
        <v>549</v>
      </c>
      <c r="J3463">
        <v>467</v>
      </c>
      <c r="K3463" t="s">
        <v>1092</v>
      </c>
      <c r="L3463">
        <v>934</v>
      </c>
      <c r="M3463" t="s">
        <v>1118</v>
      </c>
      <c r="N3463" t="s">
        <v>1099</v>
      </c>
      <c r="O3463">
        <f>Table1[[#This Row],[Unit_Price]]*Table1[[#This Row],[Quantity]]</f>
        <v>260</v>
      </c>
    </row>
    <row r="3464" spans="1:15" x14ac:dyDescent="0.3">
      <c r="A3464" t="s">
        <v>5284</v>
      </c>
      <c r="B3464" t="s">
        <v>3032</v>
      </c>
      <c r="C3464" t="s">
        <v>37</v>
      </c>
      <c r="D3464" t="s">
        <v>1048</v>
      </c>
      <c r="E3464">
        <v>1</v>
      </c>
      <c r="F3464">
        <f>_xlfn.XLOOKUP(Table1[[#This Row],[ProductID]],Products!A:A,Products!D:D,,0)</f>
        <v>120</v>
      </c>
      <c r="I3464">
        <v>599</v>
      </c>
      <c r="J3464">
        <v>479</v>
      </c>
      <c r="K3464" t="s">
        <v>1097</v>
      </c>
      <c r="L3464">
        <v>479</v>
      </c>
      <c r="M3464" t="s">
        <v>1098</v>
      </c>
      <c r="N3464" t="s">
        <v>1099</v>
      </c>
      <c r="O3464">
        <f>Table1[[#This Row],[Unit_Price]]*Table1[[#This Row],[Quantity]]</f>
        <v>120</v>
      </c>
    </row>
    <row r="3465" spans="1:15" x14ac:dyDescent="0.3">
      <c r="A3465" t="s">
        <v>5285</v>
      </c>
      <c r="B3465" t="s">
        <v>2132</v>
      </c>
      <c r="C3465" t="s">
        <v>979</v>
      </c>
      <c r="D3465" t="s">
        <v>1078</v>
      </c>
      <c r="E3465">
        <v>3</v>
      </c>
      <c r="F3465">
        <f>_xlfn.XLOOKUP(Table1[[#This Row],[ProductID]],Products!A:A,Products!D:D,,0)</f>
        <v>80</v>
      </c>
      <c r="I3465">
        <v>499</v>
      </c>
      <c r="J3465">
        <v>399</v>
      </c>
      <c r="K3465" t="s">
        <v>1097</v>
      </c>
      <c r="L3465">
        <v>1197</v>
      </c>
      <c r="M3465" t="s">
        <v>1098</v>
      </c>
      <c r="N3465" t="s">
        <v>1099</v>
      </c>
      <c r="O3465">
        <f>Table1[[#This Row],[Unit_Price]]*Table1[[#This Row],[Quantity]]</f>
        <v>240</v>
      </c>
    </row>
    <row r="3466" spans="1:15" x14ac:dyDescent="0.3">
      <c r="A3466" t="s">
        <v>5286</v>
      </c>
      <c r="B3466" t="s">
        <v>2389</v>
      </c>
      <c r="C3466" t="s">
        <v>845</v>
      </c>
      <c r="D3466" t="s">
        <v>1055</v>
      </c>
      <c r="E3466">
        <v>1</v>
      </c>
      <c r="F3466">
        <f>_xlfn.XLOOKUP(Table1[[#This Row],[ProductID]],Products!A:A,Products!D:D,,0)</f>
        <v>75</v>
      </c>
      <c r="I3466">
        <v>299</v>
      </c>
      <c r="J3466">
        <v>239</v>
      </c>
      <c r="K3466" t="s">
        <v>1097</v>
      </c>
      <c r="L3466">
        <v>239</v>
      </c>
      <c r="M3466" t="s">
        <v>1098</v>
      </c>
      <c r="N3466" t="s">
        <v>1099</v>
      </c>
      <c r="O3466">
        <f>Table1[[#This Row],[Unit_Price]]*Table1[[#This Row],[Quantity]]</f>
        <v>75</v>
      </c>
    </row>
    <row r="3467" spans="1:15" x14ac:dyDescent="0.3">
      <c r="A3467" t="s">
        <v>5287</v>
      </c>
      <c r="B3467" t="s">
        <v>1531</v>
      </c>
      <c r="C3467" t="s">
        <v>287</v>
      </c>
      <c r="D3467" t="s">
        <v>1051</v>
      </c>
      <c r="E3467">
        <v>1</v>
      </c>
      <c r="F3467">
        <f>_xlfn.XLOOKUP(Table1[[#This Row],[ProductID]],Products!A:A,Products!D:D,,0)</f>
        <v>150</v>
      </c>
      <c r="I3467">
        <v>499</v>
      </c>
      <c r="J3467">
        <v>449</v>
      </c>
      <c r="K3467" t="s">
        <v>1107</v>
      </c>
      <c r="L3467">
        <v>449</v>
      </c>
      <c r="M3467" t="s">
        <v>1098</v>
      </c>
      <c r="N3467" t="s">
        <v>1123</v>
      </c>
      <c r="O3467">
        <f>Table1[[#This Row],[Unit_Price]]*Table1[[#This Row],[Quantity]]</f>
        <v>150</v>
      </c>
    </row>
    <row r="3468" spans="1:15" x14ac:dyDescent="0.3">
      <c r="A3468" t="s">
        <v>5288</v>
      </c>
      <c r="B3468" t="s">
        <v>1572</v>
      </c>
      <c r="C3468" t="s">
        <v>991</v>
      </c>
      <c r="D3468" t="s">
        <v>1051</v>
      </c>
      <c r="E3468">
        <v>1</v>
      </c>
      <c r="F3468">
        <f>_xlfn.XLOOKUP(Table1[[#This Row],[ProductID]],Products!A:A,Products!D:D,,0)</f>
        <v>150</v>
      </c>
      <c r="I3468">
        <v>499</v>
      </c>
      <c r="J3468">
        <v>424</v>
      </c>
      <c r="K3468" t="s">
        <v>1092</v>
      </c>
      <c r="L3468">
        <v>424</v>
      </c>
      <c r="M3468" t="s">
        <v>1093</v>
      </c>
      <c r="N3468" t="s">
        <v>1094</v>
      </c>
      <c r="O3468">
        <f>Table1[[#This Row],[Unit_Price]]*Table1[[#This Row],[Quantity]]</f>
        <v>150</v>
      </c>
    </row>
    <row r="3469" spans="1:15" x14ac:dyDescent="0.3">
      <c r="A3469" t="s">
        <v>5289</v>
      </c>
      <c r="B3469" t="s">
        <v>1132</v>
      </c>
      <c r="C3469" t="s">
        <v>717</v>
      </c>
      <c r="D3469" t="s">
        <v>1051</v>
      </c>
      <c r="E3469">
        <v>1</v>
      </c>
      <c r="F3469">
        <f>_xlfn.XLOOKUP(Table1[[#This Row],[ProductID]],Products!A:A,Products!D:D,,0)</f>
        <v>150</v>
      </c>
      <c r="I3469">
        <v>499</v>
      </c>
      <c r="J3469">
        <v>399</v>
      </c>
      <c r="K3469" t="s">
        <v>1097</v>
      </c>
      <c r="L3469">
        <v>399</v>
      </c>
      <c r="M3469" t="s">
        <v>1098</v>
      </c>
      <c r="N3469" t="s">
        <v>1099</v>
      </c>
      <c r="O3469">
        <f>Table1[[#This Row],[Unit_Price]]*Table1[[#This Row],[Quantity]]</f>
        <v>150</v>
      </c>
    </row>
    <row r="3470" spans="1:15" x14ac:dyDescent="0.3">
      <c r="A3470" t="s">
        <v>5290</v>
      </c>
      <c r="B3470" t="s">
        <v>1246</v>
      </c>
      <c r="C3470" t="s">
        <v>14</v>
      </c>
      <c r="D3470" t="s">
        <v>1059</v>
      </c>
      <c r="E3470">
        <v>1</v>
      </c>
      <c r="F3470">
        <f>_xlfn.XLOOKUP(Table1[[#This Row],[ProductID]],Products!A:A,Products!D:D,,0)</f>
        <v>110</v>
      </c>
      <c r="I3470">
        <v>399</v>
      </c>
      <c r="J3470">
        <v>339</v>
      </c>
      <c r="K3470" t="s">
        <v>1092</v>
      </c>
      <c r="L3470">
        <v>339</v>
      </c>
      <c r="M3470" t="s">
        <v>1126</v>
      </c>
      <c r="N3470" t="s">
        <v>1099</v>
      </c>
      <c r="O3470">
        <f>Table1[[#This Row],[Unit_Price]]*Table1[[#This Row],[Quantity]]</f>
        <v>110</v>
      </c>
    </row>
    <row r="3471" spans="1:15" x14ac:dyDescent="0.3">
      <c r="A3471" t="s">
        <v>5291</v>
      </c>
      <c r="B3471" t="s">
        <v>3051</v>
      </c>
      <c r="C3471" t="s">
        <v>271</v>
      </c>
      <c r="D3471" t="s">
        <v>1066</v>
      </c>
      <c r="E3471">
        <v>1</v>
      </c>
      <c r="F3471">
        <f>_xlfn.XLOOKUP(Table1[[#This Row],[ProductID]],Products!A:A,Products!D:D,,0)</f>
        <v>140</v>
      </c>
      <c r="I3471">
        <v>499</v>
      </c>
      <c r="J3471">
        <v>399</v>
      </c>
      <c r="K3471" t="s">
        <v>1097</v>
      </c>
      <c r="L3471">
        <v>399</v>
      </c>
      <c r="M3471" t="s">
        <v>1098</v>
      </c>
      <c r="N3471" t="s">
        <v>1099</v>
      </c>
      <c r="O3471">
        <f>Table1[[#This Row],[Unit_Price]]*Table1[[#This Row],[Quantity]]</f>
        <v>140</v>
      </c>
    </row>
    <row r="3472" spans="1:15" x14ac:dyDescent="0.3">
      <c r="A3472" t="s">
        <v>5292</v>
      </c>
      <c r="B3472" t="s">
        <v>2418</v>
      </c>
      <c r="C3472" t="s">
        <v>275</v>
      </c>
      <c r="D3472" t="s">
        <v>1053</v>
      </c>
      <c r="E3472">
        <v>3</v>
      </c>
      <c r="F3472">
        <f>_xlfn.XLOOKUP(Table1[[#This Row],[ProductID]],Products!A:A,Products!D:D,,0)</f>
        <v>200</v>
      </c>
      <c r="I3472">
        <v>899</v>
      </c>
      <c r="J3472">
        <v>899</v>
      </c>
      <c r="K3472" t="s">
        <v>1102</v>
      </c>
      <c r="L3472">
        <v>2697</v>
      </c>
      <c r="M3472" t="s">
        <v>1098</v>
      </c>
      <c r="N3472" t="s">
        <v>1099</v>
      </c>
      <c r="O3472">
        <f>Table1[[#This Row],[Unit_Price]]*Table1[[#This Row],[Quantity]]</f>
        <v>600</v>
      </c>
    </row>
    <row r="3473" spans="1:15" x14ac:dyDescent="0.3">
      <c r="A3473" t="s">
        <v>5293</v>
      </c>
      <c r="B3473" t="s">
        <v>1507</v>
      </c>
      <c r="C3473" t="s">
        <v>819</v>
      </c>
      <c r="D3473" t="s">
        <v>1068</v>
      </c>
      <c r="E3473">
        <v>2</v>
      </c>
      <c r="F3473">
        <f>_xlfn.XLOOKUP(Table1[[#This Row],[ProductID]],Products!A:A,Products!D:D,,0)</f>
        <v>180</v>
      </c>
      <c r="I3473">
        <v>449</v>
      </c>
      <c r="J3473">
        <v>404</v>
      </c>
      <c r="K3473" t="s">
        <v>1107</v>
      </c>
      <c r="L3473">
        <v>808</v>
      </c>
      <c r="M3473" t="s">
        <v>1126</v>
      </c>
      <c r="N3473" t="s">
        <v>1099</v>
      </c>
      <c r="O3473">
        <f>Table1[[#This Row],[Unit_Price]]*Table1[[#This Row],[Quantity]]</f>
        <v>360</v>
      </c>
    </row>
    <row r="3474" spans="1:15" x14ac:dyDescent="0.3">
      <c r="A3474" t="s">
        <v>5294</v>
      </c>
      <c r="B3474" t="s">
        <v>1963</v>
      </c>
      <c r="C3474" t="s">
        <v>369</v>
      </c>
      <c r="D3474" t="s">
        <v>1071</v>
      </c>
      <c r="E3474">
        <v>2</v>
      </c>
      <c r="F3474">
        <f>_xlfn.XLOOKUP(Table1[[#This Row],[ProductID]],Products!A:A,Products!D:D,,0)</f>
        <v>125</v>
      </c>
      <c r="I3474">
        <v>399</v>
      </c>
      <c r="J3474">
        <v>319</v>
      </c>
      <c r="K3474" t="s">
        <v>1097</v>
      </c>
      <c r="L3474">
        <v>638</v>
      </c>
      <c r="M3474" t="s">
        <v>1098</v>
      </c>
      <c r="N3474" t="s">
        <v>1099</v>
      </c>
      <c r="O3474">
        <f>Table1[[#This Row],[Unit_Price]]*Table1[[#This Row],[Quantity]]</f>
        <v>250</v>
      </c>
    </row>
    <row r="3475" spans="1:15" x14ac:dyDescent="0.3">
      <c r="A3475" t="s">
        <v>5295</v>
      </c>
      <c r="B3475" t="s">
        <v>1734</v>
      </c>
      <c r="C3475" t="s">
        <v>537</v>
      </c>
      <c r="D3475" t="s">
        <v>1064</v>
      </c>
      <c r="E3475">
        <v>3</v>
      </c>
      <c r="F3475">
        <f>_xlfn.XLOOKUP(Table1[[#This Row],[ProductID]],Products!A:A,Products!D:D,,0)</f>
        <v>160</v>
      </c>
      <c r="I3475">
        <v>699</v>
      </c>
      <c r="J3475">
        <v>699</v>
      </c>
      <c r="K3475" t="s">
        <v>1102</v>
      </c>
      <c r="L3475">
        <v>2097</v>
      </c>
      <c r="M3475" t="s">
        <v>1098</v>
      </c>
      <c r="N3475" t="s">
        <v>1099</v>
      </c>
      <c r="O3475">
        <f>Table1[[#This Row],[Unit_Price]]*Table1[[#This Row],[Quantity]]</f>
        <v>480</v>
      </c>
    </row>
    <row r="3476" spans="1:15" x14ac:dyDescent="0.3">
      <c r="A3476" t="s">
        <v>5296</v>
      </c>
      <c r="B3476" t="s">
        <v>2701</v>
      </c>
      <c r="C3476" t="s">
        <v>777</v>
      </c>
      <c r="D3476" t="s">
        <v>1055</v>
      </c>
      <c r="E3476">
        <v>4</v>
      </c>
      <c r="F3476">
        <f>_xlfn.XLOOKUP(Table1[[#This Row],[ProductID]],Products!A:A,Products!D:D,,0)</f>
        <v>75</v>
      </c>
      <c r="I3476">
        <v>299</v>
      </c>
      <c r="J3476">
        <v>269</v>
      </c>
      <c r="K3476" t="s">
        <v>1107</v>
      </c>
      <c r="L3476">
        <v>1076</v>
      </c>
      <c r="M3476" t="s">
        <v>1118</v>
      </c>
      <c r="N3476" t="s">
        <v>1099</v>
      </c>
      <c r="O3476">
        <f>Table1[[#This Row],[Unit_Price]]*Table1[[#This Row],[Quantity]]</f>
        <v>300</v>
      </c>
    </row>
    <row r="3477" spans="1:15" x14ac:dyDescent="0.3">
      <c r="A3477" t="s">
        <v>5297</v>
      </c>
      <c r="B3477" t="s">
        <v>2859</v>
      </c>
      <c r="C3477" t="s">
        <v>14</v>
      </c>
      <c r="D3477" t="s">
        <v>1071</v>
      </c>
      <c r="E3477">
        <v>1</v>
      </c>
      <c r="F3477">
        <f>_xlfn.XLOOKUP(Table1[[#This Row],[ProductID]],Products!A:A,Products!D:D,,0)</f>
        <v>125</v>
      </c>
      <c r="I3477">
        <v>399</v>
      </c>
      <c r="J3477">
        <v>359</v>
      </c>
      <c r="K3477" t="s">
        <v>1107</v>
      </c>
      <c r="L3477">
        <v>359</v>
      </c>
      <c r="M3477" t="s">
        <v>1126</v>
      </c>
      <c r="N3477" t="s">
        <v>1099</v>
      </c>
      <c r="O3477">
        <f>Table1[[#This Row],[Unit_Price]]*Table1[[#This Row],[Quantity]]</f>
        <v>125</v>
      </c>
    </row>
    <row r="3478" spans="1:15" x14ac:dyDescent="0.3">
      <c r="A3478" t="s">
        <v>5298</v>
      </c>
      <c r="B3478" t="s">
        <v>2174</v>
      </c>
      <c r="C3478" t="s">
        <v>405</v>
      </c>
      <c r="D3478" t="s">
        <v>1055</v>
      </c>
      <c r="E3478">
        <v>1</v>
      </c>
      <c r="F3478">
        <f>_xlfn.XLOOKUP(Table1[[#This Row],[ProductID]],Products!A:A,Products!D:D,,0)</f>
        <v>75</v>
      </c>
      <c r="I3478">
        <v>299</v>
      </c>
      <c r="J3478">
        <v>269</v>
      </c>
      <c r="K3478" t="s">
        <v>1107</v>
      </c>
      <c r="L3478">
        <v>269</v>
      </c>
      <c r="M3478" t="s">
        <v>1093</v>
      </c>
      <c r="N3478" t="s">
        <v>1099</v>
      </c>
      <c r="O3478">
        <f>Table1[[#This Row],[Unit_Price]]*Table1[[#This Row],[Quantity]]</f>
        <v>75</v>
      </c>
    </row>
    <row r="3479" spans="1:15" x14ac:dyDescent="0.3">
      <c r="A3479" t="s">
        <v>5299</v>
      </c>
      <c r="B3479" t="s">
        <v>1236</v>
      </c>
      <c r="C3479" t="s">
        <v>120</v>
      </c>
      <c r="D3479" t="s">
        <v>1068</v>
      </c>
      <c r="E3479">
        <v>1</v>
      </c>
      <c r="F3479">
        <f>_xlfn.XLOOKUP(Table1[[#This Row],[ProductID]],Products!A:A,Products!D:D,,0)</f>
        <v>180</v>
      </c>
      <c r="I3479">
        <v>449</v>
      </c>
      <c r="J3479">
        <v>404</v>
      </c>
      <c r="K3479" t="s">
        <v>1107</v>
      </c>
      <c r="L3479">
        <v>404</v>
      </c>
      <c r="M3479" t="s">
        <v>1098</v>
      </c>
      <c r="N3479" t="s">
        <v>1099</v>
      </c>
      <c r="O3479">
        <f>Table1[[#This Row],[Unit_Price]]*Table1[[#This Row],[Quantity]]</f>
        <v>180</v>
      </c>
    </row>
    <row r="3480" spans="1:15" x14ac:dyDescent="0.3">
      <c r="A3480" t="s">
        <v>5300</v>
      </c>
      <c r="B3480" t="s">
        <v>1422</v>
      </c>
      <c r="C3480" t="s">
        <v>511</v>
      </c>
      <c r="D3480" t="s">
        <v>1080</v>
      </c>
      <c r="E3480">
        <v>1</v>
      </c>
      <c r="F3480">
        <f>_xlfn.XLOOKUP(Table1[[#This Row],[ProductID]],Products!A:A,Products!D:D,,0)</f>
        <v>45</v>
      </c>
      <c r="I3480">
        <v>249</v>
      </c>
      <c r="J3480">
        <v>249</v>
      </c>
      <c r="K3480" t="s">
        <v>1102</v>
      </c>
      <c r="L3480">
        <v>249</v>
      </c>
      <c r="M3480" t="s">
        <v>1093</v>
      </c>
      <c r="N3480" t="s">
        <v>1099</v>
      </c>
      <c r="O3480">
        <f>Table1[[#This Row],[Unit_Price]]*Table1[[#This Row],[Quantity]]</f>
        <v>45</v>
      </c>
    </row>
    <row r="3481" spans="1:15" x14ac:dyDescent="0.3">
      <c r="A3481" t="s">
        <v>5301</v>
      </c>
      <c r="B3481" t="s">
        <v>1995</v>
      </c>
      <c r="C3481" t="s">
        <v>439</v>
      </c>
      <c r="D3481" t="s">
        <v>1062</v>
      </c>
      <c r="E3481">
        <v>2</v>
      </c>
      <c r="F3481">
        <f>_xlfn.XLOOKUP(Table1[[#This Row],[ProductID]],Products!A:A,Products!D:D,,0)</f>
        <v>95</v>
      </c>
      <c r="I3481">
        <v>349</v>
      </c>
      <c r="J3481">
        <v>314</v>
      </c>
      <c r="K3481" t="s">
        <v>1107</v>
      </c>
      <c r="L3481">
        <v>628</v>
      </c>
      <c r="M3481" t="s">
        <v>1098</v>
      </c>
      <c r="N3481" t="s">
        <v>1099</v>
      </c>
      <c r="O3481">
        <f>Table1[[#This Row],[Unit_Price]]*Table1[[#This Row],[Quantity]]</f>
        <v>190</v>
      </c>
    </row>
    <row r="3482" spans="1:15" x14ac:dyDescent="0.3">
      <c r="A3482" t="s">
        <v>5302</v>
      </c>
      <c r="B3482" t="s">
        <v>2757</v>
      </c>
      <c r="C3482" t="s">
        <v>321</v>
      </c>
      <c r="D3482" t="s">
        <v>1064</v>
      </c>
      <c r="E3482">
        <v>2</v>
      </c>
      <c r="F3482">
        <f>_xlfn.XLOOKUP(Table1[[#This Row],[ProductID]],Products!A:A,Products!D:D,,0)</f>
        <v>160</v>
      </c>
      <c r="I3482">
        <v>699</v>
      </c>
      <c r="J3482">
        <v>699</v>
      </c>
      <c r="K3482" t="s">
        <v>1102</v>
      </c>
      <c r="L3482">
        <v>1398</v>
      </c>
      <c r="M3482" t="s">
        <v>1098</v>
      </c>
      <c r="N3482" t="s">
        <v>1099</v>
      </c>
      <c r="O3482">
        <f>Table1[[#This Row],[Unit_Price]]*Table1[[#This Row],[Quantity]]</f>
        <v>320</v>
      </c>
    </row>
    <row r="3483" spans="1:15" x14ac:dyDescent="0.3">
      <c r="A3483" t="s">
        <v>5303</v>
      </c>
      <c r="B3483" t="s">
        <v>3191</v>
      </c>
      <c r="C3483" t="s">
        <v>563</v>
      </c>
      <c r="D3483" t="s">
        <v>1051</v>
      </c>
      <c r="E3483">
        <v>2</v>
      </c>
      <c r="F3483">
        <f>_xlfn.XLOOKUP(Table1[[#This Row],[ProductID]],Products!A:A,Products!D:D,,0)</f>
        <v>150</v>
      </c>
      <c r="I3483">
        <v>499</v>
      </c>
      <c r="J3483">
        <v>449</v>
      </c>
      <c r="K3483" t="s">
        <v>1107</v>
      </c>
      <c r="L3483">
        <v>898</v>
      </c>
      <c r="M3483" t="s">
        <v>1098</v>
      </c>
      <c r="N3483" t="s">
        <v>1099</v>
      </c>
      <c r="O3483">
        <f>Table1[[#This Row],[Unit_Price]]*Table1[[#This Row],[Quantity]]</f>
        <v>300</v>
      </c>
    </row>
    <row r="3484" spans="1:15" x14ac:dyDescent="0.3">
      <c r="A3484" t="s">
        <v>5304</v>
      </c>
      <c r="B3484" t="s">
        <v>4222</v>
      </c>
      <c r="C3484" t="s">
        <v>148</v>
      </c>
      <c r="D3484" t="s">
        <v>1066</v>
      </c>
      <c r="E3484">
        <v>1</v>
      </c>
      <c r="F3484">
        <f>_xlfn.XLOOKUP(Table1[[#This Row],[ProductID]],Products!A:A,Products!D:D,,0)</f>
        <v>140</v>
      </c>
      <c r="I3484">
        <v>499</v>
      </c>
      <c r="J3484">
        <v>449</v>
      </c>
      <c r="K3484" t="s">
        <v>1107</v>
      </c>
      <c r="L3484">
        <v>449</v>
      </c>
      <c r="M3484" t="s">
        <v>1098</v>
      </c>
      <c r="N3484" t="s">
        <v>1099</v>
      </c>
      <c r="O3484">
        <f>Table1[[#This Row],[Unit_Price]]*Table1[[#This Row],[Quantity]]</f>
        <v>140</v>
      </c>
    </row>
    <row r="3485" spans="1:15" x14ac:dyDescent="0.3">
      <c r="A3485" t="s">
        <v>5305</v>
      </c>
      <c r="B3485" t="s">
        <v>1174</v>
      </c>
      <c r="C3485" t="s">
        <v>1009</v>
      </c>
      <c r="D3485" t="s">
        <v>1062</v>
      </c>
      <c r="E3485">
        <v>1</v>
      </c>
      <c r="F3485">
        <f>_xlfn.XLOOKUP(Table1[[#This Row],[ProductID]],Products!A:A,Products!D:D,,0)</f>
        <v>95</v>
      </c>
      <c r="I3485">
        <v>349</v>
      </c>
      <c r="J3485">
        <v>314</v>
      </c>
      <c r="K3485" t="s">
        <v>1107</v>
      </c>
      <c r="L3485">
        <v>314</v>
      </c>
      <c r="M3485" t="s">
        <v>1126</v>
      </c>
      <c r="N3485" t="s">
        <v>1099</v>
      </c>
      <c r="O3485">
        <f>Table1[[#This Row],[Unit_Price]]*Table1[[#This Row],[Quantity]]</f>
        <v>95</v>
      </c>
    </row>
    <row r="3486" spans="1:15" x14ac:dyDescent="0.3">
      <c r="A3486" t="s">
        <v>5306</v>
      </c>
      <c r="B3486" t="s">
        <v>1529</v>
      </c>
      <c r="C3486" t="s">
        <v>281</v>
      </c>
      <c r="D3486" t="s">
        <v>1062</v>
      </c>
      <c r="E3486">
        <v>1</v>
      </c>
      <c r="F3486">
        <f>_xlfn.XLOOKUP(Table1[[#This Row],[ProductID]],Products!A:A,Products!D:D,,0)</f>
        <v>95</v>
      </c>
      <c r="I3486">
        <v>349</v>
      </c>
      <c r="J3486">
        <v>349</v>
      </c>
      <c r="K3486" t="s">
        <v>1102</v>
      </c>
      <c r="L3486">
        <v>349</v>
      </c>
      <c r="M3486" t="s">
        <v>1098</v>
      </c>
      <c r="N3486" t="s">
        <v>1099</v>
      </c>
      <c r="O3486">
        <f>Table1[[#This Row],[Unit_Price]]*Table1[[#This Row],[Quantity]]</f>
        <v>95</v>
      </c>
    </row>
    <row r="3487" spans="1:15" x14ac:dyDescent="0.3">
      <c r="A3487" t="s">
        <v>5307</v>
      </c>
      <c r="B3487" t="s">
        <v>1645</v>
      </c>
      <c r="C3487" t="s">
        <v>573</v>
      </c>
      <c r="D3487" t="s">
        <v>1057</v>
      </c>
      <c r="E3487">
        <v>3</v>
      </c>
      <c r="F3487">
        <f>_xlfn.XLOOKUP(Table1[[#This Row],[ProductID]],Products!A:A,Products!D:D,,0)</f>
        <v>130</v>
      </c>
      <c r="I3487">
        <v>549</v>
      </c>
      <c r="J3487">
        <v>467</v>
      </c>
      <c r="K3487" t="s">
        <v>1092</v>
      </c>
      <c r="L3487">
        <v>1401</v>
      </c>
      <c r="M3487" t="s">
        <v>1126</v>
      </c>
      <c r="N3487" t="s">
        <v>1099</v>
      </c>
      <c r="O3487">
        <f>Table1[[#This Row],[Unit_Price]]*Table1[[#This Row],[Quantity]]</f>
        <v>390</v>
      </c>
    </row>
    <row r="3488" spans="1:15" x14ac:dyDescent="0.3">
      <c r="A3488" t="s">
        <v>5308</v>
      </c>
      <c r="B3488" t="s">
        <v>1541</v>
      </c>
      <c r="C3488" t="s">
        <v>953</v>
      </c>
      <c r="D3488" t="s">
        <v>1057</v>
      </c>
      <c r="E3488">
        <v>2</v>
      </c>
      <c r="F3488">
        <f>_xlfn.XLOOKUP(Table1[[#This Row],[ProductID]],Products!A:A,Products!D:D,,0)</f>
        <v>130</v>
      </c>
      <c r="I3488">
        <v>549</v>
      </c>
      <c r="J3488">
        <v>549</v>
      </c>
      <c r="K3488" t="s">
        <v>1102</v>
      </c>
      <c r="L3488">
        <v>1098</v>
      </c>
      <c r="M3488" t="s">
        <v>1093</v>
      </c>
      <c r="N3488" t="s">
        <v>1099</v>
      </c>
      <c r="O3488">
        <f>Table1[[#This Row],[Unit_Price]]*Table1[[#This Row],[Quantity]]</f>
        <v>260</v>
      </c>
    </row>
    <row r="3489" spans="1:15" x14ac:dyDescent="0.3">
      <c r="A3489" t="s">
        <v>5309</v>
      </c>
      <c r="B3489" t="s">
        <v>2261</v>
      </c>
      <c r="C3489" t="s">
        <v>535</v>
      </c>
      <c r="D3489" t="s">
        <v>1062</v>
      </c>
      <c r="E3489">
        <v>1</v>
      </c>
      <c r="F3489">
        <f>_xlfn.XLOOKUP(Table1[[#This Row],[ProductID]],Products!A:A,Products!D:D,,0)</f>
        <v>95</v>
      </c>
      <c r="I3489">
        <v>349</v>
      </c>
      <c r="J3489">
        <v>349</v>
      </c>
      <c r="K3489" t="s">
        <v>1102</v>
      </c>
      <c r="L3489">
        <v>349</v>
      </c>
      <c r="M3489" t="s">
        <v>1093</v>
      </c>
      <c r="N3489" t="s">
        <v>1099</v>
      </c>
      <c r="O3489">
        <f>Table1[[#This Row],[Unit_Price]]*Table1[[#This Row],[Quantity]]</f>
        <v>95</v>
      </c>
    </row>
    <row r="3490" spans="1:15" x14ac:dyDescent="0.3">
      <c r="A3490" t="s">
        <v>5310</v>
      </c>
      <c r="B3490" t="s">
        <v>1256</v>
      </c>
      <c r="C3490" t="s">
        <v>108</v>
      </c>
      <c r="D3490" t="s">
        <v>1073</v>
      </c>
      <c r="E3490">
        <v>1</v>
      </c>
      <c r="F3490">
        <f>_xlfn.XLOOKUP(Table1[[#This Row],[ProductID]],Products!A:A,Products!D:D,,0)</f>
        <v>100</v>
      </c>
      <c r="I3490">
        <v>349</v>
      </c>
      <c r="J3490">
        <v>279</v>
      </c>
      <c r="K3490" t="s">
        <v>1097</v>
      </c>
      <c r="L3490">
        <v>279</v>
      </c>
      <c r="M3490" t="s">
        <v>1098</v>
      </c>
      <c r="N3490" t="s">
        <v>1099</v>
      </c>
      <c r="O3490">
        <f>Table1[[#This Row],[Unit_Price]]*Table1[[#This Row],[Quantity]]</f>
        <v>100</v>
      </c>
    </row>
    <row r="3491" spans="1:15" x14ac:dyDescent="0.3">
      <c r="A3491" t="s">
        <v>5311</v>
      </c>
      <c r="B3491" t="s">
        <v>1684</v>
      </c>
      <c r="C3491" t="s">
        <v>781</v>
      </c>
      <c r="D3491" t="s">
        <v>1062</v>
      </c>
      <c r="E3491">
        <v>2</v>
      </c>
      <c r="F3491">
        <f>_xlfn.XLOOKUP(Table1[[#This Row],[ProductID]],Products!A:A,Products!D:D,,0)</f>
        <v>95</v>
      </c>
      <c r="I3491">
        <v>349</v>
      </c>
      <c r="J3491">
        <v>349</v>
      </c>
      <c r="K3491" t="s">
        <v>1102</v>
      </c>
      <c r="L3491">
        <v>698</v>
      </c>
      <c r="M3491" t="s">
        <v>1098</v>
      </c>
      <c r="N3491" t="s">
        <v>1099</v>
      </c>
      <c r="O3491">
        <f>Table1[[#This Row],[Unit_Price]]*Table1[[#This Row],[Quantity]]</f>
        <v>190</v>
      </c>
    </row>
    <row r="3492" spans="1:15" x14ac:dyDescent="0.3">
      <c r="A3492" t="s">
        <v>5312</v>
      </c>
      <c r="B3492" t="s">
        <v>1262</v>
      </c>
      <c r="C3492" t="s">
        <v>559</v>
      </c>
      <c r="D3492" t="s">
        <v>1064</v>
      </c>
      <c r="E3492">
        <v>2</v>
      </c>
      <c r="F3492">
        <f>_xlfn.XLOOKUP(Table1[[#This Row],[ProductID]],Products!A:A,Products!D:D,,0)</f>
        <v>160</v>
      </c>
      <c r="I3492">
        <v>699</v>
      </c>
      <c r="J3492">
        <v>699</v>
      </c>
      <c r="K3492" t="s">
        <v>1102</v>
      </c>
      <c r="L3492">
        <v>1398</v>
      </c>
      <c r="M3492" t="s">
        <v>1098</v>
      </c>
      <c r="N3492" t="s">
        <v>1099</v>
      </c>
      <c r="O3492">
        <f>Table1[[#This Row],[Unit_Price]]*Table1[[#This Row],[Quantity]]</f>
        <v>320</v>
      </c>
    </row>
    <row r="3493" spans="1:15" x14ac:dyDescent="0.3">
      <c r="A3493" t="s">
        <v>5313</v>
      </c>
      <c r="B3493" t="s">
        <v>1148</v>
      </c>
      <c r="C3493" t="s">
        <v>305</v>
      </c>
      <c r="D3493" t="s">
        <v>1048</v>
      </c>
      <c r="E3493">
        <v>1</v>
      </c>
      <c r="F3493">
        <f>_xlfn.XLOOKUP(Table1[[#This Row],[ProductID]],Products!A:A,Products!D:D,,0)</f>
        <v>120</v>
      </c>
      <c r="I3493">
        <v>599</v>
      </c>
      <c r="J3493">
        <v>539</v>
      </c>
      <c r="K3493" t="s">
        <v>1107</v>
      </c>
      <c r="L3493">
        <v>539</v>
      </c>
      <c r="M3493" t="s">
        <v>1126</v>
      </c>
      <c r="N3493" t="s">
        <v>1099</v>
      </c>
      <c r="O3493">
        <f>Table1[[#This Row],[Unit_Price]]*Table1[[#This Row],[Quantity]]</f>
        <v>120</v>
      </c>
    </row>
    <row r="3494" spans="1:15" x14ac:dyDescent="0.3">
      <c r="A3494" t="s">
        <v>5314</v>
      </c>
      <c r="B3494" t="s">
        <v>1325</v>
      </c>
      <c r="C3494" t="s">
        <v>683</v>
      </c>
      <c r="D3494" t="s">
        <v>1080</v>
      </c>
      <c r="E3494">
        <v>1</v>
      </c>
      <c r="F3494">
        <f>_xlfn.XLOOKUP(Table1[[#This Row],[ProductID]],Products!A:A,Products!D:D,,0)</f>
        <v>45</v>
      </c>
      <c r="I3494">
        <v>249</v>
      </c>
      <c r="J3494">
        <v>224</v>
      </c>
      <c r="K3494" t="s">
        <v>1107</v>
      </c>
      <c r="L3494">
        <v>224</v>
      </c>
      <c r="M3494" t="s">
        <v>1126</v>
      </c>
      <c r="N3494" t="s">
        <v>1099</v>
      </c>
      <c r="O3494">
        <f>Table1[[#This Row],[Unit_Price]]*Table1[[#This Row],[Quantity]]</f>
        <v>45</v>
      </c>
    </row>
    <row r="3495" spans="1:15" x14ac:dyDescent="0.3">
      <c r="A3495" t="s">
        <v>5315</v>
      </c>
      <c r="B3495" t="s">
        <v>2485</v>
      </c>
      <c r="C3495" t="s">
        <v>657</v>
      </c>
      <c r="D3495" t="s">
        <v>1066</v>
      </c>
      <c r="E3495">
        <v>4</v>
      </c>
      <c r="F3495">
        <f>_xlfn.XLOOKUP(Table1[[#This Row],[ProductID]],Products!A:A,Products!D:D,,0)</f>
        <v>140</v>
      </c>
      <c r="I3495">
        <v>499</v>
      </c>
      <c r="J3495">
        <v>499</v>
      </c>
      <c r="K3495" t="s">
        <v>1102</v>
      </c>
      <c r="L3495">
        <v>1996</v>
      </c>
      <c r="M3495" t="s">
        <v>1126</v>
      </c>
      <c r="N3495" t="s">
        <v>1099</v>
      </c>
      <c r="O3495">
        <f>Table1[[#This Row],[Unit_Price]]*Table1[[#This Row],[Quantity]]</f>
        <v>560</v>
      </c>
    </row>
    <row r="3496" spans="1:15" x14ac:dyDescent="0.3">
      <c r="A3496" t="s">
        <v>5316</v>
      </c>
      <c r="B3496" t="s">
        <v>2709</v>
      </c>
      <c r="C3496" t="s">
        <v>469</v>
      </c>
      <c r="D3496" t="s">
        <v>1071</v>
      </c>
      <c r="E3496">
        <v>4</v>
      </c>
      <c r="F3496">
        <f>_xlfn.XLOOKUP(Table1[[#This Row],[ProductID]],Products!A:A,Products!D:D,,0)</f>
        <v>125</v>
      </c>
      <c r="I3496">
        <v>399</v>
      </c>
      <c r="J3496">
        <v>399</v>
      </c>
      <c r="K3496" t="s">
        <v>1102</v>
      </c>
      <c r="L3496">
        <v>1596</v>
      </c>
      <c r="M3496" t="s">
        <v>1098</v>
      </c>
      <c r="N3496" t="s">
        <v>1099</v>
      </c>
      <c r="O3496">
        <f>Table1[[#This Row],[Unit_Price]]*Table1[[#This Row],[Quantity]]</f>
        <v>500</v>
      </c>
    </row>
    <row r="3497" spans="1:15" x14ac:dyDescent="0.3">
      <c r="A3497" t="s">
        <v>5317</v>
      </c>
      <c r="B3497" t="s">
        <v>1728</v>
      </c>
      <c r="C3497" t="s">
        <v>769</v>
      </c>
      <c r="D3497" t="s">
        <v>1051</v>
      </c>
      <c r="E3497">
        <v>1</v>
      </c>
      <c r="F3497">
        <f>_xlfn.XLOOKUP(Table1[[#This Row],[ProductID]],Products!A:A,Products!D:D,,0)</f>
        <v>150</v>
      </c>
      <c r="I3497">
        <v>499</v>
      </c>
      <c r="J3497">
        <v>449</v>
      </c>
      <c r="K3497" t="s">
        <v>1107</v>
      </c>
      <c r="L3497">
        <v>449</v>
      </c>
      <c r="M3497" t="s">
        <v>1118</v>
      </c>
      <c r="N3497" t="s">
        <v>1099</v>
      </c>
      <c r="O3497">
        <f>Table1[[#This Row],[Unit_Price]]*Table1[[#This Row],[Quantity]]</f>
        <v>150</v>
      </c>
    </row>
    <row r="3498" spans="1:15" x14ac:dyDescent="0.3">
      <c r="A3498" t="s">
        <v>5318</v>
      </c>
      <c r="B3498" t="s">
        <v>1752</v>
      </c>
      <c r="C3498" t="s">
        <v>545</v>
      </c>
      <c r="D3498" t="s">
        <v>1071</v>
      </c>
      <c r="E3498">
        <v>1</v>
      </c>
      <c r="F3498">
        <f>_xlfn.XLOOKUP(Table1[[#This Row],[ProductID]],Products!A:A,Products!D:D,,0)</f>
        <v>125</v>
      </c>
      <c r="I3498">
        <v>399</v>
      </c>
      <c r="J3498">
        <v>319</v>
      </c>
      <c r="K3498" t="s">
        <v>1097</v>
      </c>
      <c r="L3498">
        <v>319</v>
      </c>
      <c r="M3498" t="s">
        <v>1093</v>
      </c>
      <c r="N3498" t="s">
        <v>1099</v>
      </c>
      <c r="O3498">
        <f>Table1[[#This Row],[Unit_Price]]*Table1[[#This Row],[Quantity]]</f>
        <v>125</v>
      </c>
    </row>
    <row r="3499" spans="1:15" x14ac:dyDescent="0.3">
      <c r="A3499" t="s">
        <v>5319</v>
      </c>
      <c r="B3499" t="s">
        <v>4501</v>
      </c>
      <c r="C3499" t="s">
        <v>575</v>
      </c>
      <c r="D3499" t="s">
        <v>1057</v>
      </c>
      <c r="E3499">
        <v>3</v>
      </c>
      <c r="F3499">
        <f>_xlfn.XLOOKUP(Table1[[#This Row],[ProductID]],Products!A:A,Products!D:D,,0)</f>
        <v>130</v>
      </c>
      <c r="I3499">
        <v>549</v>
      </c>
      <c r="J3499">
        <v>467</v>
      </c>
      <c r="K3499" t="s">
        <v>1092</v>
      </c>
      <c r="L3499">
        <v>1401</v>
      </c>
      <c r="M3499" t="s">
        <v>1093</v>
      </c>
      <c r="N3499" t="s">
        <v>1099</v>
      </c>
      <c r="O3499">
        <f>Table1[[#This Row],[Unit_Price]]*Table1[[#This Row],[Quantity]]</f>
        <v>390</v>
      </c>
    </row>
    <row r="3500" spans="1:15" x14ac:dyDescent="0.3">
      <c r="A3500" t="s">
        <v>5320</v>
      </c>
      <c r="B3500" t="s">
        <v>3358</v>
      </c>
      <c r="C3500" t="s">
        <v>619</v>
      </c>
      <c r="D3500" t="s">
        <v>1073</v>
      </c>
      <c r="E3500">
        <v>4</v>
      </c>
      <c r="F3500">
        <f>_xlfn.XLOOKUP(Table1[[#This Row],[ProductID]],Products!A:A,Products!D:D,,0)</f>
        <v>100</v>
      </c>
      <c r="I3500">
        <v>349</v>
      </c>
      <c r="J3500">
        <v>314</v>
      </c>
      <c r="K3500" t="s">
        <v>1107</v>
      </c>
      <c r="L3500">
        <v>1256</v>
      </c>
      <c r="M3500" t="s">
        <v>1093</v>
      </c>
      <c r="N3500" t="s">
        <v>1099</v>
      </c>
      <c r="O3500">
        <f>Table1[[#This Row],[Unit_Price]]*Table1[[#This Row],[Quantity]]</f>
        <v>400</v>
      </c>
    </row>
    <row r="3501" spans="1:15" x14ac:dyDescent="0.3">
      <c r="A3501" t="s">
        <v>5321</v>
      </c>
      <c r="B3501" t="s">
        <v>2583</v>
      </c>
      <c r="C3501" t="s">
        <v>411</v>
      </c>
      <c r="D3501" t="s">
        <v>1064</v>
      </c>
      <c r="E3501">
        <v>1</v>
      </c>
      <c r="F3501">
        <f>_xlfn.XLOOKUP(Table1[[#This Row],[ProductID]],Products!A:A,Products!D:D,,0)</f>
        <v>160</v>
      </c>
      <c r="I3501">
        <v>699</v>
      </c>
      <c r="J3501">
        <v>594</v>
      </c>
      <c r="K3501" t="s">
        <v>1092</v>
      </c>
      <c r="L3501">
        <v>594</v>
      </c>
      <c r="M3501" t="s">
        <v>1093</v>
      </c>
      <c r="N3501" t="s">
        <v>1094</v>
      </c>
      <c r="O3501">
        <f>Table1[[#This Row],[Unit_Price]]*Table1[[#This Row],[Quantity]]</f>
        <v>160</v>
      </c>
    </row>
    <row r="3502" spans="1:15" x14ac:dyDescent="0.3">
      <c r="A3502" t="s">
        <v>5322</v>
      </c>
      <c r="B3502" t="s">
        <v>2589</v>
      </c>
      <c r="C3502" t="s">
        <v>907</v>
      </c>
      <c r="D3502" t="s">
        <v>1066</v>
      </c>
      <c r="E3502">
        <v>3</v>
      </c>
      <c r="F3502">
        <f>_xlfn.XLOOKUP(Table1[[#This Row],[ProductID]],Products!A:A,Products!D:D,,0)</f>
        <v>140</v>
      </c>
      <c r="I3502">
        <v>499</v>
      </c>
      <c r="J3502">
        <v>499</v>
      </c>
      <c r="K3502" t="s">
        <v>1102</v>
      </c>
      <c r="L3502">
        <v>1497</v>
      </c>
      <c r="M3502" t="s">
        <v>1126</v>
      </c>
      <c r="N3502" t="s">
        <v>1099</v>
      </c>
      <c r="O3502">
        <f>Table1[[#This Row],[Unit_Price]]*Table1[[#This Row],[Quantity]]</f>
        <v>420</v>
      </c>
    </row>
    <row r="3503" spans="1:15" x14ac:dyDescent="0.3">
      <c r="A3503" t="s">
        <v>5323</v>
      </c>
      <c r="B3503" t="s">
        <v>1604</v>
      </c>
      <c r="C3503" t="s">
        <v>767</v>
      </c>
      <c r="D3503" t="s">
        <v>1053</v>
      </c>
      <c r="E3503">
        <v>1</v>
      </c>
      <c r="F3503">
        <f>_xlfn.XLOOKUP(Table1[[#This Row],[ProductID]],Products!A:A,Products!D:D,,0)</f>
        <v>200</v>
      </c>
      <c r="I3503">
        <v>899</v>
      </c>
      <c r="J3503">
        <v>899</v>
      </c>
      <c r="K3503" t="s">
        <v>1102</v>
      </c>
      <c r="L3503">
        <v>899</v>
      </c>
      <c r="M3503" t="s">
        <v>1098</v>
      </c>
      <c r="N3503" t="s">
        <v>1099</v>
      </c>
      <c r="O3503">
        <f>Table1[[#This Row],[Unit_Price]]*Table1[[#This Row],[Quantity]]</f>
        <v>200</v>
      </c>
    </row>
    <row r="3504" spans="1:15" x14ac:dyDescent="0.3">
      <c r="A3504" t="s">
        <v>5324</v>
      </c>
      <c r="B3504" t="s">
        <v>2664</v>
      </c>
      <c r="C3504" t="s">
        <v>505</v>
      </c>
      <c r="D3504" t="s">
        <v>1059</v>
      </c>
      <c r="E3504">
        <v>1</v>
      </c>
      <c r="F3504">
        <f>_xlfn.XLOOKUP(Table1[[#This Row],[ProductID]],Products!A:A,Products!D:D,,0)</f>
        <v>110</v>
      </c>
      <c r="I3504">
        <v>399</v>
      </c>
      <c r="J3504">
        <v>399</v>
      </c>
      <c r="K3504" t="s">
        <v>1102</v>
      </c>
      <c r="L3504">
        <v>399</v>
      </c>
      <c r="M3504" t="s">
        <v>1098</v>
      </c>
      <c r="N3504" t="s">
        <v>1099</v>
      </c>
      <c r="O3504">
        <f>Table1[[#This Row],[Unit_Price]]*Table1[[#This Row],[Quantity]]</f>
        <v>110</v>
      </c>
    </row>
    <row r="3505" spans="1:15" x14ac:dyDescent="0.3">
      <c r="A3505" t="s">
        <v>5325</v>
      </c>
      <c r="B3505" t="s">
        <v>2559</v>
      </c>
      <c r="C3505" t="s">
        <v>385</v>
      </c>
      <c r="D3505" t="s">
        <v>1051</v>
      </c>
      <c r="E3505">
        <v>2</v>
      </c>
      <c r="F3505">
        <f>_xlfn.XLOOKUP(Table1[[#This Row],[ProductID]],Products!A:A,Products!D:D,,0)</f>
        <v>150</v>
      </c>
      <c r="I3505">
        <v>499</v>
      </c>
      <c r="J3505">
        <v>449</v>
      </c>
      <c r="K3505" t="s">
        <v>1107</v>
      </c>
      <c r="L3505">
        <v>898</v>
      </c>
      <c r="M3505" t="s">
        <v>1098</v>
      </c>
      <c r="N3505" t="s">
        <v>1099</v>
      </c>
      <c r="O3505">
        <f>Table1[[#This Row],[Unit_Price]]*Table1[[#This Row],[Quantity]]</f>
        <v>300</v>
      </c>
    </row>
    <row r="3506" spans="1:15" x14ac:dyDescent="0.3">
      <c r="A3506" t="s">
        <v>5326</v>
      </c>
      <c r="B3506" t="s">
        <v>1406</v>
      </c>
      <c r="C3506" t="s">
        <v>521</v>
      </c>
      <c r="D3506" t="s">
        <v>1053</v>
      </c>
      <c r="E3506">
        <v>1</v>
      </c>
      <c r="F3506">
        <f>_xlfn.XLOOKUP(Table1[[#This Row],[ProductID]],Products!A:A,Products!D:D,,0)</f>
        <v>200</v>
      </c>
      <c r="I3506">
        <v>899</v>
      </c>
      <c r="J3506">
        <v>764</v>
      </c>
      <c r="K3506" t="s">
        <v>1092</v>
      </c>
      <c r="L3506">
        <v>764</v>
      </c>
      <c r="M3506" t="s">
        <v>1098</v>
      </c>
      <c r="N3506" t="s">
        <v>1123</v>
      </c>
      <c r="O3506">
        <f>Table1[[#This Row],[Unit_Price]]*Table1[[#This Row],[Quantity]]</f>
        <v>200</v>
      </c>
    </row>
    <row r="3507" spans="1:15" x14ac:dyDescent="0.3">
      <c r="A3507" t="s">
        <v>5327</v>
      </c>
      <c r="B3507" t="s">
        <v>2098</v>
      </c>
      <c r="C3507" t="s">
        <v>679</v>
      </c>
      <c r="D3507" t="s">
        <v>1051</v>
      </c>
      <c r="E3507">
        <v>2</v>
      </c>
      <c r="F3507">
        <f>_xlfn.XLOOKUP(Table1[[#This Row],[ProductID]],Products!A:A,Products!D:D,,0)</f>
        <v>150</v>
      </c>
      <c r="I3507">
        <v>499</v>
      </c>
      <c r="J3507">
        <v>424</v>
      </c>
      <c r="K3507" t="s">
        <v>1092</v>
      </c>
      <c r="L3507">
        <v>848</v>
      </c>
      <c r="M3507" t="s">
        <v>1126</v>
      </c>
      <c r="N3507" t="s">
        <v>1099</v>
      </c>
      <c r="O3507">
        <f>Table1[[#This Row],[Unit_Price]]*Table1[[#This Row],[Quantity]]</f>
        <v>300</v>
      </c>
    </row>
    <row r="3508" spans="1:15" x14ac:dyDescent="0.3">
      <c r="A3508" t="s">
        <v>5328</v>
      </c>
      <c r="B3508" t="s">
        <v>2690</v>
      </c>
      <c r="C3508" t="s">
        <v>201</v>
      </c>
      <c r="D3508" t="s">
        <v>1051</v>
      </c>
      <c r="E3508">
        <v>1</v>
      </c>
      <c r="F3508">
        <f>_xlfn.XLOOKUP(Table1[[#This Row],[ProductID]],Products!A:A,Products!D:D,,0)</f>
        <v>150</v>
      </c>
      <c r="I3508">
        <v>499</v>
      </c>
      <c r="J3508">
        <v>424</v>
      </c>
      <c r="K3508" t="s">
        <v>1092</v>
      </c>
      <c r="L3508">
        <v>424</v>
      </c>
      <c r="M3508" t="s">
        <v>1126</v>
      </c>
      <c r="N3508" t="s">
        <v>1099</v>
      </c>
      <c r="O3508">
        <f>Table1[[#This Row],[Unit_Price]]*Table1[[#This Row],[Quantity]]</f>
        <v>150</v>
      </c>
    </row>
    <row r="3509" spans="1:15" x14ac:dyDescent="0.3">
      <c r="A3509" t="s">
        <v>5329</v>
      </c>
      <c r="B3509" t="s">
        <v>2407</v>
      </c>
      <c r="C3509" t="s">
        <v>363</v>
      </c>
      <c r="D3509" t="s">
        <v>1075</v>
      </c>
      <c r="E3509">
        <v>1</v>
      </c>
      <c r="F3509">
        <f>_xlfn.XLOOKUP(Table1[[#This Row],[ProductID]],Products!A:A,Products!D:D,,0)</f>
        <v>80</v>
      </c>
      <c r="I3509">
        <v>499</v>
      </c>
      <c r="J3509">
        <v>424</v>
      </c>
      <c r="K3509" t="s">
        <v>1092</v>
      </c>
      <c r="L3509">
        <v>424</v>
      </c>
      <c r="M3509" t="s">
        <v>1093</v>
      </c>
      <c r="N3509" t="s">
        <v>1094</v>
      </c>
      <c r="O3509">
        <f>Table1[[#This Row],[Unit_Price]]*Table1[[#This Row],[Quantity]]</f>
        <v>80</v>
      </c>
    </row>
    <row r="3510" spans="1:15" x14ac:dyDescent="0.3">
      <c r="A3510" t="s">
        <v>5330</v>
      </c>
      <c r="B3510" t="s">
        <v>2237</v>
      </c>
      <c r="C3510" t="s">
        <v>175</v>
      </c>
      <c r="D3510" t="s">
        <v>1057</v>
      </c>
      <c r="E3510">
        <v>1</v>
      </c>
      <c r="F3510">
        <f>_xlfn.XLOOKUP(Table1[[#This Row],[ProductID]],Products!A:A,Products!D:D,,0)</f>
        <v>130</v>
      </c>
      <c r="I3510">
        <v>549</v>
      </c>
      <c r="J3510">
        <v>467</v>
      </c>
      <c r="K3510" t="s">
        <v>1092</v>
      </c>
      <c r="L3510">
        <v>467</v>
      </c>
      <c r="M3510" t="s">
        <v>1093</v>
      </c>
      <c r="N3510" t="s">
        <v>1094</v>
      </c>
      <c r="O3510">
        <f>Table1[[#This Row],[Unit_Price]]*Table1[[#This Row],[Quantity]]</f>
        <v>130</v>
      </c>
    </row>
    <row r="3511" spans="1:15" x14ac:dyDescent="0.3">
      <c r="A3511" t="s">
        <v>5331</v>
      </c>
      <c r="B3511" t="s">
        <v>2012</v>
      </c>
      <c r="C3511" t="s">
        <v>83</v>
      </c>
      <c r="D3511" t="s">
        <v>1059</v>
      </c>
      <c r="E3511">
        <v>1</v>
      </c>
      <c r="F3511">
        <f>_xlfn.XLOOKUP(Table1[[#This Row],[ProductID]],Products!A:A,Products!D:D,,0)</f>
        <v>110</v>
      </c>
      <c r="I3511">
        <v>399</v>
      </c>
      <c r="J3511">
        <v>339</v>
      </c>
      <c r="K3511" t="s">
        <v>1092</v>
      </c>
      <c r="L3511">
        <v>339</v>
      </c>
      <c r="M3511" t="s">
        <v>1093</v>
      </c>
      <c r="N3511" t="s">
        <v>1094</v>
      </c>
      <c r="O3511">
        <f>Table1[[#This Row],[Unit_Price]]*Table1[[#This Row],[Quantity]]</f>
        <v>110</v>
      </c>
    </row>
    <row r="3512" spans="1:15" x14ac:dyDescent="0.3">
      <c r="A3512" t="s">
        <v>5332</v>
      </c>
      <c r="B3512" t="s">
        <v>1547</v>
      </c>
      <c r="C3512" t="s">
        <v>257</v>
      </c>
      <c r="D3512" t="s">
        <v>1051</v>
      </c>
      <c r="E3512">
        <v>1</v>
      </c>
      <c r="F3512">
        <f>_xlfn.XLOOKUP(Table1[[#This Row],[ProductID]],Products!A:A,Products!D:D,,0)</f>
        <v>150</v>
      </c>
      <c r="I3512">
        <v>499</v>
      </c>
      <c r="J3512">
        <v>424</v>
      </c>
      <c r="K3512" t="s">
        <v>1092</v>
      </c>
      <c r="L3512">
        <v>424</v>
      </c>
      <c r="M3512" t="s">
        <v>1098</v>
      </c>
      <c r="N3512" t="s">
        <v>1099</v>
      </c>
      <c r="O3512">
        <f>Table1[[#This Row],[Unit_Price]]*Table1[[#This Row],[Quantity]]</f>
        <v>150</v>
      </c>
    </row>
    <row r="3513" spans="1:15" x14ac:dyDescent="0.3">
      <c r="A3513" t="s">
        <v>5333</v>
      </c>
      <c r="B3513" t="s">
        <v>1985</v>
      </c>
      <c r="C3513" t="s">
        <v>747</v>
      </c>
      <c r="D3513" t="s">
        <v>1048</v>
      </c>
      <c r="E3513">
        <v>1</v>
      </c>
      <c r="F3513">
        <f>_xlfn.XLOOKUP(Table1[[#This Row],[ProductID]],Products!A:A,Products!D:D,,0)</f>
        <v>120</v>
      </c>
      <c r="I3513">
        <v>599</v>
      </c>
      <c r="J3513">
        <v>539</v>
      </c>
      <c r="K3513" t="s">
        <v>1107</v>
      </c>
      <c r="L3513">
        <v>539</v>
      </c>
      <c r="M3513" t="s">
        <v>1093</v>
      </c>
      <c r="N3513" t="s">
        <v>1094</v>
      </c>
      <c r="O3513">
        <f>Table1[[#This Row],[Unit_Price]]*Table1[[#This Row],[Quantity]]</f>
        <v>120</v>
      </c>
    </row>
    <row r="3514" spans="1:15" x14ac:dyDescent="0.3">
      <c r="A3514" t="s">
        <v>5334</v>
      </c>
      <c r="B3514" t="s">
        <v>2261</v>
      </c>
      <c r="C3514" t="s">
        <v>427</v>
      </c>
      <c r="D3514" t="s">
        <v>1062</v>
      </c>
      <c r="E3514">
        <v>2</v>
      </c>
      <c r="F3514">
        <f>_xlfn.XLOOKUP(Table1[[#This Row],[ProductID]],Products!A:A,Products!D:D,,0)</f>
        <v>95</v>
      </c>
      <c r="I3514">
        <v>349</v>
      </c>
      <c r="J3514">
        <v>314</v>
      </c>
      <c r="K3514" t="s">
        <v>1107</v>
      </c>
      <c r="L3514">
        <v>628</v>
      </c>
      <c r="M3514" t="s">
        <v>1098</v>
      </c>
      <c r="N3514" t="s">
        <v>1099</v>
      </c>
      <c r="O3514">
        <f>Table1[[#This Row],[Unit_Price]]*Table1[[#This Row],[Quantity]]</f>
        <v>190</v>
      </c>
    </row>
    <row r="3515" spans="1:15" x14ac:dyDescent="0.3">
      <c r="A3515" t="s">
        <v>5335</v>
      </c>
      <c r="B3515" t="s">
        <v>1207</v>
      </c>
      <c r="C3515" t="s">
        <v>211</v>
      </c>
      <c r="D3515" t="s">
        <v>1057</v>
      </c>
      <c r="E3515">
        <v>1</v>
      </c>
      <c r="F3515">
        <f>_xlfn.XLOOKUP(Table1[[#This Row],[ProductID]],Products!A:A,Products!D:D,,0)</f>
        <v>130</v>
      </c>
      <c r="I3515">
        <v>549</v>
      </c>
      <c r="J3515">
        <v>549</v>
      </c>
      <c r="K3515" t="s">
        <v>1102</v>
      </c>
      <c r="L3515">
        <v>549</v>
      </c>
      <c r="M3515" t="s">
        <v>1098</v>
      </c>
      <c r="N3515" t="s">
        <v>1099</v>
      </c>
      <c r="O3515">
        <f>Table1[[#This Row],[Unit_Price]]*Table1[[#This Row],[Quantity]]</f>
        <v>130</v>
      </c>
    </row>
    <row r="3516" spans="1:15" x14ac:dyDescent="0.3">
      <c r="A3516" t="s">
        <v>5336</v>
      </c>
      <c r="B3516" t="s">
        <v>4222</v>
      </c>
      <c r="C3516" t="s">
        <v>301</v>
      </c>
      <c r="D3516" t="s">
        <v>1075</v>
      </c>
      <c r="E3516">
        <v>2</v>
      </c>
      <c r="F3516">
        <f>_xlfn.XLOOKUP(Table1[[#This Row],[ProductID]],Products!A:A,Products!D:D,,0)</f>
        <v>80</v>
      </c>
      <c r="I3516">
        <v>499</v>
      </c>
      <c r="J3516">
        <v>449</v>
      </c>
      <c r="K3516" t="s">
        <v>1107</v>
      </c>
      <c r="L3516">
        <v>898</v>
      </c>
      <c r="M3516" t="s">
        <v>1098</v>
      </c>
      <c r="N3516" t="s">
        <v>1099</v>
      </c>
      <c r="O3516">
        <f>Table1[[#This Row],[Unit_Price]]*Table1[[#This Row],[Quantity]]</f>
        <v>160</v>
      </c>
    </row>
    <row r="3517" spans="1:15" x14ac:dyDescent="0.3">
      <c r="A3517" t="s">
        <v>5337</v>
      </c>
      <c r="B3517" t="s">
        <v>3694</v>
      </c>
      <c r="C3517" t="s">
        <v>735</v>
      </c>
      <c r="D3517" t="s">
        <v>1068</v>
      </c>
      <c r="E3517">
        <v>1</v>
      </c>
      <c r="F3517">
        <f>_xlfn.XLOOKUP(Table1[[#This Row],[ProductID]],Products!A:A,Products!D:D,,0)</f>
        <v>180</v>
      </c>
      <c r="I3517">
        <v>449</v>
      </c>
      <c r="J3517">
        <v>382</v>
      </c>
      <c r="K3517" t="s">
        <v>1092</v>
      </c>
      <c r="L3517">
        <v>382</v>
      </c>
      <c r="M3517" t="s">
        <v>1098</v>
      </c>
      <c r="N3517" t="s">
        <v>1099</v>
      </c>
      <c r="O3517">
        <f>Table1[[#This Row],[Unit_Price]]*Table1[[#This Row],[Quantity]]</f>
        <v>180</v>
      </c>
    </row>
    <row r="3518" spans="1:15" x14ac:dyDescent="0.3">
      <c r="A3518" t="s">
        <v>5338</v>
      </c>
      <c r="B3518" t="s">
        <v>1134</v>
      </c>
      <c r="C3518" t="s">
        <v>687</v>
      </c>
      <c r="D3518" t="s">
        <v>1071</v>
      </c>
      <c r="E3518">
        <v>2</v>
      </c>
      <c r="F3518">
        <f>_xlfn.XLOOKUP(Table1[[#This Row],[ProductID]],Products!A:A,Products!D:D,,0)</f>
        <v>125</v>
      </c>
      <c r="I3518">
        <v>399</v>
      </c>
      <c r="J3518">
        <v>339</v>
      </c>
      <c r="K3518" t="s">
        <v>1092</v>
      </c>
      <c r="L3518">
        <v>678</v>
      </c>
      <c r="M3518" t="s">
        <v>1098</v>
      </c>
      <c r="N3518" t="s">
        <v>1099</v>
      </c>
      <c r="O3518">
        <f>Table1[[#This Row],[Unit_Price]]*Table1[[#This Row],[Quantity]]</f>
        <v>250</v>
      </c>
    </row>
    <row r="3519" spans="1:15" x14ac:dyDescent="0.3">
      <c r="A3519" t="s">
        <v>5339</v>
      </c>
      <c r="B3519" t="s">
        <v>3552</v>
      </c>
      <c r="C3519" t="s">
        <v>120</v>
      </c>
      <c r="D3519" t="s">
        <v>1071</v>
      </c>
      <c r="E3519">
        <v>2</v>
      </c>
      <c r="F3519">
        <f>_xlfn.XLOOKUP(Table1[[#This Row],[ProductID]],Products!A:A,Products!D:D,,0)</f>
        <v>125</v>
      </c>
      <c r="I3519">
        <v>399</v>
      </c>
      <c r="J3519">
        <v>319</v>
      </c>
      <c r="K3519" t="s">
        <v>1097</v>
      </c>
      <c r="L3519">
        <v>638</v>
      </c>
      <c r="M3519" t="s">
        <v>1093</v>
      </c>
      <c r="N3519" t="s">
        <v>1099</v>
      </c>
      <c r="O3519">
        <f>Table1[[#This Row],[Unit_Price]]*Table1[[#This Row],[Quantity]]</f>
        <v>250</v>
      </c>
    </row>
    <row r="3520" spans="1:15" x14ac:dyDescent="0.3">
      <c r="A3520" t="s">
        <v>5340</v>
      </c>
      <c r="B3520" t="s">
        <v>1364</v>
      </c>
      <c r="C3520" t="s">
        <v>207</v>
      </c>
      <c r="D3520" t="s">
        <v>1053</v>
      </c>
      <c r="E3520">
        <v>1</v>
      </c>
      <c r="F3520">
        <f>_xlfn.XLOOKUP(Table1[[#This Row],[ProductID]],Products!A:A,Products!D:D,,0)</f>
        <v>200</v>
      </c>
      <c r="I3520">
        <v>899</v>
      </c>
      <c r="J3520">
        <v>899</v>
      </c>
      <c r="K3520" t="s">
        <v>1102</v>
      </c>
      <c r="L3520">
        <v>899</v>
      </c>
      <c r="M3520" t="s">
        <v>1093</v>
      </c>
      <c r="N3520" t="s">
        <v>1099</v>
      </c>
      <c r="O3520">
        <f>Table1[[#This Row],[Unit_Price]]*Table1[[#This Row],[Quantity]]</f>
        <v>200</v>
      </c>
    </row>
    <row r="3521" spans="1:15" x14ac:dyDescent="0.3">
      <c r="A3521" t="s">
        <v>5341</v>
      </c>
      <c r="B3521" t="s">
        <v>1570</v>
      </c>
      <c r="C3521" t="s">
        <v>615</v>
      </c>
      <c r="D3521" t="s">
        <v>1051</v>
      </c>
      <c r="E3521">
        <v>1</v>
      </c>
      <c r="F3521">
        <f>_xlfn.XLOOKUP(Table1[[#This Row],[ProductID]],Products!A:A,Products!D:D,,0)</f>
        <v>150</v>
      </c>
      <c r="I3521">
        <v>499</v>
      </c>
      <c r="J3521">
        <v>499</v>
      </c>
      <c r="K3521" t="s">
        <v>1102</v>
      </c>
      <c r="L3521">
        <v>499</v>
      </c>
      <c r="M3521" t="s">
        <v>1093</v>
      </c>
      <c r="N3521" t="s">
        <v>1099</v>
      </c>
      <c r="O3521">
        <f>Table1[[#This Row],[Unit_Price]]*Table1[[#This Row],[Quantity]]</f>
        <v>150</v>
      </c>
    </row>
    <row r="3522" spans="1:15" x14ac:dyDescent="0.3">
      <c r="A3522" t="s">
        <v>5342</v>
      </c>
      <c r="B3522" t="s">
        <v>1905</v>
      </c>
      <c r="C3522" t="s">
        <v>341</v>
      </c>
      <c r="D3522" t="s">
        <v>1062</v>
      </c>
      <c r="E3522">
        <v>1</v>
      </c>
      <c r="F3522">
        <f>_xlfn.XLOOKUP(Table1[[#This Row],[ProductID]],Products!A:A,Products!D:D,,0)</f>
        <v>95</v>
      </c>
      <c r="I3522">
        <v>349</v>
      </c>
      <c r="J3522">
        <v>349</v>
      </c>
      <c r="K3522" t="s">
        <v>1102</v>
      </c>
      <c r="L3522">
        <v>349</v>
      </c>
      <c r="M3522" t="s">
        <v>1098</v>
      </c>
      <c r="N3522" t="s">
        <v>1099</v>
      </c>
      <c r="O3522">
        <f>Table1[[#This Row],[Unit_Price]]*Table1[[#This Row],[Quantity]]</f>
        <v>95</v>
      </c>
    </row>
    <row r="3523" spans="1:15" x14ac:dyDescent="0.3">
      <c r="A3523" t="s">
        <v>5343</v>
      </c>
      <c r="B3523" t="s">
        <v>4074</v>
      </c>
      <c r="C3523" t="s">
        <v>711</v>
      </c>
      <c r="D3523" t="s">
        <v>1080</v>
      </c>
      <c r="E3523">
        <v>1</v>
      </c>
      <c r="F3523">
        <f>_xlfn.XLOOKUP(Table1[[#This Row],[ProductID]],Products!A:A,Products!D:D,,0)</f>
        <v>45</v>
      </c>
      <c r="I3523">
        <v>249</v>
      </c>
      <c r="J3523">
        <v>224</v>
      </c>
      <c r="K3523" t="s">
        <v>1107</v>
      </c>
      <c r="L3523">
        <v>224</v>
      </c>
      <c r="M3523" t="s">
        <v>1093</v>
      </c>
      <c r="N3523" t="s">
        <v>1099</v>
      </c>
      <c r="O3523">
        <f>Table1[[#This Row],[Unit_Price]]*Table1[[#This Row],[Quantity]]</f>
        <v>45</v>
      </c>
    </row>
    <row r="3524" spans="1:15" x14ac:dyDescent="0.3">
      <c r="A3524" t="s">
        <v>5344</v>
      </c>
      <c r="B3524" t="s">
        <v>3135</v>
      </c>
      <c r="C3524" t="s">
        <v>579</v>
      </c>
      <c r="D3524" t="s">
        <v>1080</v>
      </c>
      <c r="E3524">
        <v>1</v>
      </c>
      <c r="F3524">
        <f>_xlfn.XLOOKUP(Table1[[#This Row],[ProductID]],Products!A:A,Products!D:D,,0)</f>
        <v>45</v>
      </c>
      <c r="I3524">
        <v>249</v>
      </c>
      <c r="J3524">
        <v>212</v>
      </c>
      <c r="K3524" t="s">
        <v>1092</v>
      </c>
      <c r="L3524">
        <v>212</v>
      </c>
      <c r="M3524" t="s">
        <v>1118</v>
      </c>
      <c r="N3524" t="s">
        <v>1099</v>
      </c>
      <c r="O3524">
        <f>Table1[[#This Row],[Unit_Price]]*Table1[[#This Row],[Quantity]]</f>
        <v>45</v>
      </c>
    </row>
    <row r="3525" spans="1:15" x14ac:dyDescent="0.3">
      <c r="A3525" t="s">
        <v>5345</v>
      </c>
      <c r="B3525" t="s">
        <v>4118</v>
      </c>
      <c r="C3525" t="s">
        <v>621</v>
      </c>
      <c r="D3525" t="s">
        <v>1078</v>
      </c>
      <c r="E3525">
        <v>3</v>
      </c>
      <c r="F3525">
        <f>_xlfn.XLOOKUP(Table1[[#This Row],[ProductID]],Products!A:A,Products!D:D,,0)</f>
        <v>80</v>
      </c>
      <c r="I3525">
        <v>499</v>
      </c>
      <c r="J3525">
        <v>449</v>
      </c>
      <c r="K3525" t="s">
        <v>1107</v>
      </c>
      <c r="L3525">
        <v>1347</v>
      </c>
      <c r="M3525" t="s">
        <v>1093</v>
      </c>
      <c r="N3525" t="s">
        <v>1099</v>
      </c>
      <c r="O3525">
        <f>Table1[[#This Row],[Unit_Price]]*Table1[[#This Row],[Quantity]]</f>
        <v>240</v>
      </c>
    </row>
    <row r="3526" spans="1:15" x14ac:dyDescent="0.3">
      <c r="A3526" t="s">
        <v>5346</v>
      </c>
      <c r="B3526" t="s">
        <v>1341</v>
      </c>
      <c r="C3526" t="s">
        <v>615</v>
      </c>
      <c r="D3526" t="s">
        <v>1064</v>
      </c>
      <c r="E3526">
        <v>2</v>
      </c>
      <c r="F3526">
        <f>_xlfn.XLOOKUP(Table1[[#This Row],[ProductID]],Products!A:A,Products!D:D,,0)</f>
        <v>160</v>
      </c>
      <c r="I3526">
        <v>699</v>
      </c>
      <c r="J3526">
        <v>629</v>
      </c>
      <c r="K3526" t="s">
        <v>1107</v>
      </c>
      <c r="L3526">
        <v>1258</v>
      </c>
      <c r="M3526" t="s">
        <v>1098</v>
      </c>
      <c r="N3526" t="s">
        <v>1099</v>
      </c>
      <c r="O3526">
        <f>Table1[[#This Row],[Unit_Price]]*Table1[[#This Row],[Quantity]]</f>
        <v>320</v>
      </c>
    </row>
    <row r="3527" spans="1:15" x14ac:dyDescent="0.3">
      <c r="A3527" t="s">
        <v>5347</v>
      </c>
      <c r="B3527" t="s">
        <v>3069</v>
      </c>
      <c r="C3527" t="s">
        <v>1013</v>
      </c>
      <c r="D3527" t="s">
        <v>1053</v>
      </c>
      <c r="E3527">
        <v>1</v>
      </c>
      <c r="F3527">
        <f>_xlfn.XLOOKUP(Table1[[#This Row],[ProductID]],Products!A:A,Products!D:D,,0)</f>
        <v>200</v>
      </c>
      <c r="I3527">
        <v>899</v>
      </c>
      <c r="J3527">
        <v>899</v>
      </c>
      <c r="K3527" t="s">
        <v>1102</v>
      </c>
      <c r="L3527">
        <v>899</v>
      </c>
      <c r="M3527" t="s">
        <v>1093</v>
      </c>
      <c r="N3527" t="s">
        <v>1099</v>
      </c>
      <c r="O3527">
        <f>Table1[[#This Row],[Unit_Price]]*Table1[[#This Row],[Quantity]]</f>
        <v>200</v>
      </c>
    </row>
    <row r="3528" spans="1:15" x14ac:dyDescent="0.3">
      <c r="A3528" t="s">
        <v>5348</v>
      </c>
      <c r="B3528" t="s">
        <v>1174</v>
      </c>
      <c r="C3528" t="s">
        <v>419</v>
      </c>
      <c r="D3528" t="s">
        <v>1057</v>
      </c>
      <c r="E3528">
        <v>2</v>
      </c>
      <c r="F3528">
        <f>_xlfn.XLOOKUP(Table1[[#This Row],[ProductID]],Products!A:A,Products!D:D,,0)</f>
        <v>130</v>
      </c>
      <c r="I3528">
        <v>549</v>
      </c>
      <c r="J3528">
        <v>467</v>
      </c>
      <c r="K3528" t="s">
        <v>1092</v>
      </c>
      <c r="L3528">
        <v>934</v>
      </c>
      <c r="M3528" t="s">
        <v>1098</v>
      </c>
      <c r="N3528" t="s">
        <v>1099</v>
      </c>
      <c r="O3528">
        <f>Table1[[#This Row],[Unit_Price]]*Table1[[#This Row],[Quantity]]</f>
        <v>260</v>
      </c>
    </row>
    <row r="3529" spans="1:15" x14ac:dyDescent="0.3">
      <c r="A3529" t="s">
        <v>5349</v>
      </c>
      <c r="B3529" t="s">
        <v>1283</v>
      </c>
      <c r="C3529" t="s">
        <v>71</v>
      </c>
      <c r="D3529" t="s">
        <v>1080</v>
      </c>
      <c r="E3529">
        <v>1</v>
      </c>
      <c r="F3529">
        <f>_xlfn.XLOOKUP(Table1[[#This Row],[ProductID]],Products!A:A,Products!D:D,,0)</f>
        <v>45</v>
      </c>
      <c r="I3529">
        <v>249</v>
      </c>
      <c r="J3529">
        <v>224</v>
      </c>
      <c r="K3529" t="s">
        <v>1107</v>
      </c>
      <c r="L3529">
        <v>224</v>
      </c>
      <c r="M3529" t="s">
        <v>1098</v>
      </c>
      <c r="N3529" t="s">
        <v>1099</v>
      </c>
      <c r="O3529">
        <f>Table1[[#This Row],[Unit_Price]]*Table1[[#This Row],[Quantity]]</f>
        <v>45</v>
      </c>
    </row>
    <row r="3530" spans="1:15" x14ac:dyDescent="0.3">
      <c r="A3530" t="s">
        <v>5350</v>
      </c>
      <c r="B3530" t="s">
        <v>1339</v>
      </c>
      <c r="C3530" t="s">
        <v>967</v>
      </c>
      <c r="D3530" t="s">
        <v>1059</v>
      </c>
      <c r="E3530">
        <v>4</v>
      </c>
      <c r="F3530">
        <f>_xlfn.XLOOKUP(Table1[[#This Row],[ProductID]],Products!A:A,Products!D:D,,0)</f>
        <v>110</v>
      </c>
      <c r="I3530">
        <v>399</v>
      </c>
      <c r="J3530">
        <v>319</v>
      </c>
      <c r="K3530" t="s">
        <v>1097</v>
      </c>
      <c r="L3530">
        <v>1276</v>
      </c>
      <c r="M3530" t="s">
        <v>1093</v>
      </c>
      <c r="N3530" t="s">
        <v>1099</v>
      </c>
      <c r="O3530">
        <f>Table1[[#This Row],[Unit_Price]]*Table1[[#This Row],[Quantity]]</f>
        <v>440</v>
      </c>
    </row>
    <row r="3531" spans="1:15" x14ac:dyDescent="0.3">
      <c r="A3531" t="s">
        <v>5351</v>
      </c>
      <c r="B3531" t="s">
        <v>1935</v>
      </c>
      <c r="C3531" t="s">
        <v>1033</v>
      </c>
      <c r="D3531" t="s">
        <v>1073</v>
      </c>
      <c r="E3531">
        <v>1</v>
      </c>
      <c r="F3531">
        <f>_xlfn.XLOOKUP(Table1[[#This Row],[ProductID]],Products!A:A,Products!D:D,,0)</f>
        <v>100</v>
      </c>
      <c r="I3531">
        <v>349</v>
      </c>
      <c r="J3531">
        <v>314</v>
      </c>
      <c r="K3531" t="s">
        <v>1107</v>
      </c>
      <c r="L3531">
        <v>314</v>
      </c>
      <c r="M3531" t="s">
        <v>1093</v>
      </c>
      <c r="N3531" t="s">
        <v>1094</v>
      </c>
      <c r="O3531">
        <f>Table1[[#This Row],[Unit_Price]]*Table1[[#This Row],[Quantity]]</f>
        <v>100</v>
      </c>
    </row>
    <row r="3532" spans="1:15" x14ac:dyDescent="0.3">
      <c r="A3532" t="s">
        <v>5352</v>
      </c>
      <c r="B3532" t="s">
        <v>3742</v>
      </c>
      <c r="C3532" t="s">
        <v>1027</v>
      </c>
      <c r="D3532" t="s">
        <v>1066</v>
      </c>
      <c r="E3532">
        <v>1</v>
      </c>
      <c r="F3532">
        <f>_xlfn.XLOOKUP(Table1[[#This Row],[ProductID]],Products!A:A,Products!D:D,,0)</f>
        <v>140</v>
      </c>
      <c r="I3532">
        <v>499</v>
      </c>
      <c r="J3532">
        <v>449</v>
      </c>
      <c r="K3532" t="s">
        <v>1107</v>
      </c>
      <c r="L3532">
        <v>449</v>
      </c>
      <c r="M3532" t="s">
        <v>1098</v>
      </c>
      <c r="N3532" t="s">
        <v>1099</v>
      </c>
      <c r="O3532">
        <f>Table1[[#This Row],[Unit_Price]]*Table1[[#This Row],[Quantity]]</f>
        <v>140</v>
      </c>
    </row>
    <row r="3533" spans="1:15" x14ac:dyDescent="0.3">
      <c r="A3533" t="s">
        <v>5353</v>
      </c>
      <c r="B3533" t="s">
        <v>1398</v>
      </c>
      <c r="C3533" t="s">
        <v>843</v>
      </c>
      <c r="D3533" t="s">
        <v>1048</v>
      </c>
      <c r="E3533">
        <v>2</v>
      </c>
      <c r="F3533">
        <f>_xlfn.XLOOKUP(Table1[[#This Row],[ProductID]],Products!A:A,Products!D:D,,0)</f>
        <v>120</v>
      </c>
      <c r="I3533">
        <v>599</v>
      </c>
      <c r="J3533">
        <v>539</v>
      </c>
      <c r="K3533" t="s">
        <v>1107</v>
      </c>
      <c r="L3533">
        <v>1078</v>
      </c>
      <c r="M3533" t="s">
        <v>1098</v>
      </c>
      <c r="N3533" t="s">
        <v>1099</v>
      </c>
      <c r="O3533">
        <f>Table1[[#This Row],[Unit_Price]]*Table1[[#This Row],[Quantity]]</f>
        <v>240</v>
      </c>
    </row>
    <row r="3534" spans="1:15" x14ac:dyDescent="0.3">
      <c r="A3534" t="s">
        <v>5354</v>
      </c>
      <c r="B3534" t="s">
        <v>1232</v>
      </c>
      <c r="C3534" t="s">
        <v>587</v>
      </c>
      <c r="D3534" t="s">
        <v>1078</v>
      </c>
      <c r="E3534">
        <v>4</v>
      </c>
      <c r="F3534">
        <f>_xlfn.XLOOKUP(Table1[[#This Row],[ProductID]],Products!A:A,Products!D:D,,0)</f>
        <v>80</v>
      </c>
      <c r="I3534">
        <v>499</v>
      </c>
      <c r="J3534">
        <v>449</v>
      </c>
      <c r="K3534" t="s">
        <v>1107</v>
      </c>
      <c r="L3534">
        <v>1796</v>
      </c>
      <c r="M3534" t="s">
        <v>1093</v>
      </c>
      <c r="N3534" t="s">
        <v>1094</v>
      </c>
      <c r="O3534">
        <f>Table1[[#This Row],[Unit_Price]]*Table1[[#This Row],[Quantity]]</f>
        <v>320</v>
      </c>
    </row>
    <row r="3535" spans="1:15" x14ac:dyDescent="0.3">
      <c r="A3535" t="s">
        <v>5355</v>
      </c>
      <c r="B3535" t="s">
        <v>2224</v>
      </c>
      <c r="C3535" t="s">
        <v>467</v>
      </c>
      <c r="D3535" t="s">
        <v>1051</v>
      </c>
      <c r="E3535">
        <v>2</v>
      </c>
      <c r="F3535">
        <f>_xlfn.XLOOKUP(Table1[[#This Row],[ProductID]],Products!A:A,Products!D:D,,0)</f>
        <v>150</v>
      </c>
      <c r="I3535">
        <v>499</v>
      </c>
      <c r="J3535">
        <v>449</v>
      </c>
      <c r="K3535" t="s">
        <v>1107</v>
      </c>
      <c r="L3535">
        <v>898</v>
      </c>
      <c r="M3535" t="s">
        <v>1093</v>
      </c>
      <c r="N3535" t="s">
        <v>1099</v>
      </c>
      <c r="O3535">
        <f>Table1[[#This Row],[Unit_Price]]*Table1[[#This Row],[Quantity]]</f>
        <v>300</v>
      </c>
    </row>
    <row r="3536" spans="1:15" x14ac:dyDescent="0.3">
      <c r="A3536" t="s">
        <v>5356</v>
      </c>
      <c r="B3536" t="s">
        <v>2119</v>
      </c>
      <c r="C3536" t="s">
        <v>869</v>
      </c>
      <c r="D3536" t="s">
        <v>1078</v>
      </c>
      <c r="E3536">
        <v>1</v>
      </c>
      <c r="F3536">
        <f>_xlfn.XLOOKUP(Table1[[#This Row],[ProductID]],Products!A:A,Products!D:D,,0)</f>
        <v>80</v>
      </c>
      <c r="I3536">
        <v>499</v>
      </c>
      <c r="J3536">
        <v>449</v>
      </c>
      <c r="K3536" t="s">
        <v>1107</v>
      </c>
      <c r="L3536">
        <v>449</v>
      </c>
      <c r="M3536" t="s">
        <v>1093</v>
      </c>
      <c r="N3536" t="s">
        <v>1099</v>
      </c>
      <c r="O3536">
        <f>Table1[[#This Row],[Unit_Price]]*Table1[[#This Row],[Quantity]]</f>
        <v>80</v>
      </c>
    </row>
    <row r="3537" spans="1:15" x14ac:dyDescent="0.3">
      <c r="A3537" t="s">
        <v>5357</v>
      </c>
      <c r="B3537" t="s">
        <v>2658</v>
      </c>
      <c r="C3537" t="s">
        <v>225</v>
      </c>
      <c r="D3537" t="s">
        <v>1053</v>
      </c>
      <c r="E3537">
        <v>1</v>
      </c>
      <c r="F3537">
        <f>_xlfn.XLOOKUP(Table1[[#This Row],[ProductID]],Products!A:A,Products!D:D,,0)</f>
        <v>200</v>
      </c>
      <c r="I3537">
        <v>899</v>
      </c>
      <c r="J3537">
        <v>809</v>
      </c>
      <c r="K3537" t="s">
        <v>1107</v>
      </c>
      <c r="L3537">
        <v>809</v>
      </c>
      <c r="M3537" t="s">
        <v>1098</v>
      </c>
      <c r="N3537" t="s">
        <v>1099</v>
      </c>
      <c r="O3537">
        <f>Table1[[#This Row],[Unit_Price]]*Table1[[#This Row],[Quantity]]</f>
        <v>200</v>
      </c>
    </row>
    <row r="3538" spans="1:15" x14ac:dyDescent="0.3">
      <c r="A3538" t="s">
        <v>5358</v>
      </c>
      <c r="B3538" t="s">
        <v>2709</v>
      </c>
      <c r="C3538" t="s">
        <v>179</v>
      </c>
      <c r="D3538" t="s">
        <v>1059</v>
      </c>
      <c r="E3538">
        <v>1</v>
      </c>
      <c r="F3538">
        <f>_xlfn.XLOOKUP(Table1[[#This Row],[ProductID]],Products!A:A,Products!D:D,,0)</f>
        <v>110</v>
      </c>
      <c r="I3538">
        <v>399</v>
      </c>
      <c r="J3538">
        <v>359</v>
      </c>
      <c r="K3538" t="s">
        <v>1107</v>
      </c>
      <c r="L3538">
        <v>359</v>
      </c>
      <c r="M3538" t="s">
        <v>1093</v>
      </c>
      <c r="N3538" t="s">
        <v>1099</v>
      </c>
      <c r="O3538">
        <f>Table1[[#This Row],[Unit_Price]]*Table1[[#This Row],[Quantity]]</f>
        <v>110</v>
      </c>
    </row>
    <row r="3539" spans="1:15" x14ac:dyDescent="0.3">
      <c r="A3539" t="s">
        <v>5359</v>
      </c>
      <c r="B3539" t="s">
        <v>1944</v>
      </c>
      <c r="C3539" t="s">
        <v>583</v>
      </c>
      <c r="D3539" t="s">
        <v>1053</v>
      </c>
      <c r="E3539">
        <v>2</v>
      </c>
      <c r="F3539">
        <f>_xlfn.XLOOKUP(Table1[[#This Row],[ProductID]],Products!A:A,Products!D:D,,0)</f>
        <v>200</v>
      </c>
      <c r="I3539">
        <v>899</v>
      </c>
      <c r="J3539">
        <v>899</v>
      </c>
      <c r="K3539" t="s">
        <v>1102</v>
      </c>
      <c r="L3539">
        <v>1798</v>
      </c>
      <c r="M3539" t="s">
        <v>1093</v>
      </c>
      <c r="N3539" t="s">
        <v>1094</v>
      </c>
      <c r="O3539">
        <f>Table1[[#This Row],[Unit_Price]]*Table1[[#This Row],[Quantity]]</f>
        <v>400</v>
      </c>
    </row>
    <row r="3540" spans="1:15" x14ac:dyDescent="0.3">
      <c r="A3540" t="s">
        <v>5360</v>
      </c>
      <c r="B3540" t="s">
        <v>1142</v>
      </c>
      <c r="C3540" t="s">
        <v>385</v>
      </c>
      <c r="D3540" t="s">
        <v>1068</v>
      </c>
      <c r="E3540">
        <v>1</v>
      </c>
      <c r="F3540">
        <f>_xlfn.XLOOKUP(Table1[[#This Row],[ProductID]],Products!A:A,Products!D:D,,0)</f>
        <v>180</v>
      </c>
      <c r="I3540">
        <v>449</v>
      </c>
      <c r="J3540">
        <v>404</v>
      </c>
      <c r="K3540" t="s">
        <v>1107</v>
      </c>
      <c r="L3540">
        <v>404</v>
      </c>
      <c r="M3540" t="s">
        <v>1093</v>
      </c>
      <c r="N3540" t="s">
        <v>1099</v>
      </c>
      <c r="O3540">
        <f>Table1[[#This Row],[Unit_Price]]*Table1[[#This Row],[Quantity]]</f>
        <v>180</v>
      </c>
    </row>
    <row r="3541" spans="1:15" x14ac:dyDescent="0.3">
      <c r="A3541" t="s">
        <v>5361</v>
      </c>
      <c r="B3541" t="s">
        <v>1357</v>
      </c>
      <c r="C3541" t="s">
        <v>453</v>
      </c>
      <c r="D3541" t="s">
        <v>1071</v>
      </c>
      <c r="E3541">
        <v>4</v>
      </c>
      <c r="F3541">
        <f>_xlfn.XLOOKUP(Table1[[#This Row],[ProductID]],Products!A:A,Products!D:D,,0)</f>
        <v>125</v>
      </c>
      <c r="I3541">
        <v>399</v>
      </c>
      <c r="J3541">
        <v>319</v>
      </c>
      <c r="K3541" t="s">
        <v>1097</v>
      </c>
      <c r="L3541">
        <v>1276</v>
      </c>
      <c r="M3541" t="s">
        <v>1126</v>
      </c>
      <c r="N3541" t="s">
        <v>1099</v>
      </c>
      <c r="O3541">
        <f>Table1[[#This Row],[Unit_Price]]*Table1[[#This Row],[Quantity]]</f>
        <v>500</v>
      </c>
    </row>
    <row r="3542" spans="1:15" x14ac:dyDescent="0.3">
      <c r="A3542" t="s">
        <v>5362</v>
      </c>
      <c r="B3542" t="s">
        <v>2342</v>
      </c>
      <c r="C3542" t="s">
        <v>845</v>
      </c>
      <c r="D3542" t="s">
        <v>1051</v>
      </c>
      <c r="E3542">
        <v>1</v>
      </c>
      <c r="F3542">
        <f>_xlfn.XLOOKUP(Table1[[#This Row],[ProductID]],Products!A:A,Products!D:D,,0)</f>
        <v>150</v>
      </c>
      <c r="I3542">
        <v>499</v>
      </c>
      <c r="J3542">
        <v>449</v>
      </c>
      <c r="K3542" t="s">
        <v>1107</v>
      </c>
      <c r="L3542">
        <v>449</v>
      </c>
      <c r="M3542" t="s">
        <v>1098</v>
      </c>
      <c r="N3542" t="s">
        <v>1123</v>
      </c>
      <c r="O3542">
        <f>Table1[[#This Row],[Unit_Price]]*Table1[[#This Row],[Quantity]]</f>
        <v>150</v>
      </c>
    </row>
    <row r="3543" spans="1:15" x14ac:dyDescent="0.3">
      <c r="A3543" t="s">
        <v>5363</v>
      </c>
      <c r="B3543" t="s">
        <v>1595</v>
      </c>
      <c r="C3543" t="s">
        <v>593</v>
      </c>
      <c r="D3543" t="s">
        <v>1064</v>
      </c>
      <c r="E3543">
        <v>1</v>
      </c>
      <c r="F3543">
        <f>_xlfn.XLOOKUP(Table1[[#This Row],[ProductID]],Products!A:A,Products!D:D,,0)</f>
        <v>160</v>
      </c>
      <c r="I3543">
        <v>699</v>
      </c>
      <c r="J3543">
        <v>629</v>
      </c>
      <c r="K3543" t="s">
        <v>1107</v>
      </c>
      <c r="L3543">
        <v>629</v>
      </c>
      <c r="M3543" t="s">
        <v>1098</v>
      </c>
      <c r="N3543" t="s">
        <v>1099</v>
      </c>
      <c r="O3543">
        <f>Table1[[#This Row],[Unit_Price]]*Table1[[#This Row],[Quantity]]</f>
        <v>160</v>
      </c>
    </row>
    <row r="3544" spans="1:15" x14ac:dyDescent="0.3">
      <c r="A3544" t="s">
        <v>5364</v>
      </c>
      <c r="B3544" t="s">
        <v>1645</v>
      </c>
      <c r="C3544" t="s">
        <v>183</v>
      </c>
      <c r="D3544" t="s">
        <v>1078</v>
      </c>
      <c r="E3544">
        <v>1</v>
      </c>
      <c r="F3544">
        <f>_xlfn.XLOOKUP(Table1[[#This Row],[ProductID]],Products!A:A,Products!D:D,,0)</f>
        <v>80</v>
      </c>
      <c r="I3544">
        <v>499</v>
      </c>
      <c r="J3544">
        <v>449</v>
      </c>
      <c r="K3544" t="s">
        <v>1107</v>
      </c>
      <c r="L3544">
        <v>449</v>
      </c>
      <c r="M3544" t="s">
        <v>1098</v>
      </c>
      <c r="N3544" t="s">
        <v>1099</v>
      </c>
      <c r="O3544">
        <f>Table1[[#This Row],[Unit_Price]]*Table1[[#This Row],[Quantity]]</f>
        <v>80</v>
      </c>
    </row>
    <row r="3545" spans="1:15" x14ac:dyDescent="0.3">
      <c r="A3545" t="s">
        <v>5365</v>
      </c>
      <c r="B3545" t="s">
        <v>1973</v>
      </c>
      <c r="C3545" t="s">
        <v>1011</v>
      </c>
      <c r="D3545" t="s">
        <v>1066</v>
      </c>
      <c r="E3545">
        <v>1</v>
      </c>
      <c r="F3545">
        <f>_xlfn.XLOOKUP(Table1[[#This Row],[ProductID]],Products!A:A,Products!D:D,,0)</f>
        <v>140</v>
      </c>
      <c r="I3545">
        <v>499</v>
      </c>
      <c r="J3545">
        <v>424</v>
      </c>
      <c r="K3545" t="s">
        <v>1092</v>
      </c>
      <c r="L3545">
        <v>424</v>
      </c>
      <c r="M3545" t="s">
        <v>1093</v>
      </c>
      <c r="N3545" t="s">
        <v>1094</v>
      </c>
      <c r="O3545">
        <f>Table1[[#This Row],[Unit_Price]]*Table1[[#This Row],[Quantity]]</f>
        <v>140</v>
      </c>
    </row>
    <row r="3546" spans="1:15" x14ac:dyDescent="0.3">
      <c r="A3546" t="s">
        <v>5366</v>
      </c>
      <c r="B3546" t="s">
        <v>2237</v>
      </c>
      <c r="C3546" t="s">
        <v>59</v>
      </c>
      <c r="D3546" t="s">
        <v>1078</v>
      </c>
      <c r="E3546">
        <v>1</v>
      </c>
      <c r="F3546">
        <f>_xlfn.XLOOKUP(Table1[[#This Row],[ProductID]],Products!A:A,Products!D:D,,0)</f>
        <v>80</v>
      </c>
      <c r="I3546">
        <v>499</v>
      </c>
      <c r="J3546">
        <v>499</v>
      </c>
      <c r="K3546" t="s">
        <v>1102</v>
      </c>
      <c r="L3546">
        <v>499</v>
      </c>
      <c r="M3546" t="s">
        <v>1126</v>
      </c>
      <c r="N3546" t="s">
        <v>1099</v>
      </c>
      <c r="O3546">
        <f>Table1[[#This Row],[Unit_Price]]*Table1[[#This Row],[Quantity]]</f>
        <v>80</v>
      </c>
    </row>
    <row r="3547" spans="1:15" x14ac:dyDescent="0.3">
      <c r="A3547" t="s">
        <v>5367</v>
      </c>
      <c r="B3547" t="s">
        <v>2208</v>
      </c>
      <c r="C3547" t="s">
        <v>120</v>
      </c>
      <c r="D3547" t="s">
        <v>1073</v>
      </c>
      <c r="E3547">
        <v>1</v>
      </c>
      <c r="F3547">
        <f>_xlfn.XLOOKUP(Table1[[#This Row],[ProductID]],Products!A:A,Products!D:D,,0)</f>
        <v>100</v>
      </c>
      <c r="I3547">
        <v>349</v>
      </c>
      <c r="J3547">
        <v>314</v>
      </c>
      <c r="K3547" t="s">
        <v>1107</v>
      </c>
      <c r="L3547">
        <v>314</v>
      </c>
      <c r="M3547" t="s">
        <v>1098</v>
      </c>
      <c r="N3547" t="s">
        <v>1094</v>
      </c>
      <c r="O3547">
        <f>Table1[[#This Row],[Unit_Price]]*Table1[[#This Row],[Quantity]]</f>
        <v>100</v>
      </c>
    </row>
    <row r="3548" spans="1:15" x14ac:dyDescent="0.3">
      <c r="A3548" t="s">
        <v>5368</v>
      </c>
      <c r="B3548" t="s">
        <v>3113</v>
      </c>
      <c r="C3548" t="s">
        <v>503</v>
      </c>
      <c r="D3548" t="s">
        <v>1064</v>
      </c>
      <c r="E3548">
        <v>1</v>
      </c>
      <c r="F3548">
        <f>_xlfn.XLOOKUP(Table1[[#This Row],[ProductID]],Products!A:A,Products!D:D,,0)</f>
        <v>160</v>
      </c>
      <c r="I3548">
        <v>699</v>
      </c>
      <c r="J3548">
        <v>594</v>
      </c>
      <c r="K3548" t="s">
        <v>1092</v>
      </c>
      <c r="L3548">
        <v>594</v>
      </c>
      <c r="M3548" t="s">
        <v>1098</v>
      </c>
      <c r="N3548" t="s">
        <v>1099</v>
      </c>
      <c r="O3548">
        <f>Table1[[#This Row],[Unit_Price]]*Table1[[#This Row],[Quantity]]</f>
        <v>160</v>
      </c>
    </row>
    <row r="3549" spans="1:15" x14ac:dyDescent="0.3">
      <c r="A3549" t="s">
        <v>5369</v>
      </c>
      <c r="B3549" t="s">
        <v>1949</v>
      </c>
      <c r="C3549" t="s">
        <v>647</v>
      </c>
      <c r="D3549" t="s">
        <v>1064</v>
      </c>
      <c r="E3549">
        <v>1</v>
      </c>
      <c r="F3549">
        <f>_xlfn.XLOOKUP(Table1[[#This Row],[ProductID]],Products!A:A,Products!D:D,,0)</f>
        <v>160</v>
      </c>
      <c r="I3549">
        <v>699</v>
      </c>
      <c r="J3549">
        <v>629</v>
      </c>
      <c r="K3549" t="s">
        <v>1107</v>
      </c>
      <c r="L3549">
        <v>629</v>
      </c>
      <c r="M3549" t="s">
        <v>1098</v>
      </c>
      <c r="N3549" t="s">
        <v>1099</v>
      </c>
      <c r="O3549">
        <f>Table1[[#This Row],[Unit_Price]]*Table1[[#This Row],[Quantity]]</f>
        <v>160</v>
      </c>
    </row>
    <row r="3550" spans="1:15" x14ac:dyDescent="0.3">
      <c r="A3550" t="s">
        <v>5370</v>
      </c>
      <c r="B3550" t="s">
        <v>1455</v>
      </c>
      <c r="C3550" t="s">
        <v>779</v>
      </c>
      <c r="D3550" t="s">
        <v>1048</v>
      </c>
      <c r="E3550">
        <v>2</v>
      </c>
      <c r="F3550">
        <f>_xlfn.XLOOKUP(Table1[[#This Row],[ProductID]],Products!A:A,Products!D:D,,0)</f>
        <v>120</v>
      </c>
      <c r="I3550">
        <v>599</v>
      </c>
      <c r="J3550">
        <v>479</v>
      </c>
      <c r="K3550" t="s">
        <v>1097</v>
      </c>
      <c r="L3550">
        <v>958</v>
      </c>
      <c r="M3550" t="s">
        <v>1118</v>
      </c>
      <c r="N3550" t="s">
        <v>1099</v>
      </c>
      <c r="O3550">
        <f>Table1[[#This Row],[Unit_Price]]*Table1[[#This Row],[Quantity]]</f>
        <v>240</v>
      </c>
    </row>
    <row r="3551" spans="1:15" x14ac:dyDescent="0.3">
      <c r="A3551" t="s">
        <v>5371</v>
      </c>
      <c r="B3551" t="s">
        <v>2158</v>
      </c>
      <c r="C3551" t="s">
        <v>899</v>
      </c>
      <c r="D3551" t="s">
        <v>1064</v>
      </c>
      <c r="E3551">
        <v>1</v>
      </c>
      <c r="F3551">
        <f>_xlfn.XLOOKUP(Table1[[#This Row],[ProductID]],Products!A:A,Products!D:D,,0)</f>
        <v>160</v>
      </c>
      <c r="I3551">
        <v>699</v>
      </c>
      <c r="J3551">
        <v>629</v>
      </c>
      <c r="K3551" t="s">
        <v>1107</v>
      </c>
      <c r="L3551">
        <v>629</v>
      </c>
      <c r="M3551" t="s">
        <v>1093</v>
      </c>
      <c r="N3551" t="s">
        <v>1094</v>
      </c>
      <c r="O3551">
        <f>Table1[[#This Row],[Unit_Price]]*Table1[[#This Row],[Quantity]]</f>
        <v>160</v>
      </c>
    </row>
    <row r="3552" spans="1:15" x14ac:dyDescent="0.3">
      <c r="A3552" t="s">
        <v>5372</v>
      </c>
      <c r="B3552" t="s">
        <v>2477</v>
      </c>
      <c r="C3552" t="s">
        <v>551</v>
      </c>
      <c r="D3552" t="s">
        <v>1057</v>
      </c>
      <c r="E3552">
        <v>1</v>
      </c>
      <c r="F3552">
        <f>_xlfn.XLOOKUP(Table1[[#This Row],[ProductID]],Products!A:A,Products!D:D,,0)</f>
        <v>130</v>
      </c>
      <c r="I3552">
        <v>549</v>
      </c>
      <c r="J3552">
        <v>439</v>
      </c>
      <c r="K3552" t="s">
        <v>1097</v>
      </c>
      <c r="L3552">
        <v>439</v>
      </c>
      <c r="M3552" t="s">
        <v>1098</v>
      </c>
      <c r="N3552" t="s">
        <v>1099</v>
      </c>
      <c r="O3552">
        <f>Table1[[#This Row],[Unit_Price]]*Table1[[#This Row],[Quantity]]</f>
        <v>130</v>
      </c>
    </row>
    <row r="3553" spans="1:15" x14ac:dyDescent="0.3">
      <c r="A3553" t="s">
        <v>5373</v>
      </c>
      <c r="B3553" t="s">
        <v>2342</v>
      </c>
      <c r="C3553" t="s">
        <v>987</v>
      </c>
      <c r="D3553" t="s">
        <v>1073</v>
      </c>
      <c r="E3553">
        <v>2</v>
      </c>
      <c r="F3553">
        <f>_xlfn.XLOOKUP(Table1[[#This Row],[ProductID]],Products!A:A,Products!D:D,,0)</f>
        <v>100</v>
      </c>
      <c r="I3553">
        <v>349</v>
      </c>
      <c r="J3553">
        <v>297</v>
      </c>
      <c r="K3553" t="s">
        <v>1092</v>
      </c>
      <c r="L3553">
        <v>594</v>
      </c>
      <c r="M3553" t="s">
        <v>1098</v>
      </c>
      <c r="N3553" t="s">
        <v>1099</v>
      </c>
      <c r="O3553">
        <f>Table1[[#This Row],[Unit_Price]]*Table1[[#This Row],[Quantity]]</f>
        <v>200</v>
      </c>
    </row>
    <row r="3554" spans="1:15" x14ac:dyDescent="0.3">
      <c r="A3554" t="s">
        <v>5374</v>
      </c>
      <c r="B3554" t="s">
        <v>2109</v>
      </c>
      <c r="C3554" t="s">
        <v>273</v>
      </c>
      <c r="D3554" t="s">
        <v>1062</v>
      </c>
      <c r="E3554">
        <v>1</v>
      </c>
      <c r="F3554">
        <f>_xlfn.XLOOKUP(Table1[[#This Row],[ProductID]],Products!A:A,Products!D:D,,0)</f>
        <v>95</v>
      </c>
      <c r="I3554">
        <v>349</v>
      </c>
      <c r="J3554">
        <v>279</v>
      </c>
      <c r="K3554" t="s">
        <v>1097</v>
      </c>
      <c r="L3554">
        <v>279</v>
      </c>
      <c r="M3554" t="s">
        <v>1098</v>
      </c>
      <c r="N3554" t="s">
        <v>1099</v>
      </c>
      <c r="O3554">
        <f>Table1[[#This Row],[Unit_Price]]*Table1[[#This Row],[Quantity]]</f>
        <v>95</v>
      </c>
    </row>
    <row r="3555" spans="1:15" x14ac:dyDescent="0.3">
      <c r="A3555" t="s">
        <v>5375</v>
      </c>
      <c r="B3555" t="s">
        <v>1125</v>
      </c>
      <c r="C3555" t="s">
        <v>285</v>
      </c>
      <c r="D3555" t="s">
        <v>1071</v>
      </c>
      <c r="E3555">
        <v>2</v>
      </c>
      <c r="F3555">
        <f>_xlfn.XLOOKUP(Table1[[#This Row],[ProductID]],Products!A:A,Products!D:D,,0)</f>
        <v>125</v>
      </c>
      <c r="I3555">
        <v>399</v>
      </c>
      <c r="J3555">
        <v>359</v>
      </c>
      <c r="K3555" t="s">
        <v>1107</v>
      </c>
      <c r="L3555">
        <v>718</v>
      </c>
      <c r="M3555" t="s">
        <v>1098</v>
      </c>
      <c r="N3555" t="s">
        <v>1099</v>
      </c>
      <c r="O3555">
        <f>Table1[[#This Row],[Unit_Price]]*Table1[[#This Row],[Quantity]]</f>
        <v>250</v>
      </c>
    </row>
    <row r="3556" spans="1:15" x14ac:dyDescent="0.3">
      <c r="A3556" t="s">
        <v>5376</v>
      </c>
      <c r="B3556" t="s">
        <v>4090</v>
      </c>
      <c r="C3556" t="s">
        <v>415</v>
      </c>
      <c r="D3556" t="s">
        <v>1059</v>
      </c>
      <c r="E3556">
        <v>3</v>
      </c>
      <c r="F3556">
        <f>_xlfn.XLOOKUP(Table1[[#This Row],[ProductID]],Products!A:A,Products!D:D,,0)</f>
        <v>110</v>
      </c>
      <c r="I3556">
        <v>399</v>
      </c>
      <c r="J3556">
        <v>399</v>
      </c>
      <c r="K3556" t="s">
        <v>1102</v>
      </c>
      <c r="L3556">
        <v>1197</v>
      </c>
      <c r="M3556" t="s">
        <v>1098</v>
      </c>
      <c r="N3556" t="s">
        <v>1099</v>
      </c>
      <c r="O3556">
        <f>Table1[[#This Row],[Unit_Price]]*Table1[[#This Row],[Quantity]]</f>
        <v>330</v>
      </c>
    </row>
    <row r="3557" spans="1:15" x14ac:dyDescent="0.3">
      <c r="A3557" t="s">
        <v>5377</v>
      </c>
      <c r="B3557" t="s">
        <v>3952</v>
      </c>
      <c r="C3557" t="s">
        <v>383</v>
      </c>
      <c r="D3557" t="s">
        <v>1051</v>
      </c>
      <c r="E3557">
        <v>1</v>
      </c>
      <c r="F3557">
        <f>_xlfn.XLOOKUP(Table1[[#This Row],[ProductID]],Products!A:A,Products!D:D,,0)</f>
        <v>150</v>
      </c>
      <c r="I3557">
        <v>499</v>
      </c>
      <c r="J3557">
        <v>449</v>
      </c>
      <c r="K3557" t="s">
        <v>1107</v>
      </c>
      <c r="L3557">
        <v>449</v>
      </c>
      <c r="M3557" t="s">
        <v>1093</v>
      </c>
      <c r="N3557" t="s">
        <v>1094</v>
      </c>
      <c r="O3557">
        <f>Table1[[#This Row],[Unit_Price]]*Table1[[#This Row],[Quantity]]</f>
        <v>150</v>
      </c>
    </row>
    <row r="3558" spans="1:15" x14ac:dyDescent="0.3">
      <c r="A3558" t="s">
        <v>5378</v>
      </c>
      <c r="B3558" t="s">
        <v>1842</v>
      </c>
      <c r="C3558" t="s">
        <v>767</v>
      </c>
      <c r="D3558" t="s">
        <v>1051</v>
      </c>
      <c r="E3558">
        <v>1</v>
      </c>
      <c r="F3558">
        <f>_xlfn.XLOOKUP(Table1[[#This Row],[ProductID]],Products!A:A,Products!D:D,,0)</f>
        <v>150</v>
      </c>
      <c r="I3558">
        <v>499</v>
      </c>
      <c r="J3558">
        <v>449</v>
      </c>
      <c r="K3558" t="s">
        <v>1107</v>
      </c>
      <c r="L3558">
        <v>449</v>
      </c>
      <c r="M3558" t="s">
        <v>1098</v>
      </c>
      <c r="N3558" t="s">
        <v>1099</v>
      </c>
      <c r="O3558">
        <f>Table1[[#This Row],[Unit_Price]]*Table1[[#This Row],[Quantity]]</f>
        <v>150</v>
      </c>
    </row>
    <row r="3559" spans="1:15" x14ac:dyDescent="0.3">
      <c r="A3559" t="s">
        <v>5379</v>
      </c>
      <c r="B3559" t="s">
        <v>1278</v>
      </c>
      <c r="C3559" t="s">
        <v>733</v>
      </c>
      <c r="D3559" t="s">
        <v>1073</v>
      </c>
      <c r="E3559">
        <v>1</v>
      </c>
      <c r="F3559">
        <f>_xlfn.XLOOKUP(Table1[[#This Row],[ProductID]],Products!A:A,Products!D:D,,0)</f>
        <v>100</v>
      </c>
      <c r="I3559">
        <v>349</v>
      </c>
      <c r="J3559">
        <v>314</v>
      </c>
      <c r="K3559" t="s">
        <v>1107</v>
      </c>
      <c r="L3559">
        <v>314</v>
      </c>
      <c r="M3559" t="s">
        <v>1093</v>
      </c>
      <c r="N3559" t="s">
        <v>1099</v>
      </c>
      <c r="O3559">
        <f>Table1[[#This Row],[Unit_Price]]*Table1[[#This Row],[Quantity]]</f>
        <v>100</v>
      </c>
    </row>
    <row r="3560" spans="1:15" x14ac:dyDescent="0.3">
      <c r="A3560" t="s">
        <v>5380</v>
      </c>
      <c r="B3560" t="s">
        <v>1880</v>
      </c>
      <c r="C3560" t="s">
        <v>213</v>
      </c>
      <c r="D3560" t="s">
        <v>1073</v>
      </c>
      <c r="E3560">
        <v>1</v>
      </c>
      <c r="F3560">
        <f>_xlfn.XLOOKUP(Table1[[#This Row],[ProductID]],Products!A:A,Products!D:D,,0)</f>
        <v>100</v>
      </c>
      <c r="I3560">
        <v>349</v>
      </c>
      <c r="J3560">
        <v>314</v>
      </c>
      <c r="K3560" t="s">
        <v>1107</v>
      </c>
      <c r="L3560">
        <v>314</v>
      </c>
      <c r="M3560" t="s">
        <v>1093</v>
      </c>
      <c r="N3560" t="s">
        <v>1099</v>
      </c>
      <c r="O3560">
        <f>Table1[[#This Row],[Unit_Price]]*Table1[[#This Row],[Quantity]]</f>
        <v>100</v>
      </c>
    </row>
    <row r="3561" spans="1:15" x14ac:dyDescent="0.3">
      <c r="A3561" t="s">
        <v>5381</v>
      </c>
      <c r="B3561" t="s">
        <v>2021</v>
      </c>
      <c r="C3561" t="s">
        <v>761</v>
      </c>
      <c r="D3561" t="s">
        <v>1064</v>
      </c>
      <c r="E3561">
        <v>1</v>
      </c>
      <c r="F3561">
        <f>_xlfn.XLOOKUP(Table1[[#This Row],[ProductID]],Products!A:A,Products!D:D,,0)</f>
        <v>160</v>
      </c>
      <c r="I3561">
        <v>699</v>
      </c>
      <c r="J3561">
        <v>559</v>
      </c>
      <c r="K3561" t="s">
        <v>1097</v>
      </c>
      <c r="L3561">
        <v>559</v>
      </c>
      <c r="M3561" t="s">
        <v>1098</v>
      </c>
      <c r="N3561" t="s">
        <v>1099</v>
      </c>
      <c r="O3561">
        <f>Table1[[#This Row],[Unit_Price]]*Table1[[#This Row],[Quantity]]</f>
        <v>160</v>
      </c>
    </row>
    <row r="3562" spans="1:15" x14ac:dyDescent="0.3">
      <c r="A3562" t="s">
        <v>5382</v>
      </c>
      <c r="B3562" t="s">
        <v>3470</v>
      </c>
      <c r="C3562" t="s">
        <v>849</v>
      </c>
      <c r="D3562" t="s">
        <v>1051</v>
      </c>
      <c r="E3562">
        <v>4</v>
      </c>
      <c r="F3562">
        <f>_xlfn.XLOOKUP(Table1[[#This Row],[ProductID]],Products!A:A,Products!D:D,,0)</f>
        <v>150</v>
      </c>
      <c r="I3562">
        <v>499</v>
      </c>
      <c r="J3562">
        <v>499</v>
      </c>
      <c r="K3562" t="s">
        <v>1102</v>
      </c>
      <c r="L3562">
        <v>1996</v>
      </c>
      <c r="M3562" t="s">
        <v>1093</v>
      </c>
      <c r="N3562" t="s">
        <v>1099</v>
      </c>
      <c r="O3562">
        <f>Table1[[#This Row],[Unit_Price]]*Table1[[#This Row],[Quantity]]</f>
        <v>600</v>
      </c>
    </row>
    <row r="3563" spans="1:15" x14ac:dyDescent="0.3">
      <c r="A3563" t="s">
        <v>5383</v>
      </c>
      <c r="B3563" t="s">
        <v>1443</v>
      </c>
      <c r="C3563" t="s">
        <v>851</v>
      </c>
      <c r="D3563" t="s">
        <v>1051</v>
      </c>
      <c r="E3563">
        <v>1</v>
      </c>
      <c r="F3563">
        <f>_xlfn.XLOOKUP(Table1[[#This Row],[ProductID]],Products!A:A,Products!D:D,,0)</f>
        <v>150</v>
      </c>
      <c r="I3563">
        <v>499</v>
      </c>
      <c r="J3563">
        <v>449</v>
      </c>
      <c r="K3563" t="s">
        <v>1107</v>
      </c>
      <c r="L3563">
        <v>449</v>
      </c>
      <c r="M3563" t="s">
        <v>1126</v>
      </c>
      <c r="N3563" t="s">
        <v>1099</v>
      </c>
      <c r="O3563">
        <f>Table1[[#This Row],[Unit_Price]]*Table1[[#This Row],[Quantity]]</f>
        <v>150</v>
      </c>
    </row>
    <row r="3564" spans="1:15" x14ac:dyDescent="0.3">
      <c r="A3564" t="s">
        <v>5384</v>
      </c>
      <c r="B3564" t="s">
        <v>1223</v>
      </c>
      <c r="C3564" t="s">
        <v>183</v>
      </c>
      <c r="D3564" t="s">
        <v>1071</v>
      </c>
      <c r="E3564">
        <v>2</v>
      </c>
      <c r="F3564">
        <f>_xlfn.XLOOKUP(Table1[[#This Row],[ProductID]],Products!A:A,Products!D:D,,0)</f>
        <v>125</v>
      </c>
      <c r="I3564">
        <v>399</v>
      </c>
      <c r="J3564">
        <v>399</v>
      </c>
      <c r="K3564" t="s">
        <v>1102</v>
      </c>
      <c r="L3564">
        <v>798</v>
      </c>
      <c r="M3564" t="s">
        <v>1098</v>
      </c>
      <c r="N3564" t="s">
        <v>1099</v>
      </c>
      <c r="O3564">
        <f>Table1[[#This Row],[Unit_Price]]*Table1[[#This Row],[Quantity]]</f>
        <v>250</v>
      </c>
    </row>
    <row r="3565" spans="1:15" x14ac:dyDescent="0.3">
      <c r="A3565" t="s">
        <v>5385</v>
      </c>
      <c r="B3565" t="s">
        <v>1329</v>
      </c>
      <c r="C3565" t="s">
        <v>681</v>
      </c>
      <c r="D3565" t="s">
        <v>1048</v>
      </c>
      <c r="E3565">
        <v>1</v>
      </c>
      <c r="F3565">
        <f>_xlfn.XLOOKUP(Table1[[#This Row],[ProductID]],Products!A:A,Products!D:D,,0)</f>
        <v>120</v>
      </c>
      <c r="I3565">
        <v>599</v>
      </c>
      <c r="J3565">
        <v>509</v>
      </c>
      <c r="K3565" t="s">
        <v>1092</v>
      </c>
      <c r="L3565">
        <v>509</v>
      </c>
      <c r="M3565" t="s">
        <v>1118</v>
      </c>
      <c r="N3565" t="s">
        <v>1099</v>
      </c>
      <c r="O3565">
        <f>Table1[[#This Row],[Unit_Price]]*Table1[[#This Row],[Quantity]]</f>
        <v>120</v>
      </c>
    </row>
    <row r="3566" spans="1:15" x14ac:dyDescent="0.3">
      <c r="A3566" t="s">
        <v>5386</v>
      </c>
      <c r="B3566" t="s">
        <v>1449</v>
      </c>
      <c r="C3566" t="s">
        <v>261</v>
      </c>
      <c r="D3566" t="s">
        <v>1078</v>
      </c>
      <c r="E3566">
        <v>1</v>
      </c>
      <c r="F3566">
        <f>_xlfn.XLOOKUP(Table1[[#This Row],[ProductID]],Products!A:A,Products!D:D,,0)</f>
        <v>80</v>
      </c>
      <c r="I3566">
        <v>499</v>
      </c>
      <c r="J3566">
        <v>499</v>
      </c>
      <c r="K3566" t="s">
        <v>1102</v>
      </c>
      <c r="L3566">
        <v>499</v>
      </c>
      <c r="M3566" t="s">
        <v>1098</v>
      </c>
      <c r="N3566" t="s">
        <v>1099</v>
      </c>
      <c r="O3566">
        <f>Table1[[#This Row],[Unit_Price]]*Table1[[#This Row],[Quantity]]</f>
        <v>80</v>
      </c>
    </row>
    <row r="3567" spans="1:15" x14ac:dyDescent="0.3">
      <c r="A3567" t="s">
        <v>5387</v>
      </c>
      <c r="B3567" t="s">
        <v>1653</v>
      </c>
      <c r="C3567" t="s">
        <v>969</v>
      </c>
      <c r="D3567" t="s">
        <v>1068</v>
      </c>
      <c r="E3567">
        <v>1</v>
      </c>
      <c r="F3567">
        <f>_xlfn.XLOOKUP(Table1[[#This Row],[ProductID]],Products!A:A,Products!D:D,,0)</f>
        <v>180</v>
      </c>
      <c r="I3567">
        <v>449</v>
      </c>
      <c r="J3567">
        <v>449</v>
      </c>
      <c r="K3567" t="s">
        <v>1102</v>
      </c>
      <c r="L3567">
        <v>449</v>
      </c>
      <c r="M3567" t="s">
        <v>1093</v>
      </c>
      <c r="N3567" t="s">
        <v>1099</v>
      </c>
      <c r="O3567">
        <f>Table1[[#This Row],[Unit_Price]]*Table1[[#This Row],[Quantity]]</f>
        <v>180</v>
      </c>
    </row>
    <row r="3568" spans="1:15" x14ac:dyDescent="0.3">
      <c r="A3568" t="s">
        <v>5388</v>
      </c>
      <c r="B3568" t="s">
        <v>3473</v>
      </c>
      <c r="C3568" t="s">
        <v>511</v>
      </c>
      <c r="D3568" t="s">
        <v>1066</v>
      </c>
      <c r="E3568">
        <v>1</v>
      </c>
      <c r="F3568">
        <f>_xlfn.XLOOKUP(Table1[[#This Row],[ProductID]],Products!A:A,Products!D:D,,0)</f>
        <v>140</v>
      </c>
      <c r="I3568">
        <v>499</v>
      </c>
      <c r="J3568">
        <v>449</v>
      </c>
      <c r="K3568" t="s">
        <v>1107</v>
      </c>
      <c r="L3568">
        <v>449</v>
      </c>
      <c r="M3568" t="s">
        <v>1098</v>
      </c>
      <c r="N3568" t="s">
        <v>1123</v>
      </c>
      <c r="O3568">
        <f>Table1[[#This Row],[Unit_Price]]*Table1[[#This Row],[Quantity]]</f>
        <v>140</v>
      </c>
    </row>
    <row r="3569" spans="1:15" x14ac:dyDescent="0.3">
      <c r="A3569" t="s">
        <v>5389</v>
      </c>
      <c r="B3569" t="s">
        <v>1565</v>
      </c>
      <c r="C3569" t="s">
        <v>851</v>
      </c>
      <c r="D3569" t="s">
        <v>1071</v>
      </c>
      <c r="E3569">
        <v>1</v>
      </c>
      <c r="F3569">
        <f>_xlfn.XLOOKUP(Table1[[#This Row],[ProductID]],Products!A:A,Products!D:D,,0)</f>
        <v>125</v>
      </c>
      <c r="I3569">
        <v>399</v>
      </c>
      <c r="J3569">
        <v>339</v>
      </c>
      <c r="K3569" t="s">
        <v>1092</v>
      </c>
      <c r="L3569">
        <v>339</v>
      </c>
      <c r="M3569" t="s">
        <v>1118</v>
      </c>
      <c r="N3569" t="s">
        <v>1099</v>
      </c>
      <c r="O3569">
        <f>Table1[[#This Row],[Unit_Price]]*Table1[[#This Row],[Quantity]]</f>
        <v>125</v>
      </c>
    </row>
    <row r="3570" spans="1:15" x14ac:dyDescent="0.3">
      <c r="A3570" t="s">
        <v>5390</v>
      </c>
      <c r="B3570" t="s">
        <v>3593</v>
      </c>
      <c r="C3570" t="s">
        <v>243</v>
      </c>
      <c r="D3570" t="s">
        <v>1075</v>
      </c>
      <c r="E3570">
        <v>4</v>
      </c>
      <c r="F3570">
        <f>_xlfn.XLOOKUP(Table1[[#This Row],[ProductID]],Products!A:A,Products!D:D,,0)</f>
        <v>80</v>
      </c>
      <c r="I3570">
        <v>499</v>
      </c>
      <c r="J3570">
        <v>449</v>
      </c>
      <c r="K3570" t="s">
        <v>1107</v>
      </c>
      <c r="L3570">
        <v>1796</v>
      </c>
      <c r="M3570" t="s">
        <v>1098</v>
      </c>
      <c r="N3570" t="s">
        <v>1099</v>
      </c>
      <c r="O3570">
        <f>Table1[[#This Row],[Unit_Price]]*Table1[[#This Row],[Quantity]]</f>
        <v>320</v>
      </c>
    </row>
    <row r="3571" spans="1:15" x14ac:dyDescent="0.3">
      <c r="A3571" t="s">
        <v>5391</v>
      </c>
      <c r="B3571" t="s">
        <v>1281</v>
      </c>
      <c r="C3571" t="s">
        <v>419</v>
      </c>
      <c r="D3571" t="s">
        <v>1048</v>
      </c>
      <c r="E3571">
        <v>1</v>
      </c>
      <c r="F3571">
        <f>_xlfn.XLOOKUP(Table1[[#This Row],[ProductID]],Products!A:A,Products!D:D,,0)</f>
        <v>120</v>
      </c>
      <c r="I3571">
        <v>599</v>
      </c>
      <c r="J3571">
        <v>479</v>
      </c>
      <c r="K3571" t="s">
        <v>1097</v>
      </c>
      <c r="L3571">
        <v>479</v>
      </c>
      <c r="M3571" t="s">
        <v>1093</v>
      </c>
      <c r="N3571" t="s">
        <v>1099</v>
      </c>
      <c r="O3571">
        <f>Table1[[#This Row],[Unit_Price]]*Table1[[#This Row],[Quantity]]</f>
        <v>120</v>
      </c>
    </row>
    <row r="3572" spans="1:15" x14ac:dyDescent="0.3">
      <c r="A3572" t="s">
        <v>5392</v>
      </c>
      <c r="B3572" t="s">
        <v>2963</v>
      </c>
      <c r="C3572" t="s">
        <v>395</v>
      </c>
      <c r="D3572" t="s">
        <v>1080</v>
      </c>
      <c r="E3572">
        <v>1</v>
      </c>
      <c r="F3572">
        <f>_xlfn.XLOOKUP(Table1[[#This Row],[ProductID]],Products!A:A,Products!D:D,,0)</f>
        <v>45</v>
      </c>
      <c r="I3572">
        <v>249</v>
      </c>
      <c r="J3572">
        <v>224</v>
      </c>
      <c r="K3572" t="s">
        <v>1107</v>
      </c>
      <c r="L3572">
        <v>224</v>
      </c>
      <c r="M3572" t="s">
        <v>1098</v>
      </c>
      <c r="N3572" t="s">
        <v>1099</v>
      </c>
      <c r="O3572">
        <f>Table1[[#This Row],[Unit_Price]]*Table1[[#This Row],[Quantity]]</f>
        <v>45</v>
      </c>
    </row>
    <row r="3573" spans="1:15" x14ac:dyDescent="0.3">
      <c r="A3573" t="s">
        <v>5393</v>
      </c>
      <c r="B3573" t="s">
        <v>1370</v>
      </c>
      <c r="C3573" t="s">
        <v>271</v>
      </c>
      <c r="D3573" t="s">
        <v>1068</v>
      </c>
      <c r="E3573">
        <v>3</v>
      </c>
      <c r="F3573">
        <f>_xlfn.XLOOKUP(Table1[[#This Row],[ProductID]],Products!A:A,Products!D:D,,0)</f>
        <v>180</v>
      </c>
      <c r="I3573">
        <v>449</v>
      </c>
      <c r="J3573">
        <v>404</v>
      </c>
      <c r="K3573" t="s">
        <v>1107</v>
      </c>
      <c r="L3573">
        <v>1212</v>
      </c>
      <c r="M3573" t="s">
        <v>1098</v>
      </c>
      <c r="N3573" t="s">
        <v>1099</v>
      </c>
      <c r="O3573">
        <f>Table1[[#This Row],[Unit_Price]]*Table1[[#This Row],[Quantity]]</f>
        <v>540</v>
      </c>
    </row>
    <row r="3574" spans="1:15" x14ac:dyDescent="0.3">
      <c r="A3574" t="s">
        <v>5394</v>
      </c>
      <c r="B3574" t="s">
        <v>1639</v>
      </c>
      <c r="C3574" t="s">
        <v>1017</v>
      </c>
      <c r="D3574" t="s">
        <v>1071</v>
      </c>
      <c r="E3574">
        <v>1</v>
      </c>
      <c r="F3574">
        <f>_xlfn.XLOOKUP(Table1[[#This Row],[ProductID]],Products!A:A,Products!D:D,,0)</f>
        <v>125</v>
      </c>
      <c r="I3574">
        <v>399</v>
      </c>
      <c r="J3574">
        <v>339</v>
      </c>
      <c r="K3574" t="s">
        <v>1092</v>
      </c>
      <c r="L3574">
        <v>339</v>
      </c>
      <c r="M3574" t="s">
        <v>1098</v>
      </c>
      <c r="N3574" t="s">
        <v>1099</v>
      </c>
      <c r="O3574">
        <f>Table1[[#This Row],[Unit_Price]]*Table1[[#This Row],[Quantity]]</f>
        <v>125</v>
      </c>
    </row>
    <row r="3575" spans="1:15" x14ac:dyDescent="0.3">
      <c r="A3575" t="s">
        <v>5395</v>
      </c>
      <c r="B3575" t="s">
        <v>2070</v>
      </c>
      <c r="C3575" t="s">
        <v>653</v>
      </c>
      <c r="D3575" t="s">
        <v>1066</v>
      </c>
      <c r="E3575">
        <v>1</v>
      </c>
      <c r="F3575">
        <f>_xlfn.XLOOKUP(Table1[[#This Row],[ProductID]],Products!A:A,Products!D:D,,0)</f>
        <v>140</v>
      </c>
      <c r="I3575">
        <v>499</v>
      </c>
      <c r="J3575">
        <v>499</v>
      </c>
      <c r="K3575" t="s">
        <v>1102</v>
      </c>
      <c r="L3575">
        <v>499</v>
      </c>
      <c r="M3575" t="s">
        <v>1098</v>
      </c>
      <c r="N3575" t="s">
        <v>1099</v>
      </c>
      <c r="O3575">
        <f>Table1[[#This Row],[Unit_Price]]*Table1[[#This Row],[Quantity]]</f>
        <v>140</v>
      </c>
    </row>
    <row r="3576" spans="1:15" x14ac:dyDescent="0.3">
      <c r="A3576" t="s">
        <v>5396</v>
      </c>
      <c r="B3576" t="s">
        <v>2344</v>
      </c>
      <c r="C3576" t="s">
        <v>915</v>
      </c>
      <c r="D3576" t="s">
        <v>1051</v>
      </c>
      <c r="E3576">
        <v>3</v>
      </c>
      <c r="F3576">
        <f>_xlfn.XLOOKUP(Table1[[#This Row],[ProductID]],Products!A:A,Products!D:D,,0)</f>
        <v>150</v>
      </c>
      <c r="I3576">
        <v>499</v>
      </c>
      <c r="J3576">
        <v>424</v>
      </c>
      <c r="K3576" t="s">
        <v>1092</v>
      </c>
      <c r="L3576">
        <v>1272</v>
      </c>
      <c r="M3576" t="s">
        <v>1093</v>
      </c>
      <c r="N3576" t="s">
        <v>1094</v>
      </c>
      <c r="O3576">
        <f>Table1[[#This Row],[Unit_Price]]*Table1[[#This Row],[Quantity]]</f>
        <v>450</v>
      </c>
    </row>
    <row r="3577" spans="1:15" x14ac:dyDescent="0.3">
      <c r="A3577" t="s">
        <v>5397</v>
      </c>
      <c r="B3577" t="s">
        <v>1712</v>
      </c>
      <c r="C3577" t="s">
        <v>657</v>
      </c>
      <c r="D3577" t="s">
        <v>1057</v>
      </c>
      <c r="E3577">
        <v>1</v>
      </c>
      <c r="F3577">
        <f>_xlfn.XLOOKUP(Table1[[#This Row],[ProductID]],Products!A:A,Products!D:D,,0)</f>
        <v>130</v>
      </c>
      <c r="I3577">
        <v>549</v>
      </c>
      <c r="J3577">
        <v>494</v>
      </c>
      <c r="K3577" t="s">
        <v>1107</v>
      </c>
      <c r="L3577">
        <v>494</v>
      </c>
      <c r="M3577" t="s">
        <v>1093</v>
      </c>
      <c r="N3577" t="s">
        <v>1099</v>
      </c>
      <c r="O3577">
        <f>Table1[[#This Row],[Unit_Price]]*Table1[[#This Row],[Quantity]]</f>
        <v>130</v>
      </c>
    </row>
    <row r="3578" spans="1:15" x14ac:dyDescent="0.3">
      <c r="A3578" t="s">
        <v>5398</v>
      </c>
      <c r="B3578" t="s">
        <v>2065</v>
      </c>
      <c r="C3578" t="s">
        <v>595</v>
      </c>
      <c r="D3578" t="s">
        <v>1055</v>
      </c>
      <c r="E3578">
        <v>1</v>
      </c>
      <c r="F3578">
        <f>_xlfn.XLOOKUP(Table1[[#This Row],[ProductID]],Products!A:A,Products!D:D,,0)</f>
        <v>75</v>
      </c>
      <c r="I3578">
        <v>299</v>
      </c>
      <c r="J3578">
        <v>254</v>
      </c>
      <c r="K3578" t="s">
        <v>1092</v>
      </c>
      <c r="L3578">
        <v>254</v>
      </c>
      <c r="M3578" t="s">
        <v>1098</v>
      </c>
      <c r="N3578" t="s">
        <v>1099</v>
      </c>
      <c r="O3578">
        <f>Table1[[#This Row],[Unit_Price]]*Table1[[#This Row],[Quantity]]</f>
        <v>75</v>
      </c>
    </row>
    <row r="3579" spans="1:15" x14ac:dyDescent="0.3">
      <c r="A3579" t="s">
        <v>5399</v>
      </c>
      <c r="B3579" t="s">
        <v>1447</v>
      </c>
      <c r="C3579" t="s">
        <v>205</v>
      </c>
      <c r="D3579" t="s">
        <v>1048</v>
      </c>
      <c r="E3579">
        <v>1</v>
      </c>
      <c r="F3579">
        <f>_xlfn.XLOOKUP(Table1[[#This Row],[ProductID]],Products!A:A,Products!D:D,,0)</f>
        <v>120</v>
      </c>
      <c r="I3579">
        <v>599</v>
      </c>
      <c r="J3579">
        <v>509</v>
      </c>
      <c r="K3579" t="s">
        <v>1092</v>
      </c>
      <c r="L3579">
        <v>509</v>
      </c>
      <c r="M3579" t="s">
        <v>1098</v>
      </c>
      <c r="N3579" t="s">
        <v>1099</v>
      </c>
      <c r="O3579">
        <f>Table1[[#This Row],[Unit_Price]]*Table1[[#This Row],[Quantity]]</f>
        <v>120</v>
      </c>
    </row>
    <row r="3580" spans="1:15" x14ac:dyDescent="0.3">
      <c r="A3580" t="s">
        <v>5400</v>
      </c>
      <c r="B3580" t="s">
        <v>1616</v>
      </c>
      <c r="C3580" t="s">
        <v>233</v>
      </c>
      <c r="D3580" t="s">
        <v>1066</v>
      </c>
      <c r="E3580">
        <v>4</v>
      </c>
      <c r="F3580">
        <f>_xlfn.XLOOKUP(Table1[[#This Row],[ProductID]],Products!A:A,Products!D:D,,0)</f>
        <v>140</v>
      </c>
      <c r="I3580">
        <v>499</v>
      </c>
      <c r="J3580">
        <v>449</v>
      </c>
      <c r="K3580" t="s">
        <v>1107</v>
      </c>
      <c r="L3580">
        <v>1796</v>
      </c>
      <c r="M3580" t="s">
        <v>1098</v>
      </c>
      <c r="N3580" t="s">
        <v>1099</v>
      </c>
      <c r="O3580">
        <f>Table1[[#This Row],[Unit_Price]]*Table1[[#This Row],[Quantity]]</f>
        <v>560</v>
      </c>
    </row>
    <row r="3581" spans="1:15" x14ac:dyDescent="0.3">
      <c r="A3581" t="s">
        <v>5401</v>
      </c>
      <c r="B3581" t="s">
        <v>1839</v>
      </c>
      <c r="C3581" t="s">
        <v>235</v>
      </c>
      <c r="D3581" t="s">
        <v>1064</v>
      </c>
      <c r="E3581">
        <v>2</v>
      </c>
      <c r="F3581">
        <f>_xlfn.XLOOKUP(Table1[[#This Row],[ProductID]],Products!A:A,Products!D:D,,0)</f>
        <v>160</v>
      </c>
      <c r="I3581">
        <v>699</v>
      </c>
      <c r="J3581">
        <v>699</v>
      </c>
      <c r="K3581" t="s">
        <v>1102</v>
      </c>
      <c r="L3581">
        <v>1398</v>
      </c>
      <c r="M3581" t="s">
        <v>1098</v>
      </c>
      <c r="N3581" t="s">
        <v>1099</v>
      </c>
      <c r="O3581">
        <f>Table1[[#This Row],[Unit_Price]]*Table1[[#This Row],[Quantity]]</f>
        <v>320</v>
      </c>
    </row>
    <row r="3582" spans="1:15" x14ac:dyDescent="0.3">
      <c r="A3582" t="s">
        <v>5402</v>
      </c>
      <c r="B3582" t="s">
        <v>1880</v>
      </c>
      <c r="C3582" t="s">
        <v>207</v>
      </c>
      <c r="D3582" t="s">
        <v>1064</v>
      </c>
      <c r="E3582">
        <v>2</v>
      </c>
      <c r="F3582">
        <f>_xlfn.XLOOKUP(Table1[[#This Row],[ProductID]],Products!A:A,Products!D:D,,0)</f>
        <v>160</v>
      </c>
      <c r="I3582">
        <v>699</v>
      </c>
      <c r="J3582">
        <v>594</v>
      </c>
      <c r="K3582" t="s">
        <v>1092</v>
      </c>
      <c r="L3582">
        <v>1188</v>
      </c>
      <c r="M3582" t="s">
        <v>1098</v>
      </c>
      <c r="N3582" t="s">
        <v>1099</v>
      </c>
      <c r="O3582">
        <f>Table1[[#This Row],[Unit_Price]]*Table1[[#This Row],[Quantity]]</f>
        <v>320</v>
      </c>
    </row>
    <row r="3583" spans="1:15" x14ac:dyDescent="0.3">
      <c r="A3583" t="s">
        <v>5403</v>
      </c>
      <c r="B3583" t="s">
        <v>2832</v>
      </c>
      <c r="C3583" t="s">
        <v>118</v>
      </c>
      <c r="D3583" t="s">
        <v>1057</v>
      </c>
      <c r="E3583">
        <v>1</v>
      </c>
      <c r="F3583">
        <f>_xlfn.XLOOKUP(Table1[[#This Row],[ProductID]],Products!A:A,Products!D:D,,0)</f>
        <v>130</v>
      </c>
      <c r="I3583">
        <v>549</v>
      </c>
      <c r="J3583">
        <v>549</v>
      </c>
      <c r="K3583" t="s">
        <v>1102</v>
      </c>
      <c r="L3583">
        <v>549</v>
      </c>
      <c r="M3583" t="s">
        <v>1093</v>
      </c>
      <c r="N3583" t="s">
        <v>1123</v>
      </c>
      <c r="O3583">
        <f>Table1[[#This Row],[Unit_Price]]*Table1[[#This Row],[Quantity]]</f>
        <v>130</v>
      </c>
    </row>
    <row r="3584" spans="1:15" x14ac:dyDescent="0.3">
      <c r="A3584" t="s">
        <v>5404</v>
      </c>
      <c r="B3584" t="s">
        <v>2971</v>
      </c>
      <c r="C3584" t="s">
        <v>397</v>
      </c>
      <c r="D3584" t="s">
        <v>1075</v>
      </c>
      <c r="E3584">
        <v>2</v>
      </c>
      <c r="F3584">
        <f>_xlfn.XLOOKUP(Table1[[#This Row],[ProductID]],Products!A:A,Products!D:D,,0)</f>
        <v>80</v>
      </c>
      <c r="I3584">
        <v>499</v>
      </c>
      <c r="J3584">
        <v>424</v>
      </c>
      <c r="K3584" t="s">
        <v>1092</v>
      </c>
      <c r="L3584">
        <v>848</v>
      </c>
      <c r="M3584" t="s">
        <v>1118</v>
      </c>
      <c r="N3584" t="s">
        <v>1094</v>
      </c>
      <c r="O3584">
        <f>Table1[[#This Row],[Unit_Price]]*Table1[[#This Row],[Quantity]]</f>
        <v>160</v>
      </c>
    </row>
    <row r="3585" spans="1:15" x14ac:dyDescent="0.3">
      <c r="A3585" t="s">
        <v>5405</v>
      </c>
      <c r="B3585" t="s">
        <v>2628</v>
      </c>
      <c r="C3585" t="s">
        <v>937</v>
      </c>
      <c r="D3585" t="s">
        <v>1064</v>
      </c>
      <c r="E3585">
        <v>1</v>
      </c>
      <c r="F3585">
        <f>_xlfn.XLOOKUP(Table1[[#This Row],[ProductID]],Products!A:A,Products!D:D,,0)</f>
        <v>160</v>
      </c>
      <c r="I3585">
        <v>699</v>
      </c>
      <c r="J3585">
        <v>629</v>
      </c>
      <c r="K3585" t="s">
        <v>1107</v>
      </c>
      <c r="L3585">
        <v>629</v>
      </c>
      <c r="M3585" t="s">
        <v>1126</v>
      </c>
      <c r="N3585" t="s">
        <v>1099</v>
      </c>
      <c r="O3585">
        <f>Table1[[#This Row],[Unit_Price]]*Table1[[#This Row],[Quantity]]</f>
        <v>160</v>
      </c>
    </row>
    <row r="3586" spans="1:15" x14ac:dyDescent="0.3">
      <c r="A3586" t="s">
        <v>5406</v>
      </c>
      <c r="B3586" t="s">
        <v>1160</v>
      </c>
      <c r="C3586" t="s">
        <v>793</v>
      </c>
      <c r="D3586" t="s">
        <v>1075</v>
      </c>
      <c r="E3586">
        <v>1</v>
      </c>
      <c r="F3586">
        <f>_xlfn.XLOOKUP(Table1[[#This Row],[ProductID]],Products!A:A,Products!D:D,,0)</f>
        <v>80</v>
      </c>
      <c r="I3586">
        <v>499</v>
      </c>
      <c r="J3586">
        <v>499</v>
      </c>
      <c r="K3586" t="s">
        <v>1102</v>
      </c>
      <c r="L3586">
        <v>499</v>
      </c>
      <c r="M3586" t="s">
        <v>1093</v>
      </c>
      <c r="N3586" t="s">
        <v>1099</v>
      </c>
      <c r="O3586">
        <f>Table1[[#This Row],[Unit_Price]]*Table1[[#This Row],[Quantity]]</f>
        <v>80</v>
      </c>
    </row>
    <row r="3587" spans="1:15" x14ac:dyDescent="0.3">
      <c r="A3587" t="s">
        <v>5407</v>
      </c>
      <c r="B3587" t="s">
        <v>1283</v>
      </c>
      <c r="C3587" t="s">
        <v>927</v>
      </c>
      <c r="D3587" t="s">
        <v>1059</v>
      </c>
      <c r="E3587">
        <v>1</v>
      </c>
      <c r="F3587">
        <f>_xlfn.XLOOKUP(Table1[[#This Row],[ProductID]],Products!A:A,Products!D:D,,0)</f>
        <v>110</v>
      </c>
      <c r="I3587">
        <v>399</v>
      </c>
      <c r="J3587">
        <v>359</v>
      </c>
      <c r="K3587" t="s">
        <v>1107</v>
      </c>
      <c r="L3587">
        <v>359</v>
      </c>
      <c r="M3587" t="s">
        <v>1098</v>
      </c>
      <c r="N3587" t="s">
        <v>1099</v>
      </c>
      <c r="O3587">
        <f>Table1[[#This Row],[Unit_Price]]*Table1[[#This Row],[Quantity]]</f>
        <v>110</v>
      </c>
    </row>
    <row r="3588" spans="1:15" x14ac:dyDescent="0.3">
      <c r="A3588" t="s">
        <v>5408</v>
      </c>
      <c r="B3588" t="s">
        <v>3135</v>
      </c>
      <c r="C3588" t="s">
        <v>301</v>
      </c>
      <c r="D3588" t="s">
        <v>1048</v>
      </c>
      <c r="E3588">
        <v>2</v>
      </c>
      <c r="F3588">
        <f>_xlfn.XLOOKUP(Table1[[#This Row],[ProductID]],Products!A:A,Products!D:D,,0)</f>
        <v>120</v>
      </c>
      <c r="I3588">
        <v>599</v>
      </c>
      <c r="J3588">
        <v>509</v>
      </c>
      <c r="K3588" t="s">
        <v>1092</v>
      </c>
      <c r="L3588">
        <v>1018</v>
      </c>
      <c r="M3588" t="s">
        <v>1093</v>
      </c>
      <c r="N3588" t="s">
        <v>1099</v>
      </c>
      <c r="O3588">
        <f>Table1[[#This Row],[Unit_Price]]*Table1[[#This Row],[Quantity]]</f>
        <v>240</v>
      </c>
    </row>
    <row r="3589" spans="1:15" x14ac:dyDescent="0.3">
      <c r="A3589" t="s">
        <v>5409</v>
      </c>
      <c r="B3589" t="s">
        <v>1865</v>
      </c>
      <c r="C3589" t="s">
        <v>949</v>
      </c>
      <c r="D3589" t="s">
        <v>1064</v>
      </c>
      <c r="E3589">
        <v>2</v>
      </c>
      <c r="F3589">
        <f>_xlfn.XLOOKUP(Table1[[#This Row],[ProductID]],Products!A:A,Products!D:D,,0)</f>
        <v>160</v>
      </c>
      <c r="I3589">
        <v>699</v>
      </c>
      <c r="J3589">
        <v>699</v>
      </c>
      <c r="K3589" t="s">
        <v>1102</v>
      </c>
      <c r="L3589">
        <v>1398</v>
      </c>
      <c r="M3589" t="s">
        <v>1098</v>
      </c>
      <c r="N3589" t="s">
        <v>1099</v>
      </c>
      <c r="O3589">
        <f>Table1[[#This Row],[Unit_Price]]*Table1[[#This Row],[Quantity]]</f>
        <v>320</v>
      </c>
    </row>
    <row r="3590" spans="1:15" x14ac:dyDescent="0.3">
      <c r="A3590" t="s">
        <v>5410</v>
      </c>
      <c r="B3590" t="s">
        <v>1969</v>
      </c>
      <c r="C3590" t="s">
        <v>37</v>
      </c>
      <c r="D3590" t="s">
        <v>1062</v>
      </c>
      <c r="E3590">
        <v>2</v>
      </c>
      <c r="F3590">
        <f>_xlfn.XLOOKUP(Table1[[#This Row],[ProductID]],Products!A:A,Products!D:D,,0)</f>
        <v>95</v>
      </c>
      <c r="I3590">
        <v>349</v>
      </c>
      <c r="J3590">
        <v>279</v>
      </c>
      <c r="K3590" t="s">
        <v>1097</v>
      </c>
      <c r="L3590">
        <v>558</v>
      </c>
      <c r="M3590" t="s">
        <v>1098</v>
      </c>
      <c r="N3590" t="s">
        <v>1099</v>
      </c>
      <c r="O3590">
        <f>Table1[[#This Row],[Unit_Price]]*Table1[[#This Row],[Quantity]]</f>
        <v>190</v>
      </c>
    </row>
    <row r="3591" spans="1:15" x14ac:dyDescent="0.3">
      <c r="A3591" t="s">
        <v>5411</v>
      </c>
      <c r="B3591" t="s">
        <v>2413</v>
      </c>
      <c r="C3591" t="s">
        <v>305</v>
      </c>
      <c r="D3591" t="s">
        <v>1048</v>
      </c>
      <c r="E3591">
        <v>2</v>
      </c>
      <c r="F3591">
        <f>_xlfn.XLOOKUP(Table1[[#This Row],[ProductID]],Products!A:A,Products!D:D,,0)</f>
        <v>120</v>
      </c>
      <c r="I3591">
        <v>599</v>
      </c>
      <c r="J3591">
        <v>599</v>
      </c>
      <c r="K3591" t="s">
        <v>1102</v>
      </c>
      <c r="L3591">
        <v>1198</v>
      </c>
      <c r="M3591" t="s">
        <v>1098</v>
      </c>
      <c r="N3591" t="s">
        <v>1099</v>
      </c>
      <c r="O3591">
        <f>Table1[[#This Row],[Unit_Price]]*Table1[[#This Row],[Quantity]]</f>
        <v>240</v>
      </c>
    </row>
    <row r="3592" spans="1:15" x14ac:dyDescent="0.3">
      <c r="A3592" t="s">
        <v>5412</v>
      </c>
      <c r="B3592" t="s">
        <v>2639</v>
      </c>
      <c r="C3592" t="s">
        <v>187</v>
      </c>
      <c r="D3592" t="s">
        <v>1059</v>
      </c>
      <c r="E3592">
        <v>1</v>
      </c>
      <c r="F3592">
        <f>_xlfn.XLOOKUP(Table1[[#This Row],[ProductID]],Products!A:A,Products!D:D,,0)</f>
        <v>110</v>
      </c>
      <c r="I3592">
        <v>399</v>
      </c>
      <c r="J3592">
        <v>399</v>
      </c>
      <c r="K3592" t="s">
        <v>1102</v>
      </c>
      <c r="L3592">
        <v>399</v>
      </c>
      <c r="M3592" t="s">
        <v>1098</v>
      </c>
      <c r="N3592" t="s">
        <v>1099</v>
      </c>
      <c r="O3592">
        <f>Table1[[#This Row],[Unit_Price]]*Table1[[#This Row],[Quantity]]</f>
        <v>110</v>
      </c>
    </row>
    <row r="3593" spans="1:15" x14ac:dyDescent="0.3">
      <c r="A3593" t="s">
        <v>5413</v>
      </c>
      <c r="B3593" t="s">
        <v>1953</v>
      </c>
      <c r="C3593" t="s">
        <v>527</v>
      </c>
      <c r="D3593" t="s">
        <v>1073</v>
      </c>
      <c r="E3593">
        <v>1</v>
      </c>
      <c r="F3593">
        <f>_xlfn.XLOOKUP(Table1[[#This Row],[ProductID]],Products!A:A,Products!D:D,,0)</f>
        <v>100</v>
      </c>
      <c r="I3593">
        <v>349</v>
      </c>
      <c r="J3593">
        <v>279</v>
      </c>
      <c r="K3593" t="s">
        <v>1097</v>
      </c>
      <c r="L3593">
        <v>279</v>
      </c>
      <c r="M3593" t="s">
        <v>1098</v>
      </c>
      <c r="N3593" t="s">
        <v>1123</v>
      </c>
      <c r="O3593">
        <f>Table1[[#This Row],[Unit_Price]]*Table1[[#This Row],[Quantity]]</f>
        <v>100</v>
      </c>
    </row>
    <row r="3594" spans="1:15" x14ac:dyDescent="0.3">
      <c r="A3594" t="s">
        <v>5414</v>
      </c>
      <c r="B3594" t="s">
        <v>3826</v>
      </c>
      <c r="C3594" t="s">
        <v>241</v>
      </c>
      <c r="D3594" t="s">
        <v>1080</v>
      </c>
      <c r="E3594">
        <v>1</v>
      </c>
      <c r="F3594">
        <f>_xlfn.XLOOKUP(Table1[[#This Row],[ProductID]],Products!A:A,Products!D:D,,0)</f>
        <v>45</v>
      </c>
      <c r="I3594">
        <v>249</v>
      </c>
      <c r="J3594">
        <v>199</v>
      </c>
      <c r="K3594" t="s">
        <v>1097</v>
      </c>
      <c r="L3594">
        <v>199</v>
      </c>
      <c r="M3594" t="s">
        <v>1093</v>
      </c>
      <c r="N3594" t="s">
        <v>1099</v>
      </c>
      <c r="O3594">
        <f>Table1[[#This Row],[Unit_Price]]*Table1[[#This Row],[Quantity]]</f>
        <v>45</v>
      </c>
    </row>
    <row r="3595" spans="1:15" x14ac:dyDescent="0.3">
      <c r="A3595" t="s">
        <v>5415</v>
      </c>
      <c r="B3595" t="s">
        <v>1266</v>
      </c>
      <c r="C3595" t="s">
        <v>447</v>
      </c>
      <c r="D3595" t="s">
        <v>1064</v>
      </c>
      <c r="E3595">
        <v>1</v>
      </c>
      <c r="F3595">
        <f>_xlfn.XLOOKUP(Table1[[#This Row],[ProductID]],Products!A:A,Products!D:D,,0)</f>
        <v>160</v>
      </c>
      <c r="I3595">
        <v>699</v>
      </c>
      <c r="J3595">
        <v>594</v>
      </c>
      <c r="K3595" t="s">
        <v>1092</v>
      </c>
      <c r="L3595">
        <v>594</v>
      </c>
      <c r="M3595" t="s">
        <v>1098</v>
      </c>
      <c r="N3595" t="s">
        <v>1099</v>
      </c>
      <c r="O3595">
        <f>Table1[[#This Row],[Unit_Price]]*Table1[[#This Row],[Quantity]]</f>
        <v>160</v>
      </c>
    </row>
    <row r="3596" spans="1:15" x14ac:dyDescent="0.3">
      <c r="A3596" t="s">
        <v>5416</v>
      </c>
      <c r="B3596" t="s">
        <v>2757</v>
      </c>
      <c r="C3596" t="s">
        <v>581</v>
      </c>
      <c r="D3596" t="s">
        <v>1053</v>
      </c>
      <c r="E3596">
        <v>2</v>
      </c>
      <c r="F3596">
        <f>_xlfn.XLOOKUP(Table1[[#This Row],[ProductID]],Products!A:A,Products!D:D,,0)</f>
        <v>200</v>
      </c>
      <c r="I3596">
        <v>899</v>
      </c>
      <c r="J3596">
        <v>809</v>
      </c>
      <c r="K3596" t="s">
        <v>1107</v>
      </c>
      <c r="L3596">
        <v>1618</v>
      </c>
      <c r="M3596" t="s">
        <v>1093</v>
      </c>
      <c r="N3596" t="s">
        <v>1099</v>
      </c>
      <c r="O3596">
        <f>Table1[[#This Row],[Unit_Price]]*Table1[[#This Row],[Quantity]]</f>
        <v>400</v>
      </c>
    </row>
    <row r="3597" spans="1:15" x14ac:dyDescent="0.3">
      <c r="A3597" t="s">
        <v>5417</v>
      </c>
      <c r="B3597" t="s">
        <v>3552</v>
      </c>
      <c r="C3597" t="s">
        <v>909</v>
      </c>
      <c r="D3597" t="s">
        <v>1048</v>
      </c>
      <c r="E3597">
        <v>1</v>
      </c>
      <c r="F3597">
        <f>_xlfn.XLOOKUP(Table1[[#This Row],[ProductID]],Products!A:A,Products!D:D,,0)</f>
        <v>120</v>
      </c>
      <c r="I3597">
        <v>599</v>
      </c>
      <c r="J3597">
        <v>539</v>
      </c>
      <c r="K3597" t="s">
        <v>1107</v>
      </c>
      <c r="L3597">
        <v>539</v>
      </c>
      <c r="M3597" t="s">
        <v>1093</v>
      </c>
      <c r="N3597" t="s">
        <v>1099</v>
      </c>
      <c r="O3597">
        <f>Table1[[#This Row],[Unit_Price]]*Table1[[#This Row],[Quantity]]</f>
        <v>120</v>
      </c>
    </row>
    <row r="3598" spans="1:15" x14ac:dyDescent="0.3">
      <c r="A3598" t="s">
        <v>5418</v>
      </c>
      <c r="B3598" t="s">
        <v>1353</v>
      </c>
      <c r="C3598" t="s">
        <v>779</v>
      </c>
      <c r="D3598" t="s">
        <v>1062</v>
      </c>
      <c r="E3598">
        <v>2</v>
      </c>
      <c r="F3598">
        <f>_xlfn.XLOOKUP(Table1[[#This Row],[ProductID]],Products!A:A,Products!D:D,,0)</f>
        <v>95</v>
      </c>
      <c r="I3598">
        <v>349</v>
      </c>
      <c r="J3598">
        <v>314</v>
      </c>
      <c r="K3598" t="s">
        <v>1107</v>
      </c>
      <c r="L3598">
        <v>628</v>
      </c>
      <c r="M3598" t="s">
        <v>1098</v>
      </c>
      <c r="N3598" t="s">
        <v>1099</v>
      </c>
      <c r="O3598">
        <f>Table1[[#This Row],[Unit_Price]]*Table1[[#This Row],[Quantity]]</f>
        <v>190</v>
      </c>
    </row>
    <row r="3599" spans="1:15" x14ac:dyDescent="0.3">
      <c r="A3599" t="s">
        <v>5419</v>
      </c>
      <c r="B3599" t="s">
        <v>1101</v>
      </c>
      <c r="C3599" t="s">
        <v>795</v>
      </c>
      <c r="D3599" t="s">
        <v>1071</v>
      </c>
      <c r="E3599">
        <v>1</v>
      </c>
      <c r="F3599">
        <f>_xlfn.XLOOKUP(Table1[[#This Row],[ProductID]],Products!A:A,Products!D:D,,0)</f>
        <v>125</v>
      </c>
      <c r="I3599">
        <v>399</v>
      </c>
      <c r="J3599">
        <v>359</v>
      </c>
      <c r="K3599" t="s">
        <v>1107</v>
      </c>
      <c r="L3599">
        <v>359</v>
      </c>
      <c r="M3599" t="s">
        <v>1098</v>
      </c>
      <c r="N3599" t="s">
        <v>1099</v>
      </c>
      <c r="O3599">
        <f>Table1[[#This Row],[Unit_Price]]*Table1[[#This Row],[Quantity]]</f>
        <v>125</v>
      </c>
    </row>
    <row r="3600" spans="1:15" x14ac:dyDescent="0.3">
      <c r="A3600" t="s">
        <v>5420</v>
      </c>
      <c r="B3600" t="s">
        <v>1882</v>
      </c>
      <c r="C3600" t="s">
        <v>517</v>
      </c>
      <c r="D3600" t="s">
        <v>1075</v>
      </c>
      <c r="E3600">
        <v>1</v>
      </c>
      <c r="F3600">
        <f>_xlfn.XLOOKUP(Table1[[#This Row],[ProductID]],Products!A:A,Products!D:D,,0)</f>
        <v>80</v>
      </c>
      <c r="I3600">
        <v>499</v>
      </c>
      <c r="J3600">
        <v>449</v>
      </c>
      <c r="K3600" t="s">
        <v>1107</v>
      </c>
      <c r="L3600">
        <v>449</v>
      </c>
      <c r="M3600" t="s">
        <v>1098</v>
      </c>
      <c r="N3600" t="s">
        <v>1099</v>
      </c>
      <c r="O3600">
        <f>Table1[[#This Row],[Unit_Price]]*Table1[[#This Row],[Quantity]]</f>
        <v>80</v>
      </c>
    </row>
    <row r="3601" spans="1:15" x14ac:dyDescent="0.3">
      <c r="A3601" t="s">
        <v>5421</v>
      </c>
      <c r="B3601" t="s">
        <v>1325</v>
      </c>
      <c r="C3601" t="s">
        <v>1017</v>
      </c>
      <c r="D3601" t="s">
        <v>1073</v>
      </c>
      <c r="E3601">
        <v>2</v>
      </c>
      <c r="F3601">
        <f>_xlfn.XLOOKUP(Table1[[#This Row],[ProductID]],Products!A:A,Products!D:D,,0)</f>
        <v>100</v>
      </c>
      <c r="I3601">
        <v>349</v>
      </c>
      <c r="J3601">
        <v>314</v>
      </c>
      <c r="K3601" t="s">
        <v>1107</v>
      </c>
      <c r="L3601">
        <v>628</v>
      </c>
      <c r="M3601" t="s">
        <v>1093</v>
      </c>
      <c r="N3601" t="s">
        <v>1099</v>
      </c>
      <c r="O3601">
        <f>Table1[[#This Row],[Unit_Price]]*Table1[[#This Row],[Quantity]]</f>
        <v>200</v>
      </c>
    </row>
    <row r="3602" spans="1:15" x14ac:dyDescent="0.3">
      <c r="A3602" t="s">
        <v>5422</v>
      </c>
      <c r="B3602" t="s">
        <v>1692</v>
      </c>
      <c r="C3602" t="s">
        <v>223</v>
      </c>
      <c r="D3602" t="s">
        <v>1078</v>
      </c>
      <c r="E3602">
        <v>1</v>
      </c>
      <c r="F3602">
        <f>_xlfn.XLOOKUP(Table1[[#This Row],[ProductID]],Products!A:A,Products!D:D,,0)</f>
        <v>80</v>
      </c>
      <c r="I3602">
        <v>499</v>
      </c>
      <c r="J3602">
        <v>499</v>
      </c>
      <c r="K3602" t="s">
        <v>1102</v>
      </c>
      <c r="L3602">
        <v>499</v>
      </c>
      <c r="M3602" t="s">
        <v>1118</v>
      </c>
      <c r="N3602" t="s">
        <v>1099</v>
      </c>
      <c r="O3602">
        <f>Table1[[#This Row],[Unit_Price]]*Table1[[#This Row],[Quantity]]</f>
        <v>80</v>
      </c>
    </row>
    <row r="3603" spans="1:15" x14ac:dyDescent="0.3">
      <c r="A3603" t="s">
        <v>5423</v>
      </c>
      <c r="B3603" t="s">
        <v>1465</v>
      </c>
      <c r="C3603" t="s">
        <v>1001</v>
      </c>
      <c r="D3603" t="s">
        <v>1078</v>
      </c>
      <c r="E3603">
        <v>1</v>
      </c>
      <c r="F3603">
        <f>_xlfn.XLOOKUP(Table1[[#This Row],[ProductID]],Products!A:A,Products!D:D,,0)</f>
        <v>80</v>
      </c>
      <c r="I3603">
        <v>499</v>
      </c>
      <c r="J3603">
        <v>449</v>
      </c>
      <c r="K3603" t="s">
        <v>1107</v>
      </c>
      <c r="L3603">
        <v>449</v>
      </c>
      <c r="M3603" t="s">
        <v>1098</v>
      </c>
      <c r="N3603" t="s">
        <v>1099</v>
      </c>
      <c r="O3603">
        <f>Table1[[#This Row],[Unit_Price]]*Table1[[#This Row],[Quantity]]</f>
        <v>80</v>
      </c>
    </row>
    <row r="3604" spans="1:15" x14ac:dyDescent="0.3">
      <c r="A3604" t="s">
        <v>5424</v>
      </c>
      <c r="B3604" t="s">
        <v>1496</v>
      </c>
      <c r="C3604" t="s">
        <v>787</v>
      </c>
      <c r="D3604" t="s">
        <v>1080</v>
      </c>
      <c r="E3604">
        <v>1</v>
      </c>
      <c r="F3604">
        <f>_xlfn.XLOOKUP(Table1[[#This Row],[ProductID]],Products!A:A,Products!D:D,,0)</f>
        <v>45</v>
      </c>
      <c r="I3604">
        <v>249</v>
      </c>
      <c r="J3604">
        <v>199</v>
      </c>
      <c r="K3604" t="s">
        <v>1097</v>
      </c>
      <c r="L3604">
        <v>199</v>
      </c>
      <c r="M3604" t="s">
        <v>1093</v>
      </c>
      <c r="N3604" t="s">
        <v>1099</v>
      </c>
      <c r="O3604">
        <f>Table1[[#This Row],[Unit_Price]]*Table1[[#This Row],[Quantity]]</f>
        <v>45</v>
      </c>
    </row>
    <row r="3605" spans="1:15" x14ac:dyDescent="0.3">
      <c r="A3605" t="s">
        <v>5425</v>
      </c>
      <c r="B3605" t="s">
        <v>4382</v>
      </c>
      <c r="C3605" t="s">
        <v>307</v>
      </c>
      <c r="D3605" t="s">
        <v>1057</v>
      </c>
      <c r="E3605">
        <v>2</v>
      </c>
      <c r="F3605">
        <f>_xlfn.XLOOKUP(Table1[[#This Row],[ProductID]],Products!A:A,Products!D:D,,0)</f>
        <v>130</v>
      </c>
      <c r="I3605">
        <v>549</v>
      </c>
      <c r="J3605">
        <v>549</v>
      </c>
      <c r="K3605" t="s">
        <v>1102</v>
      </c>
      <c r="L3605">
        <v>1098</v>
      </c>
      <c r="M3605" t="s">
        <v>1098</v>
      </c>
      <c r="N3605" t="s">
        <v>1099</v>
      </c>
      <c r="O3605">
        <f>Table1[[#This Row],[Unit_Price]]*Table1[[#This Row],[Quantity]]</f>
        <v>260</v>
      </c>
    </row>
    <row r="3606" spans="1:15" x14ac:dyDescent="0.3">
      <c r="A3606" t="s">
        <v>5426</v>
      </c>
      <c r="B3606" t="s">
        <v>2971</v>
      </c>
      <c r="C3606" t="s">
        <v>227</v>
      </c>
      <c r="D3606" t="s">
        <v>1071</v>
      </c>
      <c r="E3606">
        <v>1</v>
      </c>
      <c r="F3606">
        <f>_xlfn.XLOOKUP(Table1[[#This Row],[ProductID]],Products!A:A,Products!D:D,,0)</f>
        <v>125</v>
      </c>
      <c r="I3606">
        <v>399</v>
      </c>
      <c r="J3606">
        <v>339</v>
      </c>
      <c r="K3606" t="s">
        <v>1092</v>
      </c>
      <c r="L3606">
        <v>339</v>
      </c>
      <c r="M3606" t="s">
        <v>1098</v>
      </c>
      <c r="N3606" t="s">
        <v>1099</v>
      </c>
      <c r="O3606">
        <f>Table1[[#This Row],[Unit_Price]]*Table1[[#This Row],[Quantity]]</f>
        <v>125</v>
      </c>
    </row>
    <row r="3607" spans="1:15" x14ac:dyDescent="0.3">
      <c r="A3607" t="s">
        <v>5427</v>
      </c>
      <c r="B3607" t="s">
        <v>1122</v>
      </c>
      <c r="C3607" t="s">
        <v>717</v>
      </c>
      <c r="D3607" t="s">
        <v>1073</v>
      </c>
      <c r="E3607">
        <v>1</v>
      </c>
      <c r="F3607">
        <f>_xlfn.XLOOKUP(Table1[[#This Row],[ProductID]],Products!A:A,Products!D:D,,0)</f>
        <v>100</v>
      </c>
      <c r="I3607">
        <v>349</v>
      </c>
      <c r="J3607">
        <v>314</v>
      </c>
      <c r="K3607" t="s">
        <v>1107</v>
      </c>
      <c r="L3607">
        <v>314</v>
      </c>
      <c r="M3607" t="s">
        <v>1093</v>
      </c>
      <c r="N3607" t="s">
        <v>1094</v>
      </c>
      <c r="O3607">
        <f>Table1[[#This Row],[Unit_Price]]*Table1[[#This Row],[Quantity]]</f>
        <v>100</v>
      </c>
    </row>
    <row r="3608" spans="1:15" x14ac:dyDescent="0.3">
      <c r="A3608" t="s">
        <v>5428</v>
      </c>
      <c r="B3608" t="s">
        <v>2529</v>
      </c>
      <c r="C3608" t="s">
        <v>1017</v>
      </c>
      <c r="D3608" t="s">
        <v>1062</v>
      </c>
      <c r="E3608">
        <v>2</v>
      </c>
      <c r="F3608">
        <f>_xlfn.XLOOKUP(Table1[[#This Row],[ProductID]],Products!A:A,Products!D:D,,0)</f>
        <v>95</v>
      </c>
      <c r="I3608">
        <v>349</v>
      </c>
      <c r="J3608">
        <v>279</v>
      </c>
      <c r="K3608" t="s">
        <v>1097</v>
      </c>
      <c r="L3608">
        <v>558</v>
      </c>
      <c r="M3608" t="s">
        <v>1093</v>
      </c>
      <c r="N3608" t="s">
        <v>1094</v>
      </c>
      <c r="O3608">
        <f>Table1[[#This Row],[Unit_Price]]*Table1[[#This Row],[Quantity]]</f>
        <v>190</v>
      </c>
    </row>
    <row r="3609" spans="1:15" x14ac:dyDescent="0.3">
      <c r="A3609" t="s">
        <v>5429</v>
      </c>
      <c r="B3609" t="s">
        <v>1824</v>
      </c>
      <c r="C3609" t="s">
        <v>126</v>
      </c>
      <c r="D3609" t="s">
        <v>1057</v>
      </c>
      <c r="E3609">
        <v>1</v>
      </c>
      <c r="F3609">
        <f>_xlfn.XLOOKUP(Table1[[#This Row],[ProductID]],Products!A:A,Products!D:D,,0)</f>
        <v>130</v>
      </c>
      <c r="I3609">
        <v>549</v>
      </c>
      <c r="J3609">
        <v>439</v>
      </c>
      <c r="K3609" t="s">
        <v>1097</v>
      </c>
      <c r="L3609">
        <v>439</v>
      </c>
      <c r="M3609" t="s">
        <v>1098</v>
      </c>
      <c r="N3609" t="s">
        <v>1099</v>
      </c>
      <c r="O3609">
        <f>Table1[[#This Row],[Unit_Price]]*Table1[[#This Row],[Quantity]]</f>
        <v>130</v>
      </c>
    </row>
    <row r="3610" spans="1:15" x14ac:dyDescent="0.3">
      <c r="A3610" t="s">
        <v>5430</v>
      </c>
      <c r="B3610" t="s">
        <v>1818</v>
      </c>
      <c r="C3610" t="s">
        <v>481</v>
      </c>
      <c r="D3610" t="s">
        <v>1048</v>
      </c>
      <c r="E3610">
        <v>2</v>
      </c>
      <c r="F3610">
        <f>_xlfn.XLOOKUP(Table1[[#This Row],[ProductID]],Products!A:A,Products!D:D,,0)</f>
        <v>120</v>
      </c>
      <c r="I3610">
        <v>599</v>
      </c>
      <c r="J3610">
        <v>599</v>
      </c>
      <c r="K3610" t="s">
        <v>1102</v>
      </c>
      <c r="L3610">
        <v>1198</v>
      </c>
      <c r="M3610" t="s">
        <v>1093</v>
      </c>
      <c r="N3610" t="s">
        <v>1099</v>
      </c>
      <c r="O3610">
        <f>Table1[[#This Row],[Unit_Price]]*Table1[[#This Row],[Quantity]]</f>
        <v>240</v>
      </c>
    </row>
    <row r="3611" spans="1:15" x14ac:dyDescent="0.3">
      <c r="A3611" t="s">
        <v>5431</v>
      </c>
      <c r="B3611" t="s">
        <v>3593</v>
      </c>
      <c r="C3611" t="s">
        <v>315</v>
      </c>
      <c r="D3611" t="s">
        <v>1080</v>
      </c>
      <c r="E3611">
        <v>1</v>
      </c>
      <c r="F3611">
        <f>_xlfn.XLOOKUP(Table1[[#This Row],[ProductID]],Products!A:A,Products!D:D,,0)</f>
        <v>45</v>
      </c>
      <c r="I3611">
        <v>249</v>
      </c>
      <c r="J3611">
        <v>212</v>
      </c>
      <c r="K3611" t="s">
        <v>1092</v>
      </c>
      <c r="L3611">
        <v>212</v>
      </c>
      <c r="M3611" t="s">
        <v>1093</v>
      </c>
      <c r="N3611" t="s">
        <v>1094</v>
      </c>
      <c r="O3611">
        <f>Table1[[#This Row],[Unit_Price]]*Table1[[#This Row],[Quantity]]</f>
        <v>45</v>
      </c>
    </row>
    <row r="3612" spans="1:15" x14ac:dyDescent="0.3">
      <c r="A3612" t="s">
        <v>5432</v>
      </c>
      <c r="B3612" t="s">
        <v>1396</v>
      </c>
      <c r="C3612" t="s">
        <v>937</v>
      </c>
      <c r="D3612" t="s">
        <v>1078</v>
      </c>
      <c r="E3612">
        <v>1</v>
      </c>
      <c r="F3612">
        <f>_xlfn.XLOOKUP(Table1[[#This Row],[ProductID]],Products!A:A,Products!D:D,,0)</f>
        <v>80</v>
      </c>
      <c r="I3612">
        <v>499</v>
      </c>
      <c r="J3612">
        <v>424</v>
      </c>
      <c r="K3612" t="s">
        <v>1092</v>
      </c>
      <c r="L3612">
        <v>424</v>
      </c>
      <c r="M3612" t="s">
        <v>1098</v>
      </c>
      <c r="N3612" t="s">
        <v>1099</v>
      </c>
      <c r="O3612">
        <f>Table1[[#This Row],[Unit_Price]]*Table1[[#This Row],[Quantity]]</f>
        <v>80</v>
      </c>
    </row>
    <row r="3613" spans="1:15" x14ac:dyDescent="0.3">
      <c r="A3613" t="s">
        <v>5433</v>
      </c>
      <c r="B3613" t="s">
        <v>1355</v>
      </c>
      <c r="C3613" t="s">
        <v>907</v>
      </c>
      <c r="D3613" t="s">
        <v>1053</v>
      </c>
      <c r="E3613">
        <v>1</v>
      </c>
      <c r="F3613">
        <f>_xlfn.XLOOKUP(Table1[[#This Row],[ProductID]],Products!A:A,Products!D:D,,0)</f>
        <v>200</v>
      </c>
      <c r="I3613">
        <v>899</v>
      </c>
      <c r="J3613">
        <v>764</v>
      </c>
      <c r="K3613" t="s">
        <v>1092</v>
      </c>
      <c r="L3613">
        <v>764</v>
      </c>
      <c r="M3613" t="s">
        <v>1098</v>
      </c>
      <c r="N3613" t="s">
        <v>1099</v>
      </c>
      <c r="O3613">
        <f>Table1[[#This Row],[Unit_Price]]*Table1[[#This Row],[Quantity]]</f>
        <v>200</v>
      </c>
    </row>
    <row r="3614" spans="1:15" x14ac:dyDescent="0.3">
      <c r="A3614" t="s">
        <v>5434</v>
      </c>
      <c r="B3614" t="s">
        <v>2150</v>
      </c>
      <c r="C3614" t="s">
        <v>299</v>
      </c>
      <c r="D3614" t="s">
        <v>1073</v>
      </c>
      <c r="E3614">
        <v>1</v>
      </c>
      <c r="F3614">
        <f>_xlfn.XLOOKUP(Table1[[#This Row],[ProductID]],Products!A:A,Products!D:D,,0)</f>
        <v>100</v>
      </c>
      <c r="I3614">
        <v>349</v>
      </c>
      <c r="J3614">
        <v>279</v>
      </c>
      <c r="K3614" t="s">
        <v>1097</v>
      </c>
      <c r="L3614">
        <v>279</v>
      </c>
      <c r="M3614" t="s">
        <v>1093</v>
      </c>
      <c r="N3614" t="s">
        <v>1123</v>
      </c>
      <c r="O3614">
        <f>Table1[[#This Row],[Unit_Price]]*Table1[[#This Row],[Quantity]]</f>
        <v>100</v>
      </c>
    </row>
    <row r="3615" spans="1:15" x14ac:dyDescent="0.3">
      <c r="A3615" t="s">
        <v>5435</v>
      </c>
      <c r="B3615" t="s">
        <v>1853</v>
      </c>
      <c r="C3615" t="s">
        <v>499</v>
      </c>
      <c r="D3615" t="s">
        <v>1066</v>
      </c>
      <c r="E3615">
        <v>1</v>
      </c>
      <c r="F3615">
        <f>_xlfn.XLOOKUP(Table1[[#This Row],[ProductID]],Products!A:A,Products!D:D,,0)</f>
        <v>140</v>
      </c>
      <c r="I3615">
        <v>499</v>
      </c>
      <c r="J3615">
        <v>499</v>
      </c>
      <c r="K3615" t="s">
        <v>1102</v>
      </c>
      <c r="L3615">
        <v>499</v>
      </c>
      <c r="M3615" t="s">
        <v>1126</v>
      </c>
      <c r="N3615" t="s">
        <v>1099</v>
      </c>
      <c r="O3615">
        <f>Table1[[#This Row],[Unit_Price]]*Table1[[#This Row],[Quantity]]</f>
        <v>140</v>
      </c>
    </row>
    <row r="3616" spans="1:15" x14ac:dyDescent="0.3">
      <c r="A3616" t="s">
        <v>5436</v>
      </c>
      <c r="B3616" t="s">
        <v>1438</v>
      </c>
      <c r="C3616" t="s">
        <v>621</v>
      </c>
      <c r="D3616" t="s">
        <v>1068</v>
      </c>
      <c r="E3616">
        <v>1</v>
      </c>
      <c r="F3616">
        <f>_xlfn.XLOOKUP(Table1[[#This Row],[ProductID]],Products!A:A,Products!D:D,,0)</f>
        <v>180</v>
      </c>
      <c r="I3616">
        <v>449</v>
      </c>
      <c r="J3616">
        <v>404</v>
      </c>
      <c r="K3616" t="s">
        <v>1107</v>
      </c>
      <c r="L3616">
        <v>404</v>
      </c>
      <c r="M3616" t="s">
        <v>1093</v>
      </c>
      <c r="N3616" t="s">
        <v>1099</v>
      </c>
      <c r="O3616">
        <f>Table1[[#This Row],[Unit_Price]]*Table1[[#This Row],[Quantity]]</f>
        <v>180</v>
      </c>
    </row>
    <row r="3617" spans="1:15" x14ac:dyDescent="0.3">
      <c r="A3617" t="s">
        <v>5437</v>
      </c>
      <c r="B3617" t="s">
        <v>1375</v>
      </c>
      <c r="C3617" t="s">
        <v>757</v>
      </c>
      <c r="D3617" t="s">
        <v>1062</v>
      </c>
      <c r="E3617">
        <v>2</v>
      </c>
      <c r="F3617">
        <f>_xlfn.XLOOKUP(Table1[[#This Row],[ProductID]],Products!A:A,Products!D:D,,0)</f>
        <v>95</v>
      </c>
      <c r="I3617">
        <v>349</v>
      </c>
      <c r="J3617">
        <v>279</v>
      </c>
      <c r="K3617" t="s">
        <v>1097</v>
      </c>
      <c r="L3617">
        <v>558</v>
      </c>
      <c r="M3617" t="s">
        <v>1093</v>
      </c>
      <c r="N3617" t="s">
        <v>1099</v>
      </c>
      <c r="O3617">
        <f>Table1[[#This Row],[Unit_Price]]*Table1[[#This Row],[Quantity]]</f>
        <v>190</v>
      </c>
    </row>
    <row r="3618" spans="1:15" x14ac:dyDescent="0.3">
      <c r="A3618" t="s">
        <v>5438</v>
      </c>
      <c r="B3618" t="s">
        <v>1905</v>
      </c>
      <c r="C3618" t="s">
        <v>751</v>
      </c>
      <c r="D3618" t="s">
        <v>1059</v>
      </c>
      <c r="E3618">
        <v>4</v>
      </c>
      <c r="F3618">
        <f>_xlfn.XLOOKUP(Table1[[#This Row],[ProductID]],Products!A:A,Products!D:D,,0)</f>
        <v>110</v>
      </c>
      <c r="I3618">
        <v>399</v>
      </c>
      <c r="J3618">
        <v>399</v>
      </c>
      <c r="K3618" t="s">
        <v>1102</v>
      </c>
      <c r="L3618">
        <v>1596</v>
      </c>
      <c r="M3618" t="s">
        <v>1093</v>
      </c>
      <c r="N3618" t="s">
        <v>1123</v>
      </c>
      <c r="O3618">
        <f>Table1[[#This Row],[Unit_Price]]*Table1[[#This Row],[Quantity]]</f>
        <v>440</v>
      </c>
    </row>
    <row r="3619" spans="1:15" x14ac:dyDescent="0.3">
      <c r="A3619" t="s">
        <v>5439</v>
      </c>
      <c r="B3619" t="s">
        <v>3567</v>
      </c>
      <c r="C3619" t="s">
        <v>162</v>
      </c>
      <c r="D3619" t="s">
        <v>1053</v>
      </c>
      <c r="E3619">
        <v>2</v>
      </c>
      <c r="F3619">
        <f>_xlfn.XLOOKUP(Table1[[#This Row],[ProductID]],Products!A:A,Products!D:D,,0)</f>
        <v>200</v>
      </c>
      <c r="I3619">
        <v>899</v>
      </c>
      <c r="J3619">
        <v>809</v>
      </c>
      <c r="K3619" t="s">
        <v>1107</v>
      </c>
      <c r="L3619">
        <v>1618</v>
      </c>
      <c r="M3619" t="s">
        <v>1093</v>
      </c>
      <c r="N3619" t="s">
        <v>1099</v>
      </c>
      <c r="O3619">
        <f>Table1[[#This Row],[Unit_Price]]*Table1[[#This Row],[Quantity]]</f>
        <v>400</v>
      </c>
    </row>
    <row r="3620" spans="1:15" x14ac:dyDescent="0.3">
      <c r="A3620" t="s">
        <v>5440</v>
      </c>
      <c r="B3620" t="s">
        <v>1389</v>
      </c>
      <c r="C3620" t="s">
        <v>124</v>
      </c>
      <c r="D3620" t="s">
        <v>1078</v>
      </c>
      <c r="E3620">
        <v>3</v>
      </c>
      <c r="F3620">
        <f>_xlfn.XLOOKUP(Table1[[#This Row],[ProductID]],Products!A:A,Products!D:D,,0)</f>
        <v>80</v>
      </c>
      <c r="I3620">
        <v>499</v>
      </c>
      <c r="J3620">
        <v>399</v>
      </c>
      <c r="K3620" t="s">
        <v>1097</v>
      </c>
      <c r="L3620">
        <v>1197</v>
      </c>
      <c r="M3620" t="s">
        <v>1093</v>
      </c>
      <c r="N3620" t="s">
        <v>1123</v>
      </c>
      <c r="O3620">
        <f>Table1[[#This Row],[Unit_Price]]*Table1[[#This Row],[Quantity]]</f>
        <v>240</v>
      </c>
    </row>
    <row r="3621" spans="1:15" x14ac:dyDescent="0.3">
      <c r="A3621" t="s">
        <v>5441</v>
      </c>
      <c r="B3621" t="s">
        <v>2158</v>
      </c>
      <c r="C3621" t="s">
        <v>911</v>
      </c>
      <c r="D3621" t="s">
        <v>1048</v>
      </c>
      <c r="E3621">
        <v>1</v>
      </c>
      <c r="F3621">
        <f>_xlfn.XLOOKUP(Table1[[#This Row],[ProductID]],Products!A:A,Products!D:D,,0)</f>
        <v>120</v>
      </c>
      <c r="I3621">
        <v>599</v>
      </c>
      <c r="J3621">
        <v>599</v>
      </c>
      <c r="K3621" t="s">
        <v>1102</v>
      </c>
      <c r="L3621">
        <v>599</v>
      </c>
      <c r="M3621" t="s">
        <v>1098</v>
      </c>
      <c r="N3621" t="s">
        <v>1099</v>
      </c>
      <c r="O3621">
        <f>Table1[[#This Row],[Unit_Price]]*Table1[[#This Row],[Quantity]]</f>
        <v>120</v>
      </c>
    </row>
    <row r="3622" spans="1:15" x14ac:dyDescent="0.3">
      <c r="A3622" t="s">
        <v>5442</v>
      </c>
      <c r="B3622" t="s">
        <v>1696</v>
      </c>
      <c r="C3622" t="s">
        <v>859</v>
      </c>
      <c r="D3622" t="s">
        <v>1073</v>
      </c>
      <c r="E3622">
        <v>1</v>
      </c>
      <c r="F3622">
        <f>_xlfn.XLOOKUP(Table1[[#This Row],[ProductID]],Products!A:A,Products!D:D,,0)</f>
        <v>100</v>
      </c>
      <c r="I3622">
        <v>349</v>
      </c>
      <c r="J3622">
        <v>297</v>
      </c>
      <c r="K3622" t="s">
        <v>1092</v>
      </c>
      <c r="L3622">
        <v>297</v>
      </c>
      <c r="M3622" t="s">
        <v>1093</v>
      </c>
      <c r="N3622" t="s">
        <v>1094</v>
      </c>
      <c r="O3622">
        <f>Table1[[#This Row],[Unit_Price]]*Table1[[#This Row],[Quantity]]</f>
        <v>100</v>
      </c>
    </row>
    <row r="3623" spans="1:15" x14ac:dyDescent="0.3">
      <c r="A3623" t="s">
        <v>5443</v>
      </c>
      <c r="B3623" t="s">
        <v>1734</v>
      </c>
      <c r="C3623" t="s">
        <v>539</v>
      </c>
      <c r="D3623" t="s">
        <v>1064</v>
      </c>
      <c r="E3623">
        <v>2</v>
      </c>
      <c r="F3623">
        <f>_xlfn.XLOOKUP(Table1[[#This Row],[ProductID]],Products!A:A,Products!D:D,,0)</f>
        <v>160</v>
      </c>
      <c r="I3623">
        <v>699</v>
      </c>
      <c r="J3623">
        <v>594</v>
      </c>
      <c r="K3623" t="s">
        <v>1092</v>
      </c>
      <c r="L3623">
        <v>1188</v>
      </c>
      <c r="M3623" t="s">
        <v>1093</v>
      </c>
      <c r="N3623" t="s">
        <v>1099</v>
      </c>
      <c r="O3623">
        <f>Table1[[#This Row],[Unit_Price]]*Table1[[#This Row],[Quantity]]</f>
        <v>320</v>
      </c>
    </row>
    <row r="3624" spans="1:15" x14ac:dyDescent="0.3">
      <c r="A3624" t="s">
        <v>5444</v>
      </c>
      <c r="B3624" t="s">
        <v>1300</v>
      </c>
      <c r="C3624" t="s">
        <v>837</v>
      </c>
      <c r="D3624" t="s">
        <v>1048</v>
      </c>
      <c r="E3624">
        <v>2</v>
      </c>
      <c r="F3624">
        <f>_xlfn.XLOOKUP(Table1[[#This Row],[ProductID]],Products!A:A,Products!D:D,,0)</f>
        <v>120</v>
      </c>
      <c r="I3624">
        <v>599</v>
      </c>
      <c r="J3624">
        <v>509</v>
      </c>
      <c r="K3624" t="s">
        <v>1092</v>
      </c>
      <c r="L3624">
        <v>1018</v>
      </c>
      <c r="M3624" t="s">
        <v>1098</v>
      </c>
      <c r="N3624" t="s">
        <v>1099</v>
      </c>
      <c r="O3624">
        <f>Table1[[#This Row],[Unit_Price]]*Table1[[#This Row],[Quantity]]</f>
        <v>240</v>
      </c>
    </row>
    <row r="3625" spans="1:15" x14ac:dyDescent="0.3">
      <c r="A3625" t="s">
        <v>5445</v>
      </c>
      <c r="B3625" t="s">
        <v>1639</v>
      </c>
      <c r="C3625" t="s">
        <v>961</v>
      </c>
      <c r="D3625" t="s">
        <v>1051</v>
      </c>
      <c r="E3625">
        <v>2</v>
      </c>
      <c r="F3625">
        <f>_xlfn.XLOOKUP(Table1[[#This Row],[ProductID]],Products!A:A,Products!D:D,,0)</f>
        <v>150</v>
      </c>
      <c r="I3625">
        <v>499</v>
      </c>
      <c r="J3625">
        <v>499</v>
      </c>
      <c r="K3625" t="s">
        <v>1102</v>
      </c>
      <c r="L3625">
        <v>998</v>
      </c>
      <c r="M3625" t="s">
        <v>1093</v>
      </c>
      <c r="N3625" t="s">
        <v>1123</v>
      </c>
      <c r="O3625">
        <f>Table1[[#This Row],[Unit_Price]]*Table1[[#This Row],[Quantity]]</f>
        <v>300</v>
      </c>
    </row>
    <row r="3626" spans="1:15" x14ac:dyDescent="0.3">
      <c r="A3626" t="s">
        <v>5446</v>
      </c>
      <c r="B3626" t="s">
        <v>2438</v>
      </c>
      <c r="C3626" t="s">
        <v>683</v>
      </c>
      <c r="D3626" t="s">
        <v>1078</v>
      </c>
      <c r="E3626">
        <v>1</v>
      </c>
      <c r="F3626">
        <f>_xlfn.XLOOKUP(Table1[[#This Row],[ProductID]],Products!A:A,Products!D:D,,0)</f>
        <v>80</v>
      </c>
      <c r="I3626">
        <v>499</v>
      </c>
      <c r="J3626">
        <v>449</v>
      </c>
      <c r="K3626" t="s">
        <v>1107</v>
      </c>
      <c r="L3626">
        <v>449</v>
      </c>
      <c r="M3626" t="s">
        <v>1093</v>
      </c>
      <c r="N3626" t="s">
        <v>1099</v>
      </c>
      <c r="O3626">
        <f>Table1[[#This Row],[Unit_Price]]*Table1[[#This Row],[Quantity]]</f>
        <v>80</v>
      </c>
    </row>
    <row r="3627" spans="1:15" x14ac:dyDescent="0.3">
      <c r="A3627" t="s">
        <v>5447</v>
      </c>
      <c r="B3627" t="s">
        <v>1389</v>
      </c>
      <c r="C3627" t="s">
        <v>941</v>
      </c>
      <c r="D3627" t="s">
        <v>1057</v>
      </c>
      <c r="E3627">
        <v>1</v>
      </c>
      <c r="F3627">
        <f>_xlfn.XLOOKUP(Table1[[#This Row],[ProductID]],Products!A:A,Products!D:D,,0)</f>
        <v>130</v>
      </c>
      <c r="I3627">
        <v>549</v>
      </c>
      <c r="J3627">
        <v>494</v>
      </c>
      <c r="K3627" t="s">
        <v>1107</v>
      </c>
      <c r="L3627">
        <v>494</v>
      </c>
      <c r="M3627" t="s">
        <v>1126</v>
      </c>
      <c r="N3627" t="s">
        <v>1099</v>
      </c>
      <c r="O3627">
        <f>Table1[[#This Row],[Unit_Price]]*Table1[[#This Row],[Quantity]]</f>
        <v>130</v>
      </c>
    </row>
    <row r="3628" spans="1:15" x14ac:dyDescent="0.3">
      <c r="A3628" t="s">
        <v>5448</v>
      </c>
      <c r="B3628" t="s">
        <v>2239</v>
      </c>
      <c r="C3628" t="s">
        <v>245</v>
      </c>
      <c r="D3628" t="s">
        <v>1055</v>
      </c>
      <c r="E3628">
        <v>1</v>
      </c>
      <c r="F3628">
        <f>_xlfn.XLOOKUP(Table1[[#This Row],[ProductID]],Products!A:A,Products!D:D,,0)</f>
        <v>75</v>
      </c>
      <c r="I3628">
        <v>299</v>
      </c>
      <c r="J3628">
        <v>254</v>
      </c>
      <c r="K3628" t="s">
        <v>1092</v>
      </c>
      <c r="L3628">
        <v>254</v>
      </c>
      <c r="M3628" t="s">
        <v>1093</v>
      </c>
      <c r="N3628" t="s">
        <v>1094</v>
      </c>
      <c r="O3628">
        <f>Table1[[#This Row],[Unit_Price]]*Table1[[#This Row],[Quantity]]</f>
        <v>75</v>
      </c>
    </row>
    <row r="3629" spans="1:15" x14ac:dyDescent="0.3">
      <c r="A3629" t="s">
        <v>5449</v>
      </c>
      <c r="B3629" t="s">
        <v>1281</v>
      </c>
      <c r="C3629" t="s">
        <v>297</v>
      </c>
      <c r="D3629" t="s">
        <v>1071</v>
      </c>
      <c r="E3629">
        <v>1</v>
      </c>
      <c r="F3629">
        <f>_xlfn.XLOOKUP(Table1[[#This Row],[ProductID]],Products!A:A,Products!D:D,,0)</f>
        <v>125</v>
      </c>
      <c r="I3629">
        <v>399</v>
      </c>
      <c r="J3629">
        <v>359</v>
      </c>
      <c r="K3629" t="s">
        <v>1107</v>
      </c>
      <c r="L3629">
        <v>359</v>
      </c>
      <c r="M3629" t="s">
        <v>1118</v>
      </c>
      <c r="N3629" t="s">
        <v>1099</v>
      </c>
      <c r="O3629">
        <f>Table1[[#This Row],[Unit_Price]]*Table1[[#This Row],[Quantity]]</f>
        <v>125</v>
      </c>
    </row>
    <row r="3630" spans="1:15" x14ac:dyDescent="0.3">
      <c r="A3630" t="s">
        <v>5450</v>
      </c>
      <c r="B3630" t="s">
        <v>2210</v>
      </c>
      <c r="C3630" t="s">
        <v>919</v>
      </c>
      <c r="D3630" t="s">
        <v>1062</v>
      </c>
      <c r="E3630">
        <v>1</v>
      </c>
      <c r="F3630">
        <f>_xlfn.XLOOKUP(Table1[[#This Row],[ProductID]],Products!A:A,Products!D:D,,0)</f>
        <v>95</v>
      </c>
      <c r="I3630">
        <v>349</v>
      </c>
      <c r="J3630">
        <v>279</v>
      </c>
      <c r="K3630" t="s">
        <v>1097</v>
      </c>
      <c r="L3630">
        <v>279</v>
      </c>
      <c r="M3630" t="s">
        <v>1098</v>
      </c>
      <c r="N3630" t="s">
        <v>1099</v>
      </c>
      <c r="O3630">
        <f>Table1[[#This Row],[Unit_Price]]*Table1[[#This Row],[Quantity]]</f>
        <v>95</v>
      </c>
    </row>
    <row r="3631" spans="1:15" x14ac:dyDescent="0.3">
      <c r="A3631" t="s">
        <v>5451</v>
      </c>
      <c r="B3631" t="s">
        <v>1192</v>
      </c>
      <c r="C3631" t="s">
        <v>499</v>
      </c>
      <c r="D3631" t="s">
        <v>1075</v>
      </c>
      <c r="E3631">
        <v>2</v>
      </c>
      <c r="F3631">
        <f>_xlfn.XLOOKUP(Table1[[#This Row],[ProductID]],Products!A:A,Products!D:D,,0)</f>
        <v>80</v>
      </c>
      <c r="I3631">
        <v>499</v>
      </c>
      <c r="J3631">
        <v>399</v>
      </c>
      <c r="K3631" t="s">
        <v>1097</v>
      </c>
      <c r="L3631">
        <v>798</v>
      </c>
      <c r="M3631" t="s">
        <v>1093</v>
      </c>
      <c r="N3631" t="s">
        <v>1094</v>
      </c>
      <c r="O3631">
        <f>Table1[[#This Row],[Unit_Price]]*Table1[[#This Row],[Quantity]]</f>
        <v>160</v>
      </c>
    </row>
    <row r="3632" spans="1:15" x14ac:dyDescent="0.3">
      <c r="A3632" t="s">
        <v>5452</v>
      </c>
      <c r="B3632" t="s">
        <v>1447</v>
      </c>
      <c r="C3632" t="s">
        <v>363</v>
      </c>
      <c r="D3632" t="s">
        <v>1057</v>
      </c>
      <c r="E3632">
        <v>1</v>
      </c>
      <c r="F3632">
        <f>_xlfn.XLOOKUP(Table1[[#This Row],[ProductID]],Products!A:A,Products!D:D,,0)</f>
        <v>130</v>
      </c>
      <c r="I3632">
        <v>549</v>
      </c>
      <c r="J3632">
        <v>467</v>
      </c>
      <c r="K3632" t="s">
        <v>1092</v>
      </c>
      <c r="L3632">
        <v>467</v>
      </c>
      <c r="M3632" t="s">
        <v>1126</v>
      </c>
      <c r="N3632" t="s">
        <v>1099</v>
      </c>
      <c r="O3632">
        <f>Table1[[#This Row],[Unit_Price]]*Table1[[#This Row],[Quantity]]</f>
        <v>130</v>
      </c>
    </row>
    <row r="3633" spans="1:15" x14ac:dyDescent="0.3">
      <c r="A3633" t="s">
        <v>5453</v>
      </c>
      <c r="B3633" t="s">
        <v>1938</v>
      </c>
      <c r="C3633" t="s">
        <v>783</v>
      </c>
      <c r="D3633" t="s">
        <v>1073</v>
      </c>
      <c r="E3633">
        <v>1</v>
      </c>
      <c r="F3633">
        <f>_xlfn.XLOOKUP(Table1[[#This Row],[ProductID]],Products!A:A,Products!D:D,,0)</f>
        <v>100</v>
      </c>
      <c r="I3633">
        <v>349</v>
      </c>
      <c r="J3633">
        <v>349</v>
      </c>
      <c r="K3633" t="s">
        <v>1102</v>
      </c>
      <c r="L3633">
        <v>349</v>
      </c>
      <c r="M3633" t="s">
        <v>1118</v>
      </c>
      <c r="N3633" t="s">
        <v>1099</v>
      </c>
      <c r="O3633">
        <f>Table1[[#This Row],[Unit_Price]]*Table1[[#This Row],[Quantity]]</f>
        <v>100</v>
      </c>
    </row>
    <row r="3634" spans="1:15" x14ac:dyDescent="0.3">
      <c r="A3634" t="s">
        <v>5454</v>
      </c>
      <c r="B3634" t="s">
        <v>2421</v>
      </c>
      <c r="C3634" t="s">
        <v>1003</v>
      </c>
      <c r="D3634" t="s">
        <v>1066</v>
      </c>
      <c r="E3634">
        <v>1</v>
      </c>
      <c r="F3634">
        <f>_xlfn.XLOOKUP(Table1[[#This Row],[ProductID]],Products!A:A,Products!D:D,,0)</f>
        <v>140</v>
      </c>
      <c r="I3634">
        <v>499</v>
      </c>
      <c r="J3634">
        <v>449</v>
      </c>
      <c r="K3634" t="s">
        <v>1107</v>
      </c>
      <c r="L3634">
        <v>449</v>
      </c>
      <c r="M3634" t="s">
        <v>1126</v>
      </c>
      <c r="N3634" t="s">
        <v>1099</v>
      </c>
      <c r="O3634">
        <f>Table1[[#This Row],[Unit_Price]]*Table1[[#This Row],[Quantity]]</f>
        <v>140</v>
      </c>
    </row>
    <row r="3635" spans="1:15" x14ac:dyDescent="0.3">
      <c r="A3635" t="s">
        <v>5455</v>
      </c>
      <c r="B3635" t="s">
        <v>3228</v>
      </c>
      <c r="C3635" t="s">
        <v>621</v>
      </c>
      <c r="D3635" t="s">
        <v>1064</v>
      </c>
      <c r="E3635">
        <v>3</v>
      </c>
      <c r="F3635">
        <f>_xlfn.XLOOKUP(Table1[[#This Row],[ProductID]],Products!A:A,Products!D:D,,0)</f>
        <v>160</v>
      </c>
      <c r="I3635">
        <v>699</v>
      </c>
      <c r="J3635">
        <v>629</v>
      </c>
      <c r="K3635" t="s">
        <v>1107</v>
      </c>
      <c r="L3635">
        <v>1887</v>
      </c>
      <c r="M3635" t="s">
        <v>1126</v>
      </c>
      <c r="N3635" t="s">
        <v>1099</v>
      </c>
      <c r="O3635">
        <f>Table1[[#This Row],[Unit_Price]]*Table1[[#This Row],[Quantity]]</f>
        <v>480</v>
      </c>
    </row>
    <row r="3636" spans="1:15" x14ac:dyDescent="0.3">
      <c r="A3636" t="s">
        <v>5456</v>
      </c>
      <c r="B3636" t="s">
        <v>2208</v>
      </c>
      <c r="C3636" t="s">
        <v>511</v>
      </c>
      <c r="D3636" t="s">
        <v>1075</v>
      </c>
      <c r="E3636">
        <v>2</v>
      </c>
      <c r="F3636">
        <f>_xlfn.XLOOKUP(Table1[[#This Row],[ProductID]],Products!A:A,Products!D:D,,0)</f>
        <v>80</v>
      </c>
      <c r="I3636">
        <v>499</v>
      </c>
      <c r="J3636">
        <v>449</v>
      </c>
      <c r="K3636" t="s">
        <v>1107</v>
      </c>
      <c r="L3636">
        <v>898</v>
      </c>
      <c r="M3636" t="s">
        <v>1093</v>
      </c>
      <c r="N3636" t="s">
        <v>1099</v>
      </c>
      <c r="O3636">
        <f>Table1[[#This Row],[Unit_Price]]*Table1[[#This Row],[Quantity]]</f>
        <v>160</v>
      </c>
    </row>
    <row r="3637" spans="1:15" x14ac:dyDescent="0.3">
      <c r="A3637" t="s">
        <v>5457</v>
      </c>
      <c r="B3637" t="s">
        <v>2195</v>
      </c>
      <c r="C3637" t="s">
        <v>181</v>
      </c>
      <c r="D3637" t="s">
        <v>1073</v>
      </c>
      <c r="E3637">
        <v>4</v>
      </c>
      <c r="F3637">
        <f>_xlfn.XLOOKUP(Table1[[#This Row],[ProductID]],Products!A:A,Products!D:D,,0)</f>
        <v>100</v>
      </c>
      <c r="I3637">
        <v>349</v>
      </c>
      <c r="J3637">
        <v>314</v>
      </c>
      <c r="K3637" t="s">
        <v>1107</v>
      </c>
      <c r="L3637">
        <v>1256</v>
      </c>
      <c r="M3637" t="s">
        <v>1098</v>
      </c>
      <c r="N3637" t="s">
        <v>1099</v>
      </c>
      <c r="O3637">
        <f>Table1[[#This Row],[Unit_Price]]*Table1[[#This Row],[Quantity]]</f>
        <v>400</v>
      </c>
    </row>
    <row r="3638" spans="1:15" x14ac:dyDescent="0.3">
      <c r="A3638" t="s">
        <v>5458</v>
      </c>
      <c r="B3638" t="s">
        <v>3320</v>
      </c>
      <c r="C3638" t="s">
        <v>287</v>
      </c>
      <c r="D3638" t="s">
        <v>1078</v>
      </c>
      <c r="E3638">
        <v>2</v>
      </c>
      <c r="F3638">
        <f>_xlfn.XLOOKUP(Table1[[#This Row],[ProductID]],Products!A:A,Products!D:D,,0)</f>
        <v>80</v>
      </c>
      <c r="I3638">
        <v>499</v>
      </c>
      <c r="J3638">
        <v>424</v>
      </c>
      <c r="K3638" t="s">
        <v>1092</v>
      </c>
      <c r="L3638">
        <v>848</v>
      </c>
      <c r="M3638" t="s">
        <v>1126</v>
      </c>
      <c r="N3638" t="s">
        <v>1099</v>
      </c>
      <c r="O3638">
        <f>Table1[[#This Row],[Unit_Price]]*Table1[[#This Row],[Quantity]]</f>
        <v>160</v>
      </c>
    </row>
    <row r="3639" spans="1:15" x14ac:dyDescent="0.3">
      <c r="A3639" t="s">
        <v>5459</v>
      </c>
      <c r="B3639" t="s">
        <v>1223</v>
      </c>
      <c r="C3639" t="s">
        <v>253</v>
      </c>
      <c r="D3639" t="s">
        <v>1066</v>
      </c>
      <c r="E3639">
        <v>1</v>
      </c>
      <c r="F3639">
        <f>_xlfn.XLOOKUP(Table1[[#This Row],[ProductID]],Products!A:A,Products!D:D,,0)</f>
        <v>140</v>
      </c>
      <c r="I3639">
        <v>499</v>
      </c>
      <c r="J3639">
        <v>399</v>
      </c>
      <c r="K3639" t="s">
        <v>1097</v>
      </c>
      <c r="L3639">
        <v>399</v>
      </c>
      <c r="M3639" t="s">
        <v>1098</v>
      </c>
      <c r="N3639" t="s">
        <v>1099</v>
      </c>
      <c r="O3639">
        <f>Table1[[#This Row],[Unit_Price]]*Table1[[#This Row],[Quantity]]</f>
        <v>140</v>
      </c>
    </row>
    <row r="3640" spans="1:15" x14ac:dyDescent="0.3">
      <c r="A3640" t="s">
        <v>5460</v>
      </c>
      <c r="B3640" t="s">
        <v>1541</v>
      </c>
      <c r="C3640" t="s">
        <v>52</v>
      </c>
      <c r="D3640" t="s">
        <v>1064</v>
      </c>
      <c r="E3640">
        <v>2</v>
      </c>
      <c r="F3640">
        <f>_xlfn.XLOOKUP(Table1[[#This Row],[ProductID]],Products!A:A,Products!D:D,,0)</f>
        <v>160</v>
      </c>
      <c r="I3640">
        <v>699</v>
      </c>
      <c r="J3640">
        <v>699</v>
      </c>
      <c r="K3640" t="s">
        <v>1102</v>
      </c>
      <c r="L3640">
        <v>1398</v>
      </c>
      <c r="M3640" t="s">
        <v>1093</v>
      </c>
      <c r="N3640" t="s">
        <v>1099</v>
      </c>
      <c r="O3640">
        <f>Table1[[#This Row],[Unit_Price]]*Table1[[#This Row],[Quantity]]</f>
        <v>320</v>
      </c>
    </row>
    <row r="3641" spans="1:15" x14ac:dyDescent="0.3">
      <c r="A3641" t="s">
        <v>5461</v>
      </c>
      <c r="B3641" t="s">
        <v>2092</v>
      </c>
      <c r="C3641" t="s">
        <v>817</v>
      </c>
      <c r="D3641" t="s">
        <v>1066</v>
      </c>
      <c r="E3641">
        <v>1</v>
      </c>
      <c r="F3641">
        <f>_xlfn.XLOOKUP(Table1[[#This Row],[ProductID]],Products!A:A,Products!D:D,,0)</f>
        <v>140</v>
      </c>
      <c r="I3641">
        <v>499</v>
      </c>
      <c r="J3641">
        <v>499</v>
      </c>
      <c r="K3641" t="s">
        <v>1102</v>
      </c>
      <c r="L3641">
        <v>499</v>
      </c>
      <c r="M3641" t="s">
        <v>1093</v>
      </c>
      <c r="N3641" t="s">
        <v>1094</v>
      </c>
      <c r="O3641">
        <f>Table1[[#This Row],[Unit_Price]]*Table1[[#This Row],[Quantity]]</f>
        <v>140</v>
      </c>
    </row>
    <row r="3642" spans="1:15" x14ac:dyDescent="0.3">
      <c r="A3642" t="s">
        <v>5462</v>
      </c>
      <c r="B3642" t="s">
        <v>1304</v>
      </c>
      <c r="C3642" t="s">
        <v>697</v>
      </c>
      <c r="D3642" t="s">
        <v>1078</v>
      </c>
      <c r="E3642">
        <v>1</v>
      </c>
      <c r="F3642">
        <f>_xlfn.XLOOKUP(Table1[[#This Row],[ProductID]],Products!A:A,Products!D:D,,0)</f>
        <v>80</v>
      </c>
      <c r="I3642">
        <v>499</v>
      </c>
      <c r="J3642">
        <v>424</v>
      </c>
      <c r="K3642" t="s">
        <v>1092</v>
      </c>
      <c r="L3642">
        <v>424</v>
      </c>
      <c r="M3642" t="s">
        <v>1098</v>
      </c>
      <c r="N3642" t="s">
        <v>1099</v>
      </c>
      <c r="O3642">
        <f>Table1[[#This Row],[Unit_Price]]*Table1[[#This Row],[Quantity]]</f>
        <v>80</v>
      </c>
    </row>
    <row r="3643" spans="1:15" x14ac:dyDescent="0.3">
      <c r="A3643" t="s">
        <v>5463</v>
      </c>
      <c r="B3643" t="s">
        <v>1353</v>
      </c>
      <c r="C3643" t="s">
        <v>91</v>
      </c>
      <c r="D3643" t="s">
        <v>1053</v>
      </c>
      <c r="E3643">
        <v>3</v>
      </c>
      <c r="F3643">
        <f>_xlfn.XLOOKUP(Table1[[#This Row],[ProductID]],Products!A:A,Products!D:D,,0)</f>
        <v>200</v>
      </c>
      <c r="I3643">
        <v>899</v>
      </c>
      <c r="J3643">
        <v>719</v>
      </c>
      <c r="K3643" t="s">
        <v>1097</v>
      </c>
      <c r="L3643">
        <v>2157</v>
      </c>
      <c r="M3643" t="s">
        <v>1098</v>
      </c>
      <c r="N3643" t="s">
        <v>1099</v>
      </c>
      <c r="O3643">
        <f>Table1[[#This Row],[Unit_Price]]*Table1[[#This Row],[Quantity]]</f>
        <v>600</v>
      </c>
    </row>
    <row r="3644" spans="1:15" x14ac:dyDescent="0.3">
      <c r="A3644" t="s">
        <v>5464</v>
      </c>
      <c r="B3644" t="s">
        <v>3032</v>
      </c>
      <c r="C3644" t="s">
        <v>247</v>
      </c>
      <c r="D3644" t="s">
        <v>1071</v>
      </c>
      <c r="E3644">
        <v>1</v>
      </c>
      <c r="F3644">
        <f>_xlfn.XLOOKUP(Table1[[#This Row],[ProductID]],Products!A:A,Products!D:D,,0)</f>
        <v>125</v>
      </c>
      <c r="I3644">
        <v>399</v>
      </c>
      <c r="J3644">
        <v>359</v>
      </c>
      <c r="K3644" t="s">
        <v>1107</v>
      </c>
      <c r="L3644">
        <v>359</v>
      </c>
      <c r="M3644" t="s">
        <v>1093</v>
      </c>
      <c r="N3644" t="s">
        <v>1094</v>
      </c>
      <c r="O3644">
        <f>Table1[[#This Row],[Unit_Price]]*Table1[[#This Row],[Quantity]]</f>
        <v>125</v>
      </c>
    </row>
    <row r="3645" spans="1:15" x14ac:dyDescent="0.3">
      <c r="A3645" t="s">
        <v>5465</v>
      </c>
      <c r="B3645" t="s">
        <v>1835</v>
      </c>
      <c r="C3645" t="s">
        <v>697</v>
      </c>
      <c r="D3645" t="s">
        <v>1057</v>
      </c>
      <c r="E3645">
        <v>1</v>
      </c>
      <c r="F3645">
        <f>_xlfn.XLOOKUP(Table1[[#This Row],[ProductID]],Products!A:A,Products!D:D,,0)</f>
        <v>130</v>
      </c>
      <c r="I3645">
        <v>549</v>
      </c>
      <c r="J3645">
        <v>439</v>
      </c>
      <c r="K3645" t="s">
        <v>1097</v>
      </c>
      <c r="L3645">
        <v>439</v>
      </c>
      <c r="M3645" t="s">
        <v>1093</v>
      </c>
      <c r="N3645" t="s">
        <v>1099</v>
      </c>
      <c r="O3645">
        <f>Table1[[#This Row],[Unit_Price]]*Table1[[#This Row],[Quantity]]</f>
        <v>130</v>
      </c>
    </row>
    <row r="3646" spans="1:15" x14ac:dyDescent="0.3">
      <c r="A3646" t="s">
        <v>5466</v>
      </c>
      <c r="B3646" t="s">
        <v>1801</v>
      </c>
      <c r="C3646" t="s">
        <v>859</v>
      </c>
      <c r="D3646" t="s">
        <v>1066</v>
      </c>
      <c r="E3646">
        <v>2</v>
      </c>
      <c r="F3646">
        <f>_xlfn.XLOOKUP(Table1[[#This Row],[ProductID]],Products!A:A,Products!D:D,,0)</f>
        <v>140</v>
      </c>
      <c r="I3646">
        <v>499</v>
      </c>
      <c r="J3646">
        <v>449</v>
      </c>
      <c r="K3646" t="s">
        <v>1107</v>
      </c>
      <c r="L3646">
        <v>898</v>
      </c>
      <c r="M3646" t="s">
        <v>1093</v>
      </c>
      <c r="N3646" t="s">
        <v>1099</v>
      </c>
      <c r="O3646">
        <f>Table1[[#This Row],[Unit_Price]]*Table1[[#This Row],[Quantity]]</f>
        <v>280</v>
      </c>
    </row>
    <row r="3647" spans="1:15" x14ac:dyDescent="0.3">
      <c r="A3647" t="s">
        <v>5467</v>
      </c>
      <c r="B3647" t="s">
        <v>2333</v>
      </c>
      <c r="C3647" t="s">
        <v>713</v>
      </c>
      <c r="D3647" t="s">
        <v>1055</v>
      </c>
      <c r="E3647">
        <v>1</v>
      </c>
      <c r="F3647">
        <f>_xlfn.XLOOKUP(Table1[[#This Row],[ProductID]],Products!A:A,Products!D:D,,0)</f>
        <v>75</v>
      </c>
      <c r="I3647">
        <v>299</v>
      </c>
      <c r="J3647">
        <v>254</v>
      </c>
      <c r="K3647" t="s">
        <v>1092</v>
      </c>
      <c r="L3647">
        <v>254</v>
      </c>
      <c r="M3647" t="s">
        <v>1098</v>
      </c>
      <c r="N3647" t="s">
        <v>1099</v>
      </c>
      <c r="O3647">
        <f>Table1[[#This Row],[Unit_Price]]*Table1[[#This Row],[Quantity]]</f>
        <v>75</v>
      </c>
    </row>
    <row r="3648" spans="1:15" x14ac:dyDescent="0.3">
      <c r="A3648" t="s">
        <v>5468</v>
      </c>
      <c r="B3648" t="s">
        <v>2563</v>
      </c>
      <c r="C3648" t="s">
        <v>112</v>
      </c>
      <c r="D3648" t="s">
        <v>1048</v>
      </c>
      <c r="E3648">
        <v>2</v>
      </c>
      <c r="F3648">
        <f>_xlfn.XLOOKUP(Table1[[#This Row],[ProductID]],Products!A:A,Products!D:D,,0)</f>
        <v>120</v>
      </c>
      <c r="I3648">
        <v>599</v>
      </c>
      <c r="J3648">
        <v>509</v>
      </c>
      <c r="K3648" t="s">
        <v>1092</v>
      </c>
      <c r="L3648">
        <v>1018</v>
      </c>
      <c r="M3648" t="s">
        <v>1098</v>
      </c>
      <c r="N3648" t="s">
        <v>1099</v>
      </c>
      <c r="O3648">
        <f>Table1[[#This Row],[Unit_Price]]*Table1[[#This Row],[Quantity]]</f>
        <v>240</v>
      </c>
    </row>
    <row r="3649" spans="1:15" x14ac:dyDescent="0.3">
      <c r="A3649" t="s">
        <v>5469</v>
      </c>
      <c r="B3649" t="s">
        <v>3250</v>
      </c>
      <c r="C3649" t="s">
        <v>34</v>
      </c>
      <c r="D3649" t="s">
        <v>1066</v>
      </c>
      <c r="E3649">
        <v>2</v>
      </c>
      <c r="F3649">
        <f>_xlfn.XLOOKUP(Table1[[#This Row],[ProductID]],Products!A:A,Products!D:D,,0)</f>
        <v>140</v>
      </c>
      <c r="I3649">
        <v>499</v>
      </c>
      <c r="J3649">
        <v>399</v>
      </c>
      <c r="K3649" t="s">
        <v>1097</v>
      </c>
      <c r="L3649">
        <v>798</v>
      </c>
      <c r="M3649" t="s">
        <v>1098</v>
      </c>
      <c r="N3649" t="s">
        <v>1099</v>
      </c>
      <c r="O3649">
        <f>Table1[[#This Row],[Unit_Price]]*Table1[[#This Row],[Quantity]]</f>
        <v>280</v>
      </c>
    </row>
    <row r="3650" spans="1:15" x14ac:dyDescent="0.3">
      <c r="A3650" t="s">
        <v>5470</v>
      </c>
      <c r="B3650" t="s">
        <v>1319</v>
      </c>
      <c r="C3650" t="s">
        <v>325</v>
      </c>
      <c r="D3650" t="s">
        <v>1080</v>
      </c>
      <c r="E3650">
        <v>1</v>
      </c>
      <c r="F3650">
        <f>_xlfn.XLOOKUP(Table1[[#This Row],[ProductID]],Products!A:A,Products!D:D,,0)</f>
        <v>45</v>
      </c>
      <c r="I3650">
        <v>249</v>
      </c>
      <c r="J3650">
        <v>224</v>
      </c>
      <c r="K3650" t="s">
        <v>1107</v>
      </c>
      <c r="L3650">
        <v>224</v>
      </c>
      <c r="M3650" t="s">
        <v>1093</v>
      </c>
      <c r="N3650" t="s">
        <v>1094</v>
      </c>
      <c r="O3650">
        <f>Table1[[#This Row],[Unit_Price]]*Table1[[#This Row],[Quantity]]</f>
        <v>45</v>
      </c>
    </row>
    <row r="3651" spans="1:15" x14ac:dyDescent="0.3">
      <c r="A3651" t="s">
        <v>5471</v>
      </c>
      <c r="B3651" t="s">
        <v>1111</v>
      </c>
      <c r="C3651" t="s">
        <v>1037</v>
      </c>
      <c r="D3651" t="s">
        <v>1071</v>
      </c>
      <c r="E3651">
        <v>2</v>
      </c>
      <c r="F3651">
        <f>_xlfn.XLOOKUP(Table1[[#This Row],[ProductID]],Products!A:A,Products!D:D,,0)</f>
        <v>125</v>
      </c>
      <c r="I3651">
        <v>399</v>
      </c>
      <c r="J3651">
        <v>339</v>
      </c>
      <c r="K3651" t="s">
        <v>1092</v>
      </c>
      <c r="L3651">
        <v>678</v>
      </c>
      <c r="M3651" t="s">
        <v>1098</v>
      </c>
      <c r="N3651" t="s">
        <v>1099</v>
      </c>
      <c r="O3651">
        <f>Table1[[#This Row],[Unit_Price]]*Table1[[#This Row],[Quantity]]</f>
        <v>250</v>
      </c>
    </row>
    <row r="3652" spans="1:15" x14ac:dyDescent="0.3">
      <c r="A3652" t="s">
        <v>5472</v>
      </c>
      <c r="B3652" t="s">
        <v>1549</v>
      </c>
      <c r="C3652" t="s">
        <v>102</v>
      </c>
      <c r="D3652" t="s">
        <v>1057</v>
      </c>
      <c r="E3652">
        <v>1</v>
      </c>
      <c r="F3652">
        <f>_xlfn.XLOOKUP(Table1[[#This Row],[ProductID]],Products!A:A,Products!D:D,,0)</f>
        <v>130</v>
      </c>
      <c r="I3652">
        <v>549</v>
      </c>
      <c r="J3652">
        <v>439</v>
      </c>
      <c r="K3652" t="s">
        <v>1097</v>
      </c>
      <c r="L3652">
        <v>439</v>
      </c>
      <c r="M3652" t="s">
        <v>1093</v>
      </c>
      <c r="N3652" t="s">
        <v>1123</v>
      </c>
      <c r="O3652">
        <f>Table1[[#This Row],[Unit_Price]]*Table1[[#This Row],[Quantity]]</f>
        <v>130</v>
      </c>
    </row>
    <row r="3653" spans="1:15" x14ac:dyDescent="0.3">
      <c r="A3653" t="s">
        <v>5473</v>
      </c>
      <c r="B3653" t="s">
        <v>1570</v>
      </c>
      <c r="C3653" t="s">
        <v>175</v>
      </c>
      <c r="D3653" t="s">
        <v>1071</v>
      </c>
      <c r="E3653">
        <v>1</v>
      </c>
      <c r="F3653">
        <f>_xlfn.XLOOKUP(Table1[[#This Row],[ProductID]],Products!A:A,Products!D:D,,0)</f>
        <v>125</v>
      </c>
      <c r="I3653">
        <v>399</v>
      </c>
      <c r="J3653">
        <v>319</v>
      </c>
      <c r="K3653" t="s">
        <v>1097</v>
      </c>
      <c r="L3653">
        <v>319</v>
      </c>
      <c r="M3653" t="s">
        <v>1098</v>
      </c>
      <c r="N3653" t="s">
        <v>1099</v>
      </c>
      <c r="O3653">
        <f>Table1[[#This Row],[Unit_Price]]*Table1[[#This Row],[Quantity]]</f>
        <v>125</v>
      </c>
    </row>
    <row r="3654" spans="1:15" x14ac:dyDescent="0.3">
      <c r="A3654" t="s">
        <v>5474</v>
      </c>
      <c r="B3654" t="s">
        <v>1529</v>
      </c>
      <c r="C3654" t="s">
        <v>765</v>
      </c>
      <c r="D3654" t="s">
        <v>1068</v>
      </c>
      <c r="E3654">
        <v>1</v>
      </c>
      <c r="F3654">
        <f>_xlfn.XLOOKUP(Table1[[#This Row],[ProductID]],Products!A:A,Products!D:D,,0)</f>
        <v>180</v>
      </c>
      <c r="I3654">
        <v>449</v>
      </c>
      <c r="J3654">
        <v>404</v>
      </c>
      <c r="K3654" t="s">
        <v>1107</v>
      </c>
      <c r="L3654">
        <v>404</v>
      </c>
      <c r="M3654" t="s">
        <v>1093</v>
      </c>
      <c r="N3654" t="s">
        <v>1094</v>
      </c>
      <c r="O3654">
        <f>Table1[[#This Row],[Unit_Price]]*Table1[[#This Row],[Quantity]]</f>
        <v>180</v>
      </c>
    </row>
    <row r="3655" spans="1:15" x14ac:dyDescent="0.3">
      <c r="A3655" t="s">
        <v>5475</v>
      </c>
      <c r="B3655" t="s">
        <v>1283</v>
      </c>
      <c r="C3655" t="s">
        <v>371</v>
      </c>
      <c r="D3655" t="s">
        <v>1078</v>
      </c>
      <c r="E3655">
        <v>1</v>
      </c>
      <c r="F3655">
        <f>_xlfn.XLOOKUP(Table1[[#This Row],[ProductID]],Products!A:A,Products!D:D,,0)</f>
        <v>80</v>
      </c>
      <c r="I3655">
        <v>499</v>
      </c>
      <c r="J3655">
        <v>424</v>
      </c>
      <c r="K3655" t="s">
        <v>1092</v>
      </c>
      <c r="L3655">
        <v>424</v>
      </c>
      <c r="M3655" t="s">
        <v>1093</v>
      </c>
      <c r="N3655" t="s">
        <v>1123</v>
      </c>
      <c r="O3655">
        <f>Table1[[#This Row],[Unit_Price]]*Table1[[#This Row],[Quantity]]</f>
        <v>80</v>
      </c>
    </row>
    <row r="3656" spans="1:15" x14ac:dyDescent="0.3">
      <c r="A3656" t="s">
        <v>5476</v>
      </c>
      <c r="B3656" t="s">
        <v>1589</v>
      </c>
      <c r="C3656" t="s">
        <v>631</v>
      </c>
      <c r="D3656" t="s">
        <v>1066</v>
      </c>
      <c r="E3656">
        <v>3</v>
      </c>
      <c r="F3656">
        <f>_xlfn.XLOOKUP(Table1[[#This Row],[ProductID]],Products!A:A,Products!D:D,,0)</f>
        <v>140</v>
      </c>
      <c r="I3656">
        <v>499</v>
      </c>
      <c r="J3656">
        <v>449</v>
      </c>
      <c r="K3656" t="s">
        <v>1107</v>
      </c>
      <c r="L3656">
        <v>1347</v>
      </c>
      <c r="M3656" t="s">
        <v>1093</v>
      </c>
      <c r="N3656" t="s">
        <v>1099</v>
      </c>
      <c r="O3656">
        <f>Table1[[#This Row],[Unit_Price]]*Table1[[#This Row],[Quantity]]</f>
        <v>420</v>
      </c>
    </row>
    <row r="3657" spans="1:15" x14ac:dyDescent="0.3">
      <c r="A3657" t="s">
        <v>5477</v>
      </c>
      <c r="B3657" t="s">
        <v>2529</v>
      </c>
      <c r="C3657" t="s">
        <v>697</v>
      </c>
      <c r="D3657" t="s">
        <v>1068</v>
      </c>
      <c r="E3657">
        <v>1</v>
      </c>
      <c r="F3657">
        <f>_xlfn.XLOOKUP(Table1[[#This Row],[ProductID]],Products!A:A,Products!D:D,,0)</f>
        <v>180</v>
      </c>
      <c r="I3657">
        <v>449</v>
      </c>
      <c r="J3657">
        <v>404</v>
      </c>
      <c r="K3657" t="s">
        <v>1107</v>
      </c>
      <c r="L3657">
        <v>404</v>
      </c>
      <c r="M3657" t="s">
        <v>1118</v>
      </c>
      <c r="N3657" t="s">
        <v>1099</v>
      </c>
      <c r="O3657">
        <f>Table1[[#This Row],[Unit_Price]]*Table1[[#This Row],[Quantity]]</f>
        <v>180</v>
      </c>
    </row>
    <row r="3658" spans="1:15" x14ac:dyDescent="0.3">
      <c r="A3658" t="s">
        <v>5478</v>
      </c>
      <c r="B3658" t="s">
        <v>1275</v>
      </c>
      <c r="C3658" t="s">
        <v>285</v>
      </c>
      <c r="D3658" t="s">
        <v>1057</v>
      </c>
      <c r="E3658">
        <v>2</v>
      </c>
      <c r="F3658">
        <f>_xlfn.XLOOKUP(Table1[[#This Row],[ProductID]],Products!A:A,Products!D:D,,0)</f>
        <v>130</v>
      </c>
      <c r="I3658">
        <v>549</v>
      </c>
      <c r="J3658">
        <v>439</v>
      </c>
      <c r="K3658" t="s">
        <v>1097</v>
      </c>
      <c r="L3658">
        <v>878</v>
      </c>
      <c r="M3658" t="s">
        <v>1093</v>
      </c>
      <c r="N3658" t="s">
        <v>1123</v>
      </c>
      <c r="O3658">
        <f>Table1[[#This Row],[Unit_Price]]*Table1[[#This Row],[Quantity]]</f>
        <v>260</v>
      </c>
    </row>
    <row r="3659" spans="1:15" x14ac:dyDescent="0.3">
      <c r="A3659" t="s">
        <v>5479</v>
      </c>
      <c r="B3659" t="s">
        <v>1859</v>
      </c>
      <c r="C3659" t="s">
        <v>447</v>
      </c>
      <c r="D3659" t="s">
        <v>1048</v>
      </c>
      <c r="E3659">
        <v>3</v>
      </c>
      <c r="F3659">
        <f>_xlfn.XLOOKUP(Table1[[#This Row],[ProductID]],Products!A:A,Products!D:D,,0)</f>
        <v>120</v>
      </c>
      <c r="I3659">
        <v>599</v>
      </c>
      <c r="J3659">
        <v>599</v>
      </c>
      <c r="K3659" t="s">
        <v>1102</v>
      </c>
      <c r="L3659">
        <v>1797</v>
      </c>
      <c r="M3659" t="s">
        <v>1098</v>
      </c>
      <c r="N3659" t="s">
        <v>1099</v>
      </c>
      <c r="O3659">
        <f>Table1[[#This Row],[Unit_Price]]*Table1[[#This Row],[Quantity]]</f>
        <v>360</v>
      </c>
    </row>
    <row r="3660" spans="1:15" x14ac:dyDescent="0.3">
      <c r="A3660" t="s">
        <v>5480</v>
      </c>
      <c r="B3660" t="s">
        <v>1096</v>
      </c>
      <c r="C3660" t="s">
        <v>553</v>
      </c>
      <c r="D3660" t="s">
        <v>1053</v>
      </c>
      <c r="E3660">
        <v>1</v>
      </c>
      <c r="F3660">
        <f>_xlfn.XLOOKUP(Table1[[#This Row],[ProductID]],Products!A:A,Products!D:D,,0)</f>
        <v>200</v>
      </c>
      <c r="I3660">
        <v>899</v>
      </c>
      <c r="J3660">
        <v>899</v>
      </c>
      <c r="K3660" t="s">
        <v>1102</v>
      </c>
      <c r="L3660">
        <v>899</v>
      </c>
      <c r="M3660" t="s">
        <v>1098</v>
      </c>
      <c r="N3660" t="s">
        <v>1099</v>
      </c>
      <c r="O3660">
        <f>Table1[[#This Row],[Unit_Price]]*Table1[[#This Row],[Quantity]]</f>
        <v>200</v>
      </c>
    </row>
    <row r="3661" spans="1:15" x14ac:dyDescent="0.3">
      <c r="A3661" t="s">
        <v>5481</v>
      </c>
      <c r="B3661" t="s">
        <v>1412</v>
      </c>
      <c r="C3661" t="s">
        <v>67</v>
      </c>
      <c r="D3661" t="s">
        <v>1068</v>
      </c>
      <c r="E3661">
        <v>1</v>
      </c>
      <c r="F3661">
        <f>_xlfn.XLOOKUP(Table1[[#This Row],[ProductID]],Products!A:A,Products!D:D,,0)</f>
        <v>180</v>
      </c>
      <c r="I3661">
        <v>449</v>
      </c>
      <c r="J3661">
        <v>382</v>
      </c>
      <c r="K3661" t="s">
        <v>1092</v>
      </c>
      <c r="L3661">
        <v>382</v>
      </c>
      <c r="M3661" t="s">
        <v>1093</v>
      </c>
      <c r="N3661" t="s">
        <v>1099</v>
      </c>
      <c r="O3661">
        <f>Table1[[#This Row],[Unit_Price]]*Table1[[#This Row],[Quantity]]</f>
        <v>180</v>
      </c>
    </row>
    <row r="3662" spans="1:15" x14ac:dyDescent="0.3">
      <c r="A3662" t="s">
        <v>5482</v>
      </c>
      <c r="B3662" t="s">
        <v>2403</v>
      </c>
      <c r="C3662" t="s">
        <v>901</v>
      </c>
      <c r="D3662" t="s">
        <v>1055</v>
      </c>
      <c r="E3662">
        <v>3</v>
      </c>
      <c r="F3662">
        <f>_xlfn.XLOOKUP(Table1[[#This Row],[ProductID]],Products!A:A,Products!D:D,,0)</f>
        <v>75</v>
      </c>
      <c r="I3662">
        <v>299</v>
      </c>
      <c r="J3662">
        <v>254</v>
      </c>
      <c r="K3662" t="s">
        <v>1092</v>
      </c>
      <c r="L3662">
        <v>762</v>
      </c>
      <c r="M3662" t="s">
        <v>1093</v>
      </c>
      <c r="N3662" t="s">
        <v>1094</v>
      </c>
      <c r="O3662">
        <f>Table1[[#This Row],[Unit_Price]]*Table1[[#This Row],[Quantity]]</f>
        <v>225</v>
      </c>
    </row>
    <row r="3663" spans="1:15" x14ac:dyDescent="0.3">
      <c r="A3663" t="s">
        <v>5483</v>
      </c>
      <c r="B3663" t="s">
        <v>1223</v>
      </c>
      <c r="C3663" t="s">
        <v>709</v>
      </c>
      <c r="D3663" t="s">
        <v>1062</v>
      </c>
      <c r="E3663">
        <v>1</v>
      </c>
      <c r="F3663">
        <f>_xlfn.XLOOKUP(Table1[[#This Row],[ProductID]],Products!A:A,Products!D:D,,0)</f>
        <v>95</v>
      </c>
      <c r="I3663">
        <v>349</v>
      </c>
      <c r="J3663">
        <v>314</v>
      </c>
      <c r="K3663" t="s">
        <v>1107</v>
      </c>
      <c r="L3663">
        <v>314</v>
      </c>
      <c r="M3663" t="s">
        <v>1093</v>
      </c>
      <c r="N3663" t="s">
        <v>1099</v>
      </c>
      <c r="O3663">
        <f>Table1[[#This Row],[Unit_Price]]*Table1[[#This Row],[Quantity]]</f>
        <v>95</v>
      </c>
    </row>
    <row r="3664" spans="1:15" x14ac:dyDescent="0.3">
      <c r="A3664" t="s">
        <v>5484</v>
      </c>
      <c r="B3664" t="s">
        <v>1486</v>
      </c>
      <c r="C3664" t="s">
        <v>619</v>
      </c>
      <c r="D3664" t="s">
        <v>1059</v>
      </c>
      <c r="E3664">
        <v>1</v>
      </c>
      <c r="F3664">
        <f>_xlfn.XLOOKUP(Table1[[#This Row],[ProductID]],Products!A:A,Products!D:D,,0)</f>
        <v>110</v>
      </c>
      <c r="I3664">
        <v>399</v>
      </c>
      <c r="J3664">
        <v>319</v>
      </c>
      <c r="K3664" t="s">
        <v>1097</v>
      </c>
      <c r="L3664">
        <v>319</v>
      </c>
      <c r="M3664" t="s">
        <v>1093</v>
      </c>
      <c r="N3664" t="s">
        <v>1094</v>
      </c>
      <c r="O3664">
        <f>Table1[[#This Row],[Unit_Price]]*Table1[[#This Row],[Quantity]]</f>
        <v>110</v>
      </c>
    </row>
    <row r="3665" spans="1:15" x14ac:dyDescent="0.3">
      <c r="A3665" t="s">
        <v>5485</v>
      </c>
      <c r="B3665" t="s">
        <v>1774</v>
      </c>
      <c r="C3665" t="s">
        <v>613</v>
      </c>
      <c r="D3665" t="s">
        <v>1066</v>
      </c>
      <c r="E3665">
        <v>1</v>
      </c>
      <c r="F3665">
        <f>_xlfn.XLOOKUP(Table1[[#This Row],[ProductID]],Products!A:A,Products!D:D,,0)</f>
        <v>140</v>
      </c>
      <c r="I3665">
        <v>499</v>
      </c>
      <c r="J3665">
        <v>449</v>
      </c>
      <c r="K3665" t="s">
        <v>1107</v>
      </c>
      <c r="L3665">
        <v>449</v>
      </c>
      <c r="M3665" t="s">
        <v>1098</v>
      </c>
      <c r="N3665" t="s">
        <v>1099</v>
      </c>
      <c r="O3665">
        <f>Table1[[#This Row],[Unit_Price]]*Table1[[#This Row],[Quantity]]</f>
        <v>140</v>
      </c>
    </row>
    <row r="3666" spans="1:15" x14ac:dyDescent="0.3">
      <c r="A3666" t="s">
        <v>5486</v>
      </c>
      <c r="B3666" t="s">
        <v>4501</v>
      </c>
      <c r="C3666" t="s">
        <v>569</v>
      </c>
      <c r="D3666" t="s">
        <v>1062</v>
      </c>
      <c r="E3666">
        <v>1</v>
      </c>
      <c r="F3666">
        <f>_xlfn.XLOOKUP(Table1[[#This Row],[ProductID]],Products!A:A,Products!D:D,,0)</f>
        <v>95</v>
      </c>
      <c r="I3666">
        <v>349</v>
      </c>
      <c r="J3666">
        <v>349</v>
      </c>
      <c r="K3666" t="s">
        <v>1102</v>
      </c>
      <c r="L3666">
        <v>349</v>
      </c>
      <c r="M3666" t="s">
        <v>1098</v>
      </c>
      <c r="N3666" t="s">
        <v>1099</v>
      </c>
      <c r="O3666">
        <f>Table1[[#This Row],[Unit_Price]]*Table1[[#This Row],[Quantity]]</f>
        <v>95</v>
      </c>
    </row>
    <row r="3667" spans="1:15" x14ac:dyDescent="0.3">
      <c r="A3667" t="s">
        <v>5487</v>
      </c>
      <c r="B3667" t="s">
        <v>1339</v>
      </c>
      <c r="C3667" t="s">
        <v>439</v>
      </c>
      <c r="D3667" t="s">
        <v>1075</v>
      </c>
      <c r="E3667">
        <v>1</v>
      </c>
      <c r="F3667">
        <f>_xlfn.XLOOKUP(Table1[[#This Row],[ProductID]],Products!A:A,Products!D:D,,0)</f>
        <v>80</v>
      </c>
      <c r="I3667">
        <v>499</v>
      </c>
      <c r="J3667">
        <v>449</v>
      </c>
      <c r="K3667" t="s">
        <v>1107</v>
      </c>
      <c r="L3667">
        <v>449</v>
      </c>
      <c r="M3667" t="s">
        <v>1093</v>
      </c>
      <c r="N3667" t="s">
        <v>1099</v>
      </c>
      <c r="O3667">
        <f>Table1[[#This Row],[Unit_Price]]*Table1[[#This Row],[Quantity]]</f>
        <v>80</v>
      </c>
    </row>
    <row r="3668" spans="1:15" x14ac:dyDescent="0.3">
      <c r="A3668" t="s">
        <v>5488</v>
      </c>
      <c r="B3668" t="s">
        <v>5261</v>
      </c>
      <c r="C3668" t="s">
        <v>195</v>
      </c>
      <c r="D3668" t="s">
        <v>1051</v>
      </c>
      <c r="E3668">
        <v>1</v>
      </c>
      <c r="F3668">
        <f>_xlfn.XLOOKUP(Table1[[#This Row],[ProductID]],Products!A:A,Products!D:D,,0)</f>
        <v>150</v>
      </c>
      <c r="I3668">
        <v>499</v>
      </c>
      <c r="J3668">
        <v>499</v>
      </c>
      <c r="K3668" t="s">
        <v>1102</v>
      </c>
      <c r="L3668">
        <v>499</v>
      </c>
      <c r="M3668" t="s">
        <v>1098</v>
      </c>
      <c r="N3668" t="s">
        <v>1099</v>
      </c>
      <c r="O3668">
        <f>Table1[[#This Row],[Unit_Price]]*Table1[[#This Row],[Quantity]]</f>
        <v>150</v>
      </c>
    </row>
    <row r="3669" spans="1:15" x14ac:dyDescent="0.3">
      <c r="A3669" t="s">
        <v>5489</v>
      </c>
      <c r="B3669" t="s">
        <v>1686</v>
      </c>
      <c r="C3669" t="s">
        <v>819</v>
      </c>
      <c r="D3669" t="s">
        <v>1059</v>
      </c>
      <c r="E3669">
        <v>1</v>
      </c>
      <c r="F3669">
        <f>_xlfn.XLOOKUP(Table1[[#This Row],[ProductID]],Products!A:A,Products!D:D,,0)</f>
        <v>110</v>
      </c>
      <c r="I3669">
        <v>399</v>
      </c>
      <c r="J3669">
        <v>319</v>
      </c>
      <c r="K3669" t="s">
        <v>1097</v>
      </c>
      <c r="L3669">
        <v>319</v>
      </c>
      <c r="M3669" t="s">
        <v>1118</v>
      </c>
      <c r="N3669" t="s">
        <v>1099</v>
      </c>
      <c r="O3669">
        <f>Table1[[#This Row],[Unit_Price]]*Table1[[#This Row],[Quantity]]</f>
        <v>110</v>
      </c>
    </row>
    <row r="3670" spans="1:15" x14ac:dyDescent="0.3">
      <c r="A3670" t="s">
        <v>5490</v>
      </c>
      <c r="B3670" t="s">
        <v>2328</v>
      </c>
      <c r="C3670" t="s">
        <v>645</v>
      </c>
      <c r="D3670" t="s">
        <v>1066</v>
      </c>
      <c r="E3670">
        <v>2</v>
      </c>
      <c r="F3670">
        <f>_xlfn.XLOOKUP(Table1[[#This Row],[ProductID]],Products!A:A,Products!D:D,,0)</f>
        <v>140</v>
      </c>
      <c r="I3670">
        <v>499</v>
      </c>
      <c r="J3670">
        <v>399</v>
      </c>
      <c r="K3670" t="s">
        <v>1097</v>
      </c>
      <c r="L3670">
        <v>798</v>
      </c>
      <c r="M3670" t="s">
        <v>1098</v>
      </c>
      <c r="N3670" t="s">
        <v>1099</v>
      </c>
      <c r="O3670">
        <f>Table1[[#This Row],[Unit_Price]]*Table1[[#This Row],[Quantity]]</f>
        <v>280</v>
      </c>
    </row>
    <row r="3671" spans="1:15" x14ac:dyDescent="0.3">
      <c r="A3671" t="s">
        <v>5491</v>
      </c>
      <c r="B3671" t="s">
        <v>3944</v>
      </c>
      <c r="C3671" t="s">
        <v>385</v>
      </c>
      <c r="D3671" t="s">
        <v>1051</v>
      </c>
      <c r="E3671">
        <v>1</v>
      </c>
      <c r="F3671">
        <f>_xlfn.XLOOKUP(Table1[[#This Row],[ProductID]],Products!A:A,Products!D:D,,0)</f>
        <v>150</v>
      </c>
      <c r="I3671">
        <v>499</v>
      </c>
      <c r="J3671">
        <v>499</v>
      </c>
      <c r="K3671" t="s">
        <v>1102</v>
      </c>
      <c r="L3671">
        <v>499</v>
      </c>
      <c r="M3671" t="s">
        <v>1098</v>
      </c>
      <c r="N3671" t="s">
        <v>1099</v>
      </c>
      <c r="O3671">
        <f>Table1[[#This Row],[Unit_Price]]*Table1[[#This Row],[Quantity]]</f>
        <v>150</v>
      </c>
    </row>
    <row r="3672" spans="1:15" x14ac:dyDescent="0.3">
      <c r="A3672" t="s">
        <v>5492</v>
      </c>
      <c r="B3672" t="s">
        <v>4690</v>
      </c>
      <c r="C3672" t="s">
        <v>71</v>
      </c>
      <c r="D3672" t="s">
        <v>1080</v>
      </c>
      <c r="E3672">
        <v>2</v>
      </c>
      <c r="F3672">
        <f>_xlfn.XLOOKUP(Table1[[#This Row],[ProductID]],Products!A:A,Products!D:D,,0)</f>
        <v>45</v>
      </c>
      <c r="I3672">
        <v>249</v>
      </c>
      <c r="J3672">
        <v>224</v>
      </c>
      <c r="K3672" t="s">
        <v>1107</v>
      </c>
      <c r="L3672">
        <v>448</v>
      </c>
      <c r="M3672" t="s">
        <v>1093</v>
      </c>
      <c r="N3672" t="s">
        <v>1094</v>
      </c>
      <c r="O3672">
        <f>Table1[[#This Row],[Unit_Price]]*Table1[[#This Row],[Quantity]]</f>
        <v>90</v>
      </c>
    </row>
    <row r="3673" spans="1:15" x14ac:dyDescent="0.3">
      <c r="A3673" t="s">
        <v>5493</v>
      </c>
      <c r="B3673" t="s">
        <v>2243</v>
      </c>
      <c r="C3673" t="s">
        <v>138</v>
      </c>
      <c r="D3673" t="s">
        <v>1068</v>
      </c>
      <c r="E3673">
        <v>3</v>
      </c>
      <c r="F3673">
        <f>_xlfn.XLOOKUP(Table1[[#This Row],[ProductID]],Products!A:A,Products!D:D,,0)</f>
        <v>180</v>
      </c>
      <c r="I3673">
        <v>449</v>
      </c>
      <c r="J3673">
        <v>449</v>
      </c>
      <c r="K3673" t="s">
        <v>1102</v>
      </c>
      <c r="L3673">
        <v>1347</v>
      </c>
      <c r="M3673" t="s">
        <v>1098</v>
      </c>
      <c r="N3673" t="s">
        <v>1099</v>
      </c>
      <c r="O3673">
        <f>Table1[[#This Row],[Unit_Price]]*Table1[[#This Row],[Quantity]]</f>
        <v>540</v>
      </c>
    </row>
    <row r="3674" spans="1:15" x14ac:dyDescent="0.3">
      <c r="A3674" t="s">
        <v>5494</v>
      </c>
      <c r="B3674" t="s">
        <v>2019</v>
      </c>
      <c r="C3674" t="s">
        <v>925</v>
      </c>
      <c r="D3674" t="s">
        <v>1064</v>
      </c>
      <c r="E3674">
        <v>2</v>
      </c>
      <c r="F3674">
        <f>_xlfn.XLOOKUP(Table1[[#This Row],[ProductID]],Products!A:A,Products!D:D,,0)</f>
        <v>160</v>
      </c>
      <c r="I3674">
        <v>699</v>
      </c>
      <c r="J3674">
        <v>699</v>
      </c>
      <c r="K3674" t="s">
        <v>1102</v>
      </c>
      <c r="L3674">
        <v>1398</v>
      </c>
      <c r="M3674" t="s">
        <v>1098</v>
      </c>
      <c r="N3674" t="s">
        <v>1099</v>
      </c>
      <c r="O3674">
        <f>Table1[[#This Row],[Unit_Price]]*Table1[[#This Row],[Quantity]]</f>
        <v>320</v>
      </c>
    </row>
    <row r="3675" spans="1:15" x14ac:dyDescent="0.3">
      <c r="A3675" t="s">
        <v>5495</v>
      </c>
      <c r="B3675" t="s">
        <v>2263</v>
      </c>
      <c r="C3675" t="s">
        <v>871</v>
      </c>
      <c r="D3675" t="s">
        <v>1068</v>
      </c>
      <c r="E3675">
        <v>1</v>
      </c>
      <c r="F3675">
        <f>_xlfn.XLOOKUP(Table1[[#This Row],[ProductID]],Products!A:A,Products!D:D,,0)</f>
        <v>180</v>
      </c>
      <c r="I3675">
        <v>449</v>
      </c>
      <c r="J3675">
        <v>449</v>
      </c>
      <c r="K3675" t="s">
        <v>1102</v>
      </c>
      <c r="L3675">
        <v>449</v>
      </c>
      <c r="M3675" t="s">
        <v>1098</v>
      </c>
      <c r="N3675" t="s">
        <v>1099</v>
      </c>
      <c r="O3675">
        <f>Table1[[#This Row],[Unit_Price]]*Table1[[#This Row],[Quantity]]</f>
        <v>180</v>
      </c>
    </row>
    <row r="3676" spans="1:15" x14ac:dyDescent="0.3">
      <c r="A3676" t="s">
        <v>5496</v>
      </c>
      <c r="B3676" t="s">
        <v>2385</v>
      </c>
      <c r="C3676" t="s">
        <v>1027</v>
      </c>
      <c r="D3676" t="s">
        <v>1071</v>
      </c>
      <c r="E3676">
        <v>1</v>
      </c>
      <c r="F3676">
        <f>_xlfn.XLOOKUP(Table1[[#This Row],[ProductID]],Products!A:A,Products!D:D,,0)</f>
        <v>125</v>
      </c>
      <c r="I3676">
        <v>399</v>
      </c>
      <c r="J3676">
        <v>319</v>
      </c>
      <c r="K3676" t="s">
        <v>1097</v>
      </c>
      <c r="L3676">
        <v>319</v>
      </c>
      <c r="M3676" t="s">
        <v>1098</v>
      </c>
      <c r="N3676" t="s">
        <v>1099</v>
      </c>
      <c r="O3676">
        <f>Table1[[#This Row],[Unit_Price]]*Table1[[#This Row],[Quantity]]</f>
        <v>125</v>
      </c>
    </row>
    <row r="3677" spans="1:15" x14ac:dyDescent="0.3">
      <c r="A3677" t="s">
        <v>5497</v>
      </c>
      <c r="B3677" t="s">
        <v>1312</v>
      </c>
      <c r="C3677" t="s">
        <v>643</v>
      </c>
      <c r="D3677" t="s">
        <v>1064</v>
      </c>
      <c r="E3677">
        <v>4</v>
      </c>
      <c r="F3677">
        <f>_xlfn.XLOOKUP(Table1[[#This Row],[ProductID]],Products!A:A,Products!D:D,,0)</f>
        <v>160</v>
      </c>
      <c r="I3677">
        <v>699</v>
      </c>
      <c r="J3677">
        <v>594</v>
      </c>
      <c r="K3677" t="s">
        <v>1092</v>
      </c>
      <c r="L3677">
        <v>2376</v>
      </c>
      <c r="M3677" t="s">
        <v>1093</v>
      </c>
      <c r="N3677" t="s">
        <v>1099</v>
      </c>
      <c r="O3677">
        <f>Table1[[#This Row],[Unit_Price]]*Table1[[#This Row],[Quantity]]</f>
        <v>640</v>
      </c>
    </row>
    <row r="3678" spans="1:15" x14ac:dyDescent="0.3">
      <c r="A3678" t="s">
        <v>5498</v>
      </c>
      <c r="B3678" t="s">
        <v>1805</v>
      </c>
      <c r="C3678" t="s">
        <v>727</v>
      </c>
      <c r="D3678" t="s">
        <v>1080</v>
      </c>
      <c r="E3678">
        <v>1</v>
      </c>
      <c r="F3678">
        <f>_xlfn.XLOOKUP(Table1[[#This Row],[ProductID]],Products!A:A,Products!D:D,,0)</f>
        <v>45</v>
      </c>
      <c r="I3678">
        <v>249</v>
      </c>
      <c r="J3678">
        <v>199</v>
      </c>
      <c r="K3678" t="s">
        <v>1097</v>
      </c>
      <c r="L3678">
        <v>199</v>
      </c>
      <c r="M3678" t="s">
        <v>1093</v>
      </c>
      <c r="N3678" t="s">
        <v>1094</v>
      </c>
      <c r="O3678">
        <f>Table1[[#This Row],[Unit_Price]]*Table1[[#This Row],[Quantity]]</f>
        <v>45</v>
      </c>
    </row>
    <row r="3679" spans="1:15" x14ac:dyDescent="0.3">
      <c r="A3679" t="s">
        <v>5499</v>
      </c>
      <c r="B3679" t="s">
        <v>1539</v>
      </c>
      <c r="C3679" t="s">
        <v>645</v>
      </c>
      <c r="D3679" t="s">
        <v>1078</v>
      </c>
      <c r="E3679">
        <v>1</v>
      </c>
      <c r="F3679">
        <f>_xlfn.XLOOKUP(Table1[[#This Row],[ProductID]],Products!A:A,Products!D:D,,0)</f>
        <v>80</v>
      </c>
      <c r="I3679">
        <v>499</v>
      </c>
      <c r="J3679">
        <v>499</v>
      </c>
      <c r="K3679" t="s">
        <v>1102</v>
      </c>
      <c r="L3679">
        <v>499</v>
      </c>
      <c r="M3679" t="s">
        <v>1098</v>
      </c>
      <c r="N3679" t="s">
        <v>1123</v>
      </c>
      <c r="O3679">
        <f>Table1[[#This Row],[Unit_Price]]*Table1[[#This Row],[Quantity]]</f>
        <v>80</v>
      </c>
    </row>
    <row r="3680" spans="1:15" x14ac:dyDescent="0.3">
      <c r="A3680" t="s">
        <v>5500</v>
      </c>
      <c r="B3680" t="s">
        <v>1947</v>
      </c>
      <c r="C3680" t="s">
        <v>1019</v>
      </c>
      <c r="D3680" t="s">
        <v>1053</v>
      </c>
      <c r="E3680">
        <v>3</v>
      </c>
      <c r="F3680">
        <f>_xlfn.XLOOKUP(Table1[[#This Row],[ProductID]],Products!A:A,Products!D:D,,0)</f>
        <v>200</v>
      </c>
      <c r="I3680">
        <v>899</v>
      </c>
      <c r="J3680">
        <v>809</v>
      </c>
      <c r="K3680" t="s">
        <v>1107</v>
      </c>
      <c r="L3680">
        <v>2427</v>
      </c>
      <c r="M3680" t="s">
        <v>1093</v>
      </c>
      <c r="N3680" t="s">
        <v>1099</v>
      </c>
      <c r="O3680">
        <f>Table1[[#This Row],[Unit_Price]]*Table1[[#This Row],[Quantity]]</f>
        <v>600</v>
      </c>
    </row>
    <row r="3681" spans="1:15" x14ac:dyDescent="0.3">
      <c r="A3681" t="s">
        <v>5501</v>
      </c>
      <c r="B3681" t="s">
        <v>2184</v>
      </c>
      <c r="C3681" t="s">
        <v>319</v>
      </c>
      <c r="D3681" t="s">
        <v>1078</v>
      </c>
      <c r="E3681">
        <v>2</v>
      </c>
      <c r="F3681">
        <f>_xlfn.XLOOKUP(Table1[[#This Row],[ProductID]],Products!A:A,Products!D:D,,0)</f>
        <v>80</v>
      </c>
      <c r="I3681">
        <v>499</v>
      </c>
      <c r="J3681">
        <v>499</v>
      </c>
      <c r="K3681" t="s">
        <v>1102</v>
      </c>
      <c r="L3681">
        <v>998</v>
      </c>
      <c r="M3681" t="s">
        <v>1126</v>
      </c>
      <c r="N3681" t="s">
        <v>1099</v>
      </c>
      <c r="O3681">
        <f>Table1[[#This Row],[Unit_Price]]*Table1[[#This Row],[Quantity]]</f>
        <v>160</v>
      </c>
    </row>
    <row r="3682" spans="1:15" x14ac:dyDescent="0.3">
      <c r="A3682" t="s">
        <v>5502</v>
      </c>
      <c r="B3682" t="s">
        <v>1359</v>
      </c>
      <c r="C3682" t="s">
        <v>625</v>
      </c>
      <c r="D3682" t="s">
        <v>1059</v>
      </c>
      <c r="E3682">
        <v>1</v>
      </c>
      <c r="F3682">
        <f>_xlfn.XLOOKUP(Table1[[#This Row],[ProductID]],Products!A:A,Products!D:D,,0)</f>
        <v>110</v>
      </c>
      <c r="I3682">
        <v>399</v>
      </c>
      <c r="J3682">
        <v>399</v>
      </c>
      <c r="K3682" t="s">
        <v>1102</v>
      </c>
      <c r="L3682">
        <v>399</v>
      </c>
      <c r="M3682" t="s">
        <v>1093</v>
      </c>
      <c r="N3682" t="s">
        <v>1099</v>
      </c>
      <c r="O3682">
        <f>Table1[[#This Row],[Unit_Price]]*Table1[[#This Row],[Quantity]]</f>
        <v>110</v>
      </c>
    </row>
    <row r="3683" spans="1:15" x14ac:dyDescent="0.3">
      <c r="A3683" t="s">
        <v>5503</v>
      </c>
      <c r="B3683" t="s">
        <v>5504</v>
      </c>
      <c r="C3683" t="s">
        <v>253</v>
      </c>
      <c r="D3683" t="s">
        <v>1048</v>
      </c>
      <c r="E3683">
        <v>1</v>
      </c>
      <c r="F3683">
        <f>_xlfn.XLOOKUP(Table1[[#This Row],[ProductID]],Products!A:A,Products!D:D,,0)</f>
        <v>120</v>
      </c>
      <c r="I3683">
        <v>599</v>
      </c>
      <c r="J3683">
        <v>479</v>
      </c>
      <c r="K3683" t="s">
        <v>1097</v>
      </c>
      <c r="L3683">
        <v>479</v>
      </c>
      <c r="M3683" t="s">
        <v>1093</v>
      </c>
      <c r="N3683" t="s">
        <v>1099</v>
      </c>
      <c r="O3683">
        <f>Table1[[#This Row],[Unit_Price]]*Table1[[#This Row],[Quantity]]</f>
        <v>120</v>
      </c>
    </row>
    <row r="3684" spans="1:15" x14ac:dyDescent="0.3">
      <c r="A3684" t="s">
        <v>5505</v>
      </c>
      <c r="B3684" t="s">
        <v>1441</v>
      </c>
      <c r="C3684" t="s">
        <v>643</v>
      </c>
      <c r="D3684" t="s">
        <v>1080</v>
      </c>
      <c r="E3684">
        <v>1</v>
      </c>
      <c r="F3684">
        <f>_xlfn.XLOOKUP(Table1[[#This Row],[ProductID]],Products!A:A,Products!D:D,,0)</f>
        <v>45</v>
      </c>
      <c r="I3684">
        <v>249</v>
      </c>
      <c r="J3684">
        <v>224</v>
      </c>
      <c r="K3684" t="s">
        <v>1107</v>
      </c>
      <c r="L3684">
        <v>224</v>
      </c>
      <c r="M3684" t="s">
        <v>1093</v>
      </c>
      <c r="N3684" t="s">
        <v>1094</v>
      </c>
      <c r="O3684">
        <f>Table1[[#This Row],[Unit_Price]]*Table1[[#This Row],[Quantity]]</f>
        <v>45</v>
      </c>
    </row>
    <row r="3685" spans="1:15" x14ac:dyDescent="0.3">
      <c r="A3685" t="s">
        <v>5506</v>
      </c>
      <c r="B3685" t="s">
        <v>3591</v>
      </c>
      <c r="C3685" t="s">
        <v>689</v>
      </c>
      <c r="D3685" t="s">
        <v>1055</v>
      </c>
      <c r="E3685">
        <v>3</v>
      </c>
      <c r="F3685">
        <f>_xlfn.XLOOKUP(Table1[[#This Row],[ProductID]],Products!A:A,Products!D:D,,0)</f>
        <v>75</v>
      </c>
      <c r="I3685">
        <v>299</v>
      </c>
      <c r="J3685">
        <v>299</v>
      </c>
      <c r="K3685" t="s">
        <v>1102</v>
      </c>
      <c r="L3685">
        <v>897</v>
      </c>
      <c r="M3685" t="s">
        <v>1098</v>
      </c>
      <c r="N3685" t="s">
        <v>1099</v>
      </c>
      <c r="O3685">
        <f>Table1[[#This Row],[Unit_Price]]*Table1[[#This Row],[Quantity]]</f>
        <v>225</v>
      </c>
    </row>
    <row r="3686" spans="1:15" x14ac:dyDescent="0.3">
      <c r="A3686" t="s">
        <v>5507</v>
      </c>
      <c r="B3686" t="s">
        <v>1341</v>
      </c>
      <c r="C3686" t="s">
        <v>541</v>
      </c>
      <c r="D3686" t="s">
        <v>1059</v>
      </c>
      <c r="E3686">
        <v>1</v>
      </c>
      <c r="F3686">
        <f>_xlfn.XLOOKUP(Table1[[#This Row],[ProductID]],Products!A:A,Products!D:D,,0)</f>
        <v>110</v>
      </c>
      <c r="I3686">
        <v>399</v>
      </c>
      <c r="J3686">
        <v>399</v>
      </c>
      <c r="K3686" t="s">
        <v>1102</v>
      </c>
      <c r="L3686">
        <v>399</v>
      </c>
      <c r="M3686" t="s">
        <v>1126</v>
      </c>
      <c r="N3686" t="s">
        <v>1099</v>
      </c>
      <c r="O3686">
        <f>Table1[[#This Row],[Unit_Price]]*Table1[[#This Row],[Quantity]]</f>
        <v>110</v>
      </c>
    </row>
    <row r="3687" spans="1:15" x14ac:dyDescent="0.3">
      <c r="A3687" t="s">
        <v>5508</v>
      </c>
      <c r="B3687" t="s">
        <v>1572</v>
      </c>
      <c r="C3687" t="s">
        <v>543</v>
      </c>
      <c r="D3687" t="s">
        <v>1078</v>
      </c>
      <c r="E3687">
        <v>2</v>
      </c>
      <c r="F3687">
        <f>_xlfn.XLOOKUP(Table1[[#This Row],[ProductID]],Products!A:A,Products!D:D,,0)</f>
        <v>80</v>
      </c>
      <c r="I3687">
        <v>499</v>
      </c>
      <c r="J3687">
        <v>449</v>
      </c>
      <c r="K3687" t="s">
        <v>1107</v>
      </c>
      <c r="L3687">
        <v>898</v>
      </c>
      <c r="M3687" t="s">
        <v>1118</v>
      </c>
      <c r="N3687" t="s">
        <v>1099</v>
      </c>
      <c r="O3687">
        <f>Table1[[#This Row],[Unit_Price]]*Table1[[#This Row],[Quantity]]</f>
        <v>160</v>
      </c>
    </row>
    <row r="3688" spans="1:15" x14ac:dyDescent="0.3">
      <c r="A3688" t="s">
        <v>5509</v>
      </c>
      <c r="B3688" t="s">
        <v>1496</v>
      </c>
      <c r="C3688" t="s">
        <v>829</v>
      </c>
      <c r="D3688" t="s">
        <v>1062</v>
      </c>
      <c r="E3688">
        <v>2</v>
      </c>
      <c r="F3688">
        <f>_xlfn.XLOOKUP(Table1[[#This Row],[ProductID]],Products!A:A,Products!D:D,,0)</f>
        <v>95</v>
      </c>
      <c r="I3688">
        <v>349</v>
      </c>
      <c r="J3688">
        <v>279</v>
      </c>
      <c r="K3688" t="s">
        <v>1097</v>
      </c>
      <c r="L3688">
        <v>558</v>
      </c>
      <c r="M3688" t="s">
        <v>1093</v>
      </c>
      <c r="N3688" t="s">
        <v>1094</v>
      </c>
      <c r="O3688">
        <f>Table1[[#This Row],[Unit_Price]]*Table1[[#This Row],[Quantity]]</f>
        <v>190</v>
      </c>
    </row>
    <row r="3689" spans="1:15" x14ac:dyDescent="0.3">
      <c r="A3689" t="s">
        <v>5510</v>
      </c>
      <c r="B3689" t="s">
        <v>1692</v>
      </c>
      <c r="C3689" t="s">
        <v>219</v>
      </c>
      <c r="D3689" t="s">
        <v>1080</v>
      </c>
      <c r="E3689">
        <v>1</v>
      </c>
      <c r="F3689">
        <f>_xlfn.XLOOKUP(Table1[[#This Row],[ProductID]],Products!A:A,Products!D:D,,0)</f>
        <v>45</v>
      </c>
      <c r="I3689">
        <v>249</v>
      </c>
      <c r="J3689">
        <v>199</v>
      </c>
      <c r="K3689" t="s">
        <v>1097</v>
      </c>
      <c r="L3689">
        <v>199</v>
      </c>
      <c r="M3689" t="s">
        <v>1098</v>
      </c>
      <c r="N3689" t="s">
        <v>1099</v>
      </c>
      <c r="O3689">
        <f>Table1[[#This Row],[Unit_Price]]*Table1[[#This Row],[Quantity]]</f>
        <v>45</v>
      </c>
    </row>
    <row r="3690" spans="1:15" x14ac:dyDescent="0.3">
      <c r="A3690" t="s">
        <v>5511</v>
      </c>
      <c r="B3690" t="s">
        <v>1134</v>
      </c>
      <c r="C3690" t="s">
        <v>335</v>
      </c>
      <c r="D3690" t="s">
        <v>1075</v>
      </c>
      <c r="E3690">
        <v>3</v>
      </c>
      <c r="F3690">
        <f>_xlfn.XLOOKUP(Table1[[#This Row],[ProductID]],Products!A:A,Products!D:D,,0)</f>
        <v>80</v>
      </c>
      <c r="I3690">
        <v>499</v>
      </c>
      <c r="J3690">
        <v>399</v>
      </c>
      <c r="K3690" t="s">
        <v>1097</v>
      </c>
      <c r="L3690">
        <v>1197</v>
      </c>
      <c r="M3690" t="s">
        <v>1093</v>
      </c>
      <c r="N3690" t="s">
        <v>1099</v>
      </c>
      <c r="O3690">
        <f>Table1[[#This Row],[Unit_Price]]*Table1[[#This Row],[Quantity]]</f>
        <v>240</v>
      </c>
    </row>
    <row r="3691" spans="1:15" x14ac:dyDescent="0.3">
      <c r="A3691" t="s">
        <v>5512</v>
      </c>
      <c r="B3691" t="s">
        <v>3051</v>
      </c>
      <c r="C3691" t="s">
        <v>789</v>
      </c>
      <c r="D3691" t="s">
        <v>1051</v>
      </c>
      <c r="E3691">
        <v>2</v>
      </c>
      <c r="F3691">
        <f>_xlfn.XLOOKUP(Table1[[#This Row],[ProductID]],Products!A:A,Products!D:D,,0)</f>
        <v>150</v>
      </c>
      <c r="I3691">
        <v>499</v>
      </c>
      <c r="J3691">
        <v>449</v>
      </c>
      <c r="K3691" t="s">
        <v>1107</v>
      </c>
      <c r="L3691">
        <v>898</v>
      </c>
      <c r="M3691" t="s">
        <v>1093</v>
      </c>
      <c r="N3691" t="s">
        <v>1094</v>
      </c>
      <c r="O3691">
        <f>Table1[[#This Row],[Unit_Price]]*Table1[[#This Row],[Quantity]]</f>
        <v>300</v>
      </c>
    </row>
    <row r="3692" spans="1:15" x14ac:dyDescent="0.3">
      <c r="A3692" t="s">
        <v>5513</v>
      </c>
      <c r="B3692" t="s">
        <v>2586</v>
      </c>
      <c r="C3692" t="s">
        <v>104</v>
      </c>
      <c r="D3692" t="s">
        <v>1048</v>
      </c>
      <c r="E3692">
        <v>1</v>
      </c>
      <c r="F3692">
        <f>_xlfn.XLOOKUP(Table1[[#This Row],[ProductID]],Products!A:A,Products!D:D,,0)</f>
        <v>120</v>
      </c>
      <c r="I3692">
        <v>599</v>
      </c>
      <c r="J3692">
        <v>599</v>
      </c>
      <c r="K3692" t="s">
        <v>1102</v>
      </c>
      <c r="L3692">
        <v>599</v>
      </c>
      <c r="M3692" t="s">
        <v>1098</v>
      </c>
      <c r="N3692" t="s">
        <v>1099</v>
      </c>
      <c r="O3692">
        <f>Table1[[#This Row],[Unit_Price]]*Table1[[#This Row],[Quantity]]</f>
        <v>120</v>
      </c>
    </row>
    <row r="3693" spans="1:15" x14ac:dyDescent="0.3">
      <c r="A3693" t="s">
        <v>5514</v>
      </c>
      <c r="B3693" t="s">
        <v>1154</v>
      </c>
      <c r="C3693" t="s">
        <v>663</v>
      </c>
      <c r="D3693" t="s">
        <v>1068</v>
      </c>
      <c r="E3693">
        <v>1</v>
      </c>
      <c r="F3693">
        <f>_xlfn.XLOOKUP(Table1[[#This Row],[ProductID]],Products!A:A,Products!D:D,,0)</f>
        <v>180</v>
      </c>
      <c r="I3693">
        <v>449</v>
      </c>
      <c r="J3693">
        <v>382</v>
      </c>
      <c r="K3693" t="s">
        <v>1092</v>
      </c>
      <c r="L3693">
        <v>382</v>
      </c>
      <c r="M3693" t="s">
        <v>1093</v>
      </c>
      <c r="N3693" t="s">
        <v>1099</v>
      </c>
      <c r="O3693">
        <f>Table1[[#This Row],[Unit_Price]]*Table1[[#This Row],[Quantity]]</f>
        <v>180</v>
      </c>
    </row>
    <row r="3694" spans="1:15" x14ac:dyDescent="0.3">
      <c r="A3694" t="s">
        <v>5515</v>
      </c>
      <c r="B3694" t="s">
        <v>2187</v>
      </c>
      <c r="C3694" t="s">
        <v>909</v>
      </c>
      <c r="D3694" t="s">
        <v>1055</v>
      </c>
      <c r="E3694">
        <v>1</v>
      </c>
      <c r="F3694">
        <f>_xlfn.XLOOKUP(Table1[[#This Row],[ProductID]],Products!A:A,Products!D:D,,0)</f>
        <v>75</v>
      </c>
      <c r="I3694">
        <v>299</v>
      </c>
      <c r="J3694">
        <v>254</v>
      </c>
      <c r="K3694" t="s">
        <v>1092</v>
      </c>
      <c r="L3694">
        <v>254</v>
      </c>
      <c r="M3694" t="s">
        <v>1093</v>
      </c>
      <c r="N3694" t="s">
        <v>1099</v>
      </c>
      <c r="O3694">
        <f>Table1[[#This Row],[Unit_Price]]*Table1[[#This Row],[Quantity]]</f>
        <v>75</v>
      </c>
    </row>
    <row r="3695" spans="1:15" x14ac:dyDescent="0.3">
      <c r="A3695" t="s">
        <v>5516</v>
      </c>
      <c r="B3695" t="s">
        <v>1337</v>
      </c>
      <c r="C3695" t="s">
        <v>769</v>
      </c>
      <c r="D3695" t="s">
        <v>1068</v>
      </c>
      <c r="E3695">
        <v>1</v>
      </c>
      <c r="F3695">
        <f>_xlfn.XLOOKUP(Table1[[#This Row],[ProductID]],Products!A:A,Products!D:D,,0)</f>
        <v>180</v>
      </c>
      <c r="I3695">
        <v>449</v>
      </c>
      <c r="J3695">
        <v>449</v>
      </c>
      <c r="K3695" t="s">
        <v>1102</v>
      </c>
      <c r="L3695">
        <v>449</v>
      </c>
      <c r="M3695" t="s">
        <v>1098</v>
      </c>
      <c r="N3695" t="s">
        <v>1099</v>
      </c>
      <c r="O3695">
        <f>Table1[[#This Row],[Unit_Price]]*Table1[[#This Row],[Quantity]]</f>
        <v>180</v>
      </c>
    </row>
    <row r="3696" spans="1:15" x14ac:dyDescent="0.3">
      <c r="A3696" t="s">
        <v>5517</v>
      </c>
      <c r="B3696" t="s">
        <v>2407</v>
      </c>
      <c r="C3696" t="s">
        <v>593</v>
      </c>
      <c r="D3696" t="s">
        <v>1078</v>
      </c>
      <c r="E3696">
        <v>2</v>
      </c>
      <c r="F3696">
        <f>_xlfn.XLOOKUP(Table1[[#This Row],[ProductID]],Products!A:A,Products!D:D,,0)</f>
        <v>80</v>
      </c>
      <c r="I3696">
        <v>499</v>
      </c>
      <c r="J3696">
        <v>399</v>
      </c>
      <c r="K3696" t="s">
        <v>1097</v>
      </c>
      <c r="L3696">
        <v>798</v>
      </c>
      <c r="M3696" t="s">
        <v>1098</v>
      </c>
      <c r="N3696" t="s">
        <v>1099</v>
      </c>
      <c r="O3696">
        <f>Table1[[#This Row],[Unit_Price]]*Table1[[#This Row],[Quantity]]</f>
        <v>160</v>
      </c>
    </row>
    <row r="3697" spans="1:15" x14ac:dyDescent="0.3">
      <c r="A3697" t="s">
        <v>5518</v>
      </c>
      <c r="B3697" t="s">
        <v>2963</v>
      </c>
      <c r="C3697" t="s">
        <v>933</v>
      </c>
      <c r="D3697" t="s">
        <v>1053</v>
      </c>
      <c r="E3697">
        <v>1</v>
      </c>
      <c r="F3697">
        <f>_xlfn.XLOOKUP(Table1[[#This Row],[ProductID]],Products!A:A,Products!D:D,,0)</f>
        <v>200</v>
      </c>
      <c r="I3697">
        <v>899</v>
      </c>
      <c r="J3697">
        <v>899</v>
      </c>
      <c r="K3697" t="s">
        <v>1102</v>
      </c>
      <c r="L3697">
        <v>899</v>
      </c>
      <c r="M3697" t="s">
        <v>1093</v>
      </c>
      <c r="N3697" t="s">
        <v>1099</v>
      </c>
      <c r="O3697">
        <f>Table1[[#This Row],[Unit_Price]]*Table1[[#This Row],[Quantity]]</f>
        <v>200</v>
      </c>
    </row>
    <row r="3698" spans="1:15" x14ac:dyDescent="0.3">
      <c r="A3698" t="s">
        <v>5519</v>
      </c>
      <c r="B3698" t="s">
        <v>1502</v>
      </c>
      <c r="C3698" t="s">
        <v>883</v>
      </c>
      <c r="D3698" t="s">
        <v>1075</v>
      </c>
      <c r="E3698">
        <v>1</v>
      </c>
      <c r="F3698">
        <f>_xlfn.XLOOKUP(Table1[[#This Row],[ProductID]],Products!A:A,Products!D:D,,0)</f>
        <v>80</v>
      </c>
      <c r="I3698">
        <v>499</v>
      </c>
      <c r="J3698">
        <v>399</v>
      </c>
      <c r="K3698" t="s">
        <v>1097</v>
      </c>
      <c r="L3698">
        <v>399</v>
      </c>
      <c r="M3698" t="s">
        <v>1093</v>
      </c>
      <c r="N3698" t="s">
        <v>1123</v>
      </c>
      <c r="O3698">
        <f>Table1[[#This Row],[Unit_Price]]*Table1[[#This Row],[Quantity]]</f>
        <v>80</v>
      </c>
    </row>
    <row r="3699" spans="1:15" x14ac:dyDescent="0.3">
      <c r="A3699" t="s">
        <v>5520</v>
      </c>
      <c r="B3699" t="s">
        <v>4260</v>
      </c>
      <c r="C3699" t="s">
        <v>977</v>
      </c>
      <c r="D3699" t="s">
        <v>1057</v>
      </c>
      <c r="E3699">
        <v>1</v>
      </c>
      <c r="F3699">
        <f>_xlfn.XLOOKUP(Table1[[#This Row],[ProductID]],Products!A:A,Products!D:D,,0)</f>
        <v>130</v>
      </c>
      <c r="I3699">
        <v>549</v>
      </c>
      <c r="J3699">
        <v>439</v>
      </c>
      <c r="K3699" t="s">
        <v>1097</v>
      </c>
      <c r="L3699">
        <v>439</v>
      </c>
      <c r="M3699" t="s">
        <v>1093</v>
      </c>
      <c r="N3699" t="s">
        <v>1099</v>
      </c>
      <c r="O3699">
        <f>Table1[[#This Row],[Unit_Price]]*Table1[[#This Row],[Quantity]]</f>
        <v>130</v>
      </c>
    </row>
    <row r="3700" spans="1:15" x14ac:dyDescent="0.3">
      <c r="A3700" t="s">
        <v>5521</v>
      </c>
      <c r="B3700" t="s">
        <v>1870</v>
      </c>
      <c r="C3700" t="s">
        <v>777</v>
      </c>
      <c r="D3700" t="s">
        <v>1078</v>
      </c>
      <c r="E3700">
        <v>3</v>
      </c>
      <c r="F3700">
        <f>_xlfn.XLOOKUP(Table1[[#This Row],[ProductID]],Products!A:A,Products!D:D,,0)</f>
        <v>80</v>
      </c>
      <c r="I3700">
        <v>499</v>
      </c>
      <c r="J3700">
        <v>449</v>
      </c>
      <c r="K3700" t="s">
        <v>1107</v>
      </c>
      <c r="L3700">
        <v>1347</v>
      </c>
      <c r="M3700" t="s">
        <v>1093</v>
      </c>
      <c r="N3700" t="s">
        <v>1094</v>
      </c>
      <c r="O3700">
        <f>Table1[[#This Row],[Unit_Price]]*Table1[[#This Row],[Quantity]]</f>
        <v>240</v>
      </c>
    </row>
    <row r="3701" spans="1:15" x14ac:dyDescent="0.3">
      <c r="A3701" t="s">
        <v>5522</v>
      </c>
      <c r="B3701" t="s">
        <v>3201</v>
      </c>
      <c r="C3701" t="s">
        <v>95</v>
      </c>
      <c r="D3701" t="s">
        <v>1064</v>
      </c>
      <c r="E3701">
        <v>1</v>
      </c>
      <c r="F3701">
        <f>_xlfn.XLOOKUP(Table1[[#This Row],[ProductID]],Products!A:A,Products!D:D,,0)</f>
        <v>160</v>
      </c>
      <c r="I3701">
        <v>699</v>
      </c>
      <c r="J3701">
        <v>699</v>
      </c>
      <c r="K3701" t="s">
        <v>1102</v>
      </c>
      <c r="L3701">
        <v>699</v>
      </c>
      <c r="M3701" t="s">
        <v>1093</v>
      </c>
      <c r="N3701" t="s">
        <v>1094</v>
      </c>
      <c r="O3701">
        <f>Table1[[#This Row],[Unit_Price]]*Table1[[#This Row],[Quantity]]</f>
        <v>160</v>
      </c>
    </row>
    <row r="3702" spans="1:15" x14ac:dyDescent="0.3">
      <c r="A3702" t="s">
        <v>5523</v>
      </c>
      <c r="B3702" t="s">
        <v>1184</v>
      </c>
      <c r="C3702" t="s">
        <v>361</v>
      </c>
      <c r="D3702" t="s">
        <v>1073</v>
      </c>
      <c r="E3702">
        <v>1</v>
      </c>
      <c r="F3702">
        <f>_xlfn.XLOOKUP(Table1[[#This Row],[ProductID]],Products!A:A,Products!D:D,,0)</f>
        <v>100</v>
      </c>
      <c r="I3702">
        <v>349</v>
      </c>
      <c r="J3702">
        <v>297</v>
      </c>
      <c r="K3702" t="s">
        <v>1092</v>
      </c>
      <c r="L3702">
        <v>297</v>
      </c>
      <c r="M3702" t="s">
        <v>1126</v>
      </c>
      <c r="N3702" t="s">
        <v>1099</v>
      </c>
      <c r="O3702">
        <f>Table1[[#This Row],[Unit_Price]]*Table1[[#This Row],[Quantity]]</f>
        <v>100</v>
      </c>
    </row>
    <row r="3703" spans="1:15" x14ac:dyDescent="0.3">
      <c r="A3703" t="s">
        <v>5524</v>
      </c>
      <c r="B3703" t="s">
        <v>2322</v>
      </c>
      <c r="C3703" t="s">
        <v>549</v>
      </c>
      <c r="D3703" t="s">
        <v>1064</v>
      </c>
      <c r="E3703">
        <v>1</v>
      </c>
      <c r="F3703">
        <f>_xlfn.XLOOKUP(Table1[[#This Row],[ProductID]],Products!A:A,Products!D:D,,0)</f>
        <v>160</v>
      </c>
      <c r="I3703">
        <v>699</v>
      </c>
      <c r="J3703">
        <v>699</v>
      </c>
      <c r="K3703" t="s">
        <v>1102</v>
      </c>
      <c r="L3703">
        <v>699</v>
      </c>
      <c r="M3703" t="s">
        <v>1098</v>
      </c>
      <c r="N3703" t="s">
        <v>1099</v>
      </c>
      <c r="O3703">
        <f>Table1[[#This Row],[Unit_Price]]*Table1[[#This Row],[Quantity]]</f>
        <v>160</v>
      </c>
    </row>
    <row r="3704" spans="1:15" x14ac:dyDescent="0.3">
      <c r="A3704" t="s">
        <v>5525</v>
      </c>
      <c r="B3704" t="s">
        <v>1983</v>
      </c>
      <c r="C3704" t="s">
        <v>83</v>
      </c>
      <c r="D3704" t="s">
        <v>1053</v>
      </c>
      <c r="E3704">
        <v>1</v>
      </c>
      <c r="F3704">
        <f>_xlfn.XLOOKUP(Table1[[#This Row],[ProductID]],Products!A:A,Products!D:D,,0)</f>
        <v>200</v>
      </c>
      <c r="I3704">
        <v>899</v>
      </c>
      <c r="J3704">
        <v>899</v>
      </c>
      <c r="K3704" t="s">
        <v>1102</v>
      </c>
      <c r="L3704">
        <v>899</v>
      </c>
      <c r="M3704" t="s">
        <v>1098</v>
      </c>
      <c r="N3704" t="s">
        <v>1099</v>
      </c>
      <c r="O3704">
        <f>Table1[[#This Row],[Unit_Price]]*Table1[[#This Row],[Quantity]]</f>
        <v>200</v>
      </c>
    </row>
    <row r="3705" spans="1:15" x14ac:dyDescent="0.3">
      <c r="A3705" t="s">
        <v>5526</v>
      </c>
      <c r="B3705" t="s">
        <v>1657</v>
      </c>
      <c r="C3705" t="s">
        <v>713</v>
      </c>
      <c r="D3705" t="s">
        <v>1078</v>
      </c>
      <c r="E3705">
        <v>2</v>
      </c>
      <c r="F3705">
        <f>_xlfn.XLOOKUP(Table1[[#This Row],[ProductID]],Products!A:A,Products!D:D,,0)</f>
        <v>80</v>
      </c>
      <c r="I3705">
        <v>499</v>
      </c>
      <c r="J3705">
        <v>424</v>
      </c>
      <c r="K3705" t="s">
        <v>1092</v>
      </c>
      <c r="L3705">
        <v>848</v>
      </c>
      <c r="M3705" t="s">
        <v>1098</v>
      </c>
      <c r="N3705" t="s">
        <v>1099</v>
      </c>
      <c r="O3705">
        <f>Table1[[#This Row],[Unit_Price]]*Table1[[#This Row],[Quantity]]</f>
        <v>160</v>
      </c>
    </row>
    <row r="3706" spans="1:15" x14ac:dyDescent="0.3">
      <c r="A3706" t="s">
        <v>5527</v>
      </c>
      <c r="B3706" t="s">
        <v>1990</v>
      </c>
      <c r="C3706" t="s">
        <v>177</v>
      </c>
      <c r="D3706" t="s">
        <v>1055</v>
      </c>
      <c r="E3706">
        <v>1</v>
      </c>
      <c r="F3706">
        <f>_xlfn.XLOOKUP(Table1[[#This Row],[ProductID]],Products!A:A,Products!D:D,,0)</f>
        <v>75</v>
      </c>
      <c r="I3706">
        <v>299</v>
      </c>
      <c r="J3706">
        <v>239</v>
      </c>
      <c r="K3706" t="s">
        <v>1097</v>
      </c>
      <c r="L3706">
        <v>239</v>
      </c>
      <c r="M3706" t="s">
        <v>1126</v>
      </c>
      <c r="N3706" t="s">
        <v>1123</v>
      </c>
      <c r="O3706">
        <f>Table1[[#This Row],[Unit_Price]]*Table1[[#This Row],[Quantity]]</f>
        <v>75</v>
      </c>
    </row>
    <row r="3707" spans="1:15" x14ac:dyDescent="0.3">
      <c r="A3707" t="s">
        <v>5528</v>
      </c>
      <c r="B3707" t="s">
        <v>1381</v>
      </c>
      <c r="C3707" t="s">
        <v>507</v>
      </c>
      <c r="D3707" t="s">
        <v>1051</v>
      </c>
      <c r="E3707">
        <v>3</v>
      </c>
      <c r="F3707">
        <f>_xlfn.XLOOKUP(Table1[[#This Row],[ProductID]],Products!A:A,Products!D:D,,0)</f>
        <v>150</v>
      </c>
      <c r="I3707">
        <v>499</v>
      </c>
      <c r="J3707">
        <v>424</v>
      </c>
      <c r="K3707" t="s">
        <v>1092</v>
      </c>
      <c r="L3707">
        <v>1272</v>
      </c>
      <c r="M3707" t="s">
        <v>1098</v>
      </c>
      <c r="N3707" t="s">
        <v>1099</v>
      </c>
      <c r="O3707">
        <f>Table1[[#This Row],[Unit_Price]]*Table1[[#This Row],[Quantity]]</f>
        <v>450</v>
      </c>
    </row>
    <row r="3708" spans="1:15" x14ac:dyDescent="0.3">
      <c r="A3708" t="s">
        <v>5529</v>
      </c>
      <c r="B3708" t="s">
        <v>3466</v>
      </c>
      <c r="C3708" t="s">
        <v>559</v>
      </c>
      <c r="D3708" t="s">
        <v>1068</v>
      </c>
      <c r="E3708">
        <v>1</v>
      </c>
      <c r="F3708">
        <f>_xlfn.XLOOKUP(Table1[[#This Row],[ProductID]],Products!A:A,Products!D:D,,0)</f>
        <v>180</v>
      </c>
      <c r="I3708">
        <v>449</v>
      </c>
      <c r="J3708">
        <v>382</v>
      </c>
      <c r="K3708" t="s">
        <v>1092</v>
      </c>
      <c r="L3708">
        <v>382</v>
      </c>
      <c r="M3708" t="s">
        <v>1093</v>
      </c>
      <c r="N3708" t="s">
        <v>1099</v>
      </c>
      <c r="O3708">
        <f>Table1[[#This Row],[Unit_Price]]*Table1[[#This Row],[Quantity]]</f>
        <v>180</v>
      </c>
    </row>
    <row r="3709" spans="1:15" x14ac:dyDescent="0.3">
      <c r="A3709" t="s">
        <v>5530</v>
      </c>
      <c r="B3709" t="s">
        <v>3213</v>
      </c>
      <c r="C3709" t="s">
        <v>911</v>
      </c>
      <c r="D3709" t="s">
        <v>1062</v>
      </c>
      <c r="E3709">
        <v>1</v>
      </c>
      <c r="F3709">
        <f>_xlfn.XLOOKUP(Table1[[#This Row],[ProductID]],Products!A:A,Products!D:D,,0)</f>
        <v>95</v>
      </c>
      <c r="I3709">
        <v>349</v>
      </c>
      <c r="J3709">
        <v>297</v>
      </c>
      <c r="K3709" t="s">
        <v>1092</v>
      </c>
      <c r="L3709">
        <v>297</v>
      </c>
      <c r="M3709" t="s">
        <v>1093</v>
      </c>
      <c r="N3709" t="s">
        <v>1099</v>
      </c>
      <c r="O3709">
        <f>Table1[[#This Row],[Unit_Price]]*Table1[[#This Row],[Quantity]]</f>
        <v>95</v>
      </c>
    </row>
    <row r="3710" spans="1:15" x14ac:dyDescent="0.3">
      <c r="A3710" t="s">
        <v>5531</v>
      </c>
      <c r="B3710" t="s">
        <v>2370</v>
      </c>
      <c r="C3710" t="s">
        <v>241</v>
      </c>
      <c r="D3710" t="s">
        <v>1068</v>
      </c>
      <c r="E3710">
        <v>2</v>
      </c>
      <c r="F3710">
        <f>_xlfn.XLOOKUP(Table1[[#This Row],[ProductID]],Products!A:A,Products!D:D,,0)</f>
        <v>180</v>
      </c>
      <c r="I3710">
        <v>449</v>
      </c>
      <c r="J3710">
        <v>404</v>
      </c>
      <c r="K3710" t="s">
        <v>1107</v>
      </c>
      <c r="L3710">
        <v>808</v>
      </c>
      <c r="M3710" t="s">
        <v>1093</v>
      </c>
      <c r="N3710" t="s">
        <v>1094</v>
      </c>
      <c r="O3710">
        <f>Table1[[#This Row],[Unit_Price]]*Table1[[#This Row],[Quantity]]</f>
        <v>360</v>
      </c>
    </row>
    <row r="3711" spans="1:15" x14ac:dyDescent="0.3">
      <c r="A3711" t="s">
        <v>5532</v>
      </c>
      <c r="B3711" t="s">
        <v>2407</v>
      </c>
      <c r="C3711" t="s">
        <v>154</v>
      </c>
      <c r="D3711" t="s">
        <v>1059</v>
      </c>
      <c r="E3711">
        <v>1</v>
      </c>
      <c r="F3711">
        <f>_xlfn.XLOOKUP(Table1[[#This Row],[ProductID]],Products!A:A,Products!D:D,,0)</f>
        <v>110</v>
      </c>
      <c r="I3711">
        <v>399</v>
      </c>
      <c r="J3711">
        <v>359</v>
      </c>
      <c r="K3711" t="s">
        <v>1107</v>
      </c>
      <c r="L3711">
        <v>359</v>
      </c>
      <c r="M3711" t="s">
        <v>1093</v>
      </c>
      <c r="N3711" t="s">
        <v>1099</v>
      </c>
      <c r="O3711">
        <f>Table1[[#This Row],[Unit_Price]]*Table1[[#This Row],[Quantity]]</f>
        <v>110</v>
      </c>
    </row>
    <row r="3712" spans="1:15" x14ac:dyDescent="0.3">
      <c r="A3712" t="s">
        <v>5533</v>
      </c>
      <c r="B3712" t="s">
        <v>1935</v>
      </c>
      <c r="C3712" t="s">
        <v>409</v>
      </c>
      <c r="D3712" t="s">
        <v>1066</v>
      </c>
      <c r="E3712">
        <v>1</v>
      </c>
      <c r="F3712">
        <f>_xlfn.XLOOKUP(Table1[[#This Row],[ProductID]],Products!A:A,Products!D:D,,0)</f>
        <v>140</v>
      </c>
      <c r="I3712">
        <v>499</v>
      </c>
      <c r="J3712">
        <v>399</v>
      </c>
      <c r="K3712" t="s">
        <v>1097</v>
      </c>
      <c r="L3712">
        <v>399</v>
      </c>
      <c r="M3712" t="s">
        <v>1093</v>
      </c>
      <c r="N3712" t="s">
        <v>1099</v>
      </c>
      <c r="O3712">
        <f>Table1[[#This Row],[Unit_Price]]*Table1[[#This Row],[Quantity]]</f>
        <v>140</v>
      </c>
    </row>
    <row r="3713" spans="1:15" x14ac:dyDescent="0.3">
      <c r="A3713" t="s">
        <v>5534</v>
      </c>
      <c r="B3713" t="s">
        <v>1790</v>
      </c>
      <c r="C3713" t="s">
        <v>623</v>
      </c>
      <c r="D3713" t="s">
        <v>1075</v>
      </c>
      <c r="E3713">
        <v>1</v>
      </c>
      <c r="F3713">
        <f>_xlfn.XLOOKUP(Table1[[#This Row],[ProductID]],Products!A:A,Products!D:D,,0)</f>
        <v>80</v>
      </c>
      <c r="I3713">
        <v>499</v>
      </c>
      <c r="J3713">
        <v>449</v>
      </c>
      <c r="K3713" t="s">
        <v>1107</v>
      </c>
      <c r="L3713">
        <v>449</v>
      </c>
      <c r="M3713" t="s">
        <v>1126</v>
      </c>
      <c r="N3713" t="s">
        <v>1099</v>
      </c>
      <c r="O3713">
        <f>Table1[[#This Row],[Unit_Price]]*Table1[[#This Row],[Quantity]]</f>
        <v>80</v>
      </c>
    </row>
    <row r="3714" spans="1:15" x14ac:dyDescent="0.3">
      <c r="A3714" t="s">
        <v>5535</v>
      </c>
      <c r="B3714" t="s">
        <v>2124</v>
      </c>
      <c r="C3714" t="s">
        <v>893</v>
      </c>
      <c r="D3714" t="s">
        <v>1055</v>
      </c>
      <c r="E3714">
        <v>1</v>
      </c>
      <c r="F3714">
        <f>_xlfn.XLOOKUP(Table1[[#This Row],[ProductID]],Products!A:A,Products!D:D,,0)</f>
        <v>75</v>
      </c>
      <c r="I3714">
        <v>299</v>
      </c>
      <c r="J3714">
        <v>299</v>
      </c>
      <c r="K3714" t="s">
        <v>1102</v>
      </c>
      <c r="L3714">
        <v>299</v>
      </c>
      <c r="M3714" t="s">
        <v>1126</v>
      </c>
      <c r="N3714" t="s">
        <v>1099</v>
      </c>
      <c r="O3714">
        <f>Table1[[#This Row],[Unit_Price]]*Table1[[#This Row],[Quantity]]</f>
        <v>75</v>
      </c>
    </row>
    <row r="3715" spans="1:15" x14ac:dyDescent="0.3">
      <c r="A3715" t="s">
        <v>5536</v>
      </c>
      <c r="B3715" t="s">
        <v>2431</v>
      </c>
      <c r="C3715" t="s">
        <v>601</v>
      </c>
      <c r="D3715" t="s">
        <v>1053</v>
      </c>
      <c r="E3715">
        <v>1</v>
      </c>
      <c r="F3715">
        <f>_xlfn.XLOOKUP(Table1[[#This Row],[ProductID]],Products!A:A,Products!D:D,,0)</f>
        <v>200</v>
      </c>
      <c r="I3715">
        <v>899</v>
      </c>
      <c r="J3715">
        <v>809</v>
      </c>
      <c r="K3715" t="s">
        <v>1107</v>
      </c>
      <c r="L3715">
        <v>809</v>
      </c>
      <c r="M3715" t="s">
        <v>1098</v>
      </c>
      <c r="N3715" t="s">
        <v>1123</v>
      </c>
      <c r="O3715">
        <f>Table1[[#This Row],[Unit_Price]]*Table1[[#This Row],[Quantity]]</f>
        <v>200</v>
      </c>
    </row>
    <row r="3716" spans="1:15" x14ac:dyDescent="0.3">
      <c r="A3716" t="s">
        <v>5537</v>
      </c>
      <c r="B3716" t="s">
        <v>1331</v>
      </c>
      <c r="C3716" t="s">
        <v>673</v>
      </c>
      <c r="D3716" t="s">
        <v>1064</v>
      </c>
      <c r="E3716">
        <v>3</v>
      </c>
      <c r="F3716">
        <f>_xlfn.XLOOKUP(Table1[[#This Row],[ProductID]],Products!A:A,Products!D:D,,0)</f>
        <v>160</v>
      </c>
      <c r="I3716">
        <v>699</v>
      </c>
      <c r="J3716">
        <v>699</v>
      </c>
      <c r="K3716" t="s">
        <v>1102</v>
      </c>
      <c r="L3716">
        <v>2097</v>
      </c>
      <c r="M3716" t="s">
        <v>1098</v>
      </c>
      <c r="N3716" t="s">
        <v>1099</v>
      </c>
      <c r="O3716">
        <f>Table1[[#This Row],[Unit_Price]]*Table1[[#This Row],[Quantity]]</f>
        <v>480</v>
      </c>
    </row>
    <row r="3717" spans="1:15" x14ac:dyDescent="0.3">
      <c r="A3717" t="s">
        <v>5538</v>
      </c>
      <c r="B3717" t="s">
        <v>2389</v>
      </c>
      <c r="C3717" t="s">
        <v>150</v>
      </c>
      <c r="D3717" t="s">
        <v>1071</v>
      </c>
      <c r="E3717">
        <v>1</v>
      </c>
      <c r="F3717">
        <f>_xlfn.XLOOKUP(Table1[[#This Row],[ProductID]],Products!A:A,Products!D:D,,0)</f>
        <v>125</v>
      </c>
      <c r="I3717">
        <v>399</v>
      </c>
      <c r="J3717">
        <v>359</v>
      </c>
      <c r="K3717" t="s">
        <v>1107</v>
      </c>
      <c r="L3717">
        <v>359</v>
      </c>
      <c r="M3717" t="s">
        <v>1098</v>
      </c>
      <c r="N3717" t="s">
        <v>1099</v>
      </c>
      <c r="O3717">
        <f>Table1[[#This Row],[Unit_Price]]*Table1[[#This Row],[Quantity]]</f>
        <v>125</v>
      </c>
    </row>
    <row r="3718" spans="1:15" x14ac:dyDescent="0.3">
      <c r="A3718" t="s">
        <v>5539</v>
      </c>
      <c r="B3718" t="s">
        <v>1392</v>
      </c>
      <c r="C3718" t="s">
        <v>661</v>
      </c>
      <c r="D3718" t="s">
        <v>1051</v>
      </c>
      <c r="E3718">
        <v>4</v>
      </c>
      <c r="F3718">
        <f>_xlfn.XLOOKUP(Table1[[#This Row],[ProductID]],Products!A:A,Products!D:D,,0)</f>
        <v>150</v>
      </c>
      <c r="I3718">
        <v>499</v>
      </c>
      <c r="J3718">
        <v>499</v>
      </c>
      <c r="K3718" t="s">
        <v>1102</v>
      </c>
      <c r="L3718">
        <v>1996</v>
      </c>
      <c r="M3718" t="s">
        <v>1098</v>
      </c>
      <c r="N3718" t="s">
        <v>1099</v>
      </c>
      <c r="O3718">
        <f>Table1[[#This Row],[Unit_Price]]*Table1[[#This Row],[Quantity]]</f>
        <v>600</v>
      </c>
    </row>
    <row r="3719" spans="1:15" x14ac:dyDescent="0.3">
      <c r="A3719" t="s">
        <v>5540</v>
      </c>
      <c r="B3719" t="s">
        <v>1230</v>
      </c>
      <c r="C3719" t="s">
        <v>733</v>
      </c>
      <c r="D3719" t="s">
        <v>1055</v>
      </c>
      <c r="E3719">
        <v>2</v>
      </c>
      <c r="F3719">
        <f>_xlfn.XLOOKUP(Table1[[#This Row],[ProductID]],Products!A:A,Products!D:D,,0)</f>
        <v>75</v>
      </c>
      <c r="I3719">
        <v>299</v>
      </c>
      <c r="J3719">
        <v>254</v>
      </c>
      <c r="K3719" t="s">
        <v>1092</v>
      </c>
      <c r="L3719">
        <v>508</v>
      </c>
      <c r="M3719" t="s">
        <v>1098</v>
      </c>
      <c r="N3719" t="s">
        <v>1099</v>
      </c>
      <c r="O3719">
        <f>Table1[[#This Row],[Unit_Price]]*Table1[[#This Row],[Quantity]]</f>
        <v>150</v>
      </c>
    </row>
    <row r="3720" spans="1:15" x14ac:dyDescent="0.3">
      <c r="A3720" t="s">
        <v>5541</v>
      </c>
      <c r="B3720" t="s">
        <v>2847</v>
      </c>
      <c r="C3720" t="s">
        <v>281</v>
      </c>
      <c r="D3720" t="s">
        <v>1073</v>
      </c>
      <c r="E3720">
        <v>2</v>
      </c>
      <c r="F3720">
        <f>_xlfn.XLOOKUP(Table1[[#This Row],[ProductID]],Products!A:A,Products!D:D,,0)</f>
        <v>100</v>
      </c>
      <c r="I3720">
        <v>349</v>
      </c>
      <c r="J3720">
        <v>297</v>
      </c>
      <c r="K3720" t="s">
        <v>1092</v>
      </c>
      <c r="L3720">
        <v>594</v>
      </c>
      <c r="M3720" t="s">
        <v>1098</v>
      </c>
      <c r="N3720" t="s">
        <v>1123</v>
      </c>
      <c r="O3720">
        <f>Table1[[#This Row],[Unit_Price]]*Table1[[#This Row],[Quantity]]</f>
        <v>200</v>
      </c>
    </row>
    <row r="3721" spans="1:15" x14ac:dyDescent="0.3">
      <c r="A3721" t="s">
        <v>5542</v>
      </c>
      <c r="B3721" t="s">
        <v>1570</v>
      </c>
      <c r="C3721" t="s">
        <v>453</v>
      </c>
      <c r="D3721" t="s">
        <v>1066</v>
      </c>
      <c r="E3721">
        <v>2</v>
      </c>
      <c r="F3721">
        <f>_xlfn.XLOOKUP(Table1[[#This Row],[ProductID]],Products!A:A,Products!D:D,,0)</f>
        <v>140</v>
      </c>
      <c r="I3721">
        <v>499</v>
      </c>
      <c r="J3721">
        <v>424</v>
      </c>
      <c r="K3721" t="s">
        <v>1092</v>
      </c>
      <c r="L3721">
        <v>848</v>
      </c>
      <c r="M3721" t="s">
        <v>1098</v>
      </c>
      <c r="N3721" t="s">
        <v>1099</v>
      </c>
      <c r="O3721">
        <f>Table1[[#This Row],[Unit_Price]]*Table1[[#This Row],[Quantity]]</f>
        <v>280</v>
      </c>
    </row>
    <row r="3722" spans="1:15" x14ac:dyDescent="0.3">
      <c r="A3722" t="s">
        <v>5543</v>
      </c>
      <c r="B3722" t="s">
        <v>1801</v>
      </c>
      <c r="C3722" t="s">
        <v>801</v>
      </c>
      <c r="D3722" t="s">
        <v>1068</v>
      </c>
      <c r="E3722">
        <v>1</v>
      </c>
      <c r="F3722">
        <f>_xlfn.XLOOKUP(Table1[[#This Row],[ProductID]],Products!A:A,Products!D:D,,0)</f>
        <v>180</v>
      </c>
      <c r="I3722">
        <v>449</v>
      </c>
      <c r="J3722">
        <v>404</v>
      </c>
      <c r="K3722" t="s">
        <v>1107</v>
      </c>
      <c r="L3722">
        <v>404</v>
      </c>
      <c r="M3722" t="s">
        <v>1098</v>
      </c>
      <c r="N3722" t="s">
        <v>1099</v>
      </c>
      <c r="O3722">
        <f>Table1[[#This Row],[Unit_Price]]*Table1[[#This Row],[Quantity]]</f>
        <v>180</v>
      </c>
    </row>
    <row r="3723" spans="1:15" x14ac:dyDescent="0.3">
      <c r="A3723" t="s">
        <v>5544</v>
      </c>
      <c r="B3723" t="s">
        <v>2152</v>
      </c>
      <c r="C3723" t="s">
        <v>607</v>
      </c>
      <c r="D3723" t="s">
        <v>1062</v>
      </c>
      <c r="E3723">
        <v>1</v>
      </c>
      <c r="F3723">
        <f>_xlfn.XLOOKUP(Table1[[#This Row],[ProductID]],Products!A:A,Products!D:D,,0)</f>
        <v>95</v>
      </c>
      <c r="I3723">
        <v>349</v>
      </c>
      <c r="J3723">
        <v>279</v>
      </c>
      <c r="K3723" t="s">
        <v>1097</v>
      </c>
      <c r="L3723">
        <v>279</v>
      </c>
      <c r="M3723" t="s">
        <v>1098</v>
      </c>
      <c r="N3723" t="s">
        <v>1099</v>
      </c>
      <c r="O3723">
        <f>Table1[[#This Row],[Unit_Price]]*Table1[[#This Row],[Quantity]]</f>
        <v>95</v>
      </c>
    </row>
    <row r="3724" spans="1:15" x14ac:dyDescent="0.3">
      <c r="A3724" t="s">
        <v>5545</v>
      </c>
      <c r="B3724" t="s">
        <v>2573</v>
      </c>
      <c r="C3724" t="s">
        <v>681</v>
      </c>
      <c r="D3724" t="s">
        <v>1080</v>
      </c>
      <c r="E3724">
        <v>2</v>
      </c>
      <c r="F3724">
        <f>_xlfn.XLOOKUP(Table1[[#This Row],[ProductID]],Products!A:A,Products!D:D,,0)</f>
        <v>45</v>
      </c>
      <c r="I3724">
        <v>249</v>
      </c>
      <c r="J3724">
        <v>224</v>
      </c>
      <c r="K3724" t="s">
        <v>1107</v>
      </c>
      <c r="L3724">
        <v>448</v>
      </c>
      <c r="M3724" t="s">
        <v>1093</v>
      </c>
      <c r="N3724" t="s">
        <v>1099</v>
      </c>
      <c r="O3724">
        <f>Table1[[#This Row],[Unit_Price]]*Table1[[#This Row],[Quantity]]</f>
        <v>90</v>
      </c>
    </row>
    <row r="3725" spans="1:15" x14ac:dyDescent="0.3">
      <c r="A3725" t="s">
        <v>5546</v>
      </c>
      <c r="B3725" t="s">
        <v>2208</v>
      </c>
      <c r="C3725" t="s">
        <v>971</v>
      </c>
      <c r="D3725" t="s">
        <v>1075</v>
      </c>
      <c r="E3725">
        <v>1</v>
      </c>
      <c r="F3725">
        <f>_xlfn.XLOOKUP(Table1[[#This Row],[ProductID]],Products!A:A,Products!D:D,,0)</f>
        <v>80</v>
      </c>
      <c r="I3725">
        <v>499</v>
      </c>
      <c r="J3725">
        <v>449</v>
      </c>
      <c r="K3725" t="s">
        <v>1107</v>
      </c>
      <c r="L3725">
        <v>449</v>
      </c>
      <c r="M3725" t="s">
        <v>1093</v>
      </c>
      <c r="N3725" t="s">
        <v>1099</v>
      </c>
      <c r="O3725">
        <f>Table1[[#This Row],[Unit_Price]]*Table1[[#This Row],[Quantity]]</f>
        <v>80</v>
      </c>
    </row>
    <row r="3726" spans="1:15" x14ac:dyDescent="0.3">
      <c r="A3726" t="s">
        <v>5547</v>
      </c>
      <c r="B3726" t="s">
        <v>1389</v>
      </c>
      <c r="C3726" t="s">
        <v>905</v>
      </c>
      <c r="D3726" t="s">
        <v>1068</v>
      </c>
      <c r="E3726">
        <v>1</v>
      </c>
      <c r="F3726">
        <f>_xlfn.XLOOKUP(Table1[[#This Row],[ProductID]],Products!A:A,Products!D:D,,0)</f>
        <v>180</v>
      </c>
      <c r="I3726">
        <v>449</v>
      </c>
      <c r="J3726">
        <v>404</v>
      </c>
      <c r="K3726" t="s">
        <v>1107</v>
      </c>
      <c r="L3726">
        <v>404</v>
      </c>
      <c r="M3726" t="s">
        <v>1093</v>
      </c>
      <c r="N3726" t="s">
        <v>1099</v>
      </c>
      <c r="O3726">
        <f>Table1[[#This Row],[Unit_Price]]*Table1[[#This Row],[Quantity]]</f>
        <v>180</v>
      </c>
    </row>
    <row r="3727" spans="1:15" x14ac:dyDescent="0.3">
      <c r="A3727" t="s">
        <v>5548</v>
      </c>
      <c r="B3727" t="s">
        <v>1306</v>
      </c>
      <c r="C3727" t="s">
        <v>819</v>
      </c>
      <c r="D3727" t="s">
        <v>1073</v>
      </c>
      <c r="E3727">
        <v>1</v>
      </c>
      <c r="F3727">
        <f>_xlfn.XLOOKUP(Table1[[#This Row],[ProductID]],Products!A:A,Products!D:D,,0)</f>
        <v>100</v>
      </c>
      <c r="I3727">
        <v>349</v>
      </c>
      <c r="J3727">
        <v>279</v>
      </c>
      <c r="K3727" t="s">
        <v>1097</v>
      </c>
      <c r="L3727">
        <v>279</v>
      </c>
      <c r="M3727" t="s">
        <v>1098</v>
      </c>
      <c r="N3727" t="s">
        <v>1099</v>
      </c>
      <c r="O3727">
        <f>Table1[[#This Row],[Unit_Price]]*Table1[[#This Row],[Quantity]]</f>
        <v>100</v>
      </c>
    </row>
    <row r="3728" spans="1:15" x14ac:dyDescent="0.3">
      <c r="A3728" t="s">
        <v>5549</v>
      </c>
      <c r="B3728" t="s">
        <v>4834</v>
      </c>
      <c r="C3728" t="s">
        <v>723</v>
      </c>
      <c r="D3728" t="s">
        <v>1051</v>
      </c>
      <c r="E3728">
        <v>1</v>
      </c>
      <c r="F3728">
        <f>_xlfn.XLOOKUP(Table1[[#This Row],[ProductID]],Products!A:A,Products!D:D,,0)</f>
        <v>150</v>
      </c>
      <c r="I3728">
        <v>499</v>
      </c>
      <c r="J3728">
        <v>399</v>
      </c>
      <c r="K3728" t="s">
        <v>1097</v>
      </c>
      <c r="L3728">
        <v>399</v>
      </c>
      <c r="M3728" t="s">
        <v>1098</v>
      </c>
      <c r="N3728" t="s">
        <v>1099</v>
      </c>
      <c r="O3728">
        <f>Table1[[#This Row],[Unit_Price]]*Table1[[#This Row],[Quantity]]</f>
        <v>150</v>
      </c>
    </row>
    <row r="3729" spans="1:15" x14ac:dyDescent="0.3">
      <c r="A3729" t="s">
        <v>5550</v>
      </c>
      <c r="B3729" t="s">
        <v>1106</v>
      </c>
      <c r="C3729" t="s">
        <v>841</v>
      </c>
      <c r="D3729" t="s">
        <v>1068</v>
      </c>
      <c r="E3729">
        <v>1</v>
      </c>
      <c r="F3729">
        <f>_xlfn.XLOOKUP(Table1[[#This Row],[ProductID]],Products!A:A,Products!D:D,,0)</f>
        <v>180</v>
      </c>
      <c r="I3729">
        <v>449</v>
      </c>
      <c r="J3729">
        <v>449</v>
      </c>
      <c r="K3729" t="s">
        <v>1102</v>
      </c>
      <c r="L3729">
        <v>449</v>
      </c>
      <c r="M3729" t="s">
        <v>1098</v>
      </c>
      <c r="N3729" t="s">
        <v>1099</v>
      </c>
      <c r="O3729">
        <f>Table1[[#This Row],[Unit_Price]]*Table1[[#This Row],[Quantity]]</f>
        <v>180</v>
      </c>
    </row>
    <row r="3730" spans="1:15" x14ac:dyDescent="0.3">
      <c r="A3730" t="s">
        <v>5551</v>
      </c>
      <c r="B3730" t="s">
        <v>3516</v>
      </c>
      <c r="C3730" t="s">
        <v>873</v>
      </c>
      <c r="D3730" t="s">
        <v>1066</v>
      </c>
      <c r="E3730">
        <v>1</v>
      </c>
      <c r="F3730">
        <f>_xlfn.XLOOKUP(Table1[[#This Row],[ProductID]],Products!A:A,Products!D:D,,0)</f>
        <v>140</v>
      </c>
      <c r="I3730">
        <v>499</v>
      </c>
      <c r="J3730">
        <v>399</v>
      </c>
      <c r="K3730" t="s">
        <v>1097</v>
      </c>
      <c r="L3730">
        <v>399</v>
      </c>
      <c r="M3730" t="s">
        <v>1098</v>
      </c>
      <c r="N3730" t="s">
        <v>1099</v>
      </c>
      <c r="O3730">
        <f>Table1[[#This Row],[Unit_Price]]*Table1[[#This Row],[Quantity]]</f>
        <v>140</v>
      </c>
    </row>
    <row r="3731" spans="1:15" x14ac:dyDescent="0.3">
      <c r="A3731" t="s">
        <v>5552</v>
      </c>
      <c r="B3731" t="s">
        <v>4501</v>
      </c>
      <c r="C3731" t="s">
        <v>339</v>
      </c>
      <c r="D3731" t="s">
        <v>1078</v>
      </c>
      <c r="E3731">
        <v>3</v>
      </c>
      <c r="F3731">
        <f>_xlfn.XLOOKUP(Table1[[#This Row],[ProductID]],Products!A:A,Products!D:D,,0)</f>
        <v>80</v>
      </c>
      <c r="I3731">
        <v>499</v>
      </c>
      <c r="J3731">
        <v>399</v>
      </c>
      <c r="K3731" t="s">
        <v>1097</v>
      </c>
      <c r="L3731">
        <v>1197</v>
      </c>
      <c r="M3731" t="s">
        <v>1098</v>
      </c>
      <c r="N3731" t="s">
        <v>1099</v>
      </c>
      <c r="O3731">
        <f>Table1[[#This Row],[Unit_Price]]*Table1[[#This Row],[Quantity]]</f>
        <v>240</v>
      </c>
    </row>
    <row r="3732" spans="1:15" x14ac:dyDescent="0.3">
      <c r="A3732" t="s">
        <v>5553</v>
      </c>
      <c r="B3732" t="s">
        <v>1160</v>
      </c>
      <c r="C3732" t="s">
        <v>495</v>
      </c>
      <c r="D3732" t="s">
        <v>1078</v>
      </c>
      <c r="E3732">
        <v>1</v>
      </c>
      <c r="F3732">
        <f>_xlfn.XLOOKUP(Table1[[#This Row],[ProductID]],Products!A:A,Products!D:D,,0)</f>
        <v>80</v>
      </c>
      <c r="I3732">
        <v>499</v>
      </c>
      <c r="J3732">
        <v>424</v>
      </c>
      <c r="K3732" t="s">
        <v>1092</v>
      </c>
      <c r="L3732">
        <v>424</v>
      </c>
      <c r="M3732" t="s">
        <v>1093</v>
      </c>
      <c r="N3732" t="s">
        <v>1094</v>
      </c>
      <c r="O3732">
        <f>Table1[[#This Row],[Unit_Price]]*Table1[[#This Row],[Quantity]]</f>
        <v>80</v>
      </c>
    </row>
    <row r="3733" spans="1:15" x14ac:dyDescent="0.3">
      <c r="A3733" t="s">
        <v>5554</v>
      </c>
      <c r="B3733" t="s">
        <v>3677</v>
      </c>
      <c r="C3733" t="s">
        <v>947</v>
      </c>
      <c r="D3733" t="s">
        <v>1073</v>
      </c>
      <c r="E3733">
        <v>1</v>
      </c>
      <c r="F3733">
        <f>_xlfn.XLOOKUP(Table1[[#This Row],[ProductID]],Products!A:A,Products!D:D,,0)</f>
        <v>100</v>
      </c>
      <c r="I3733">
        <v>349</v>
      </c>
      <c r="J3733">
        <v>314</v>
      </c>
      <c r="K3733" t="s">
        <v>1107</v>
      </c>
      <c r="L3733">
        <v>314</v>
      </c>
      <c r="M3733" t="s">
        <v>1093</v>
      </c>
      <c r="N3733" t="s">
        <v>1099</v>
      </c>
      <c r="O3733">
        <f>Table1[[#This Row],[Unit_Price]]*Table1[[#This Row],[Quantity]]</f>
        <v>100</v>
      </c>
    </row>
    <row r="3734" spans="1:15" x14ac:dyDescent="0.3">
      <c r="A3734" t="s">
        <v>5555</v>
      </c>
      <c r="B3734" t="s">
        <v>2496</v>
      </c>
      <c r="C3734" t="s">
        <v>947</v>
      </c>
      <c r="D3734" t="s">
        <v>1071</v>
      </c>
      <c r="E3734">
        <v>4</v>
      </c>
      <c r="F3734">
        <f>_xlfn.XLOOKUP(Table1[[#This Row],[ProductID]],Products!A:A,Products!D:D,,0)</f>
        <v>125</v>
      </c>
      <c r="I3734">
        <v>399</v>
      </c>
      <c r="J3734">
        <v>399</v>
      </c>
      <c r="K3734" t="s">
        <v>1102</v>
      </c>
      <c r="L3734">
        <v>1596</v>
      </c>
      <c r="M3734" t="s">
        <v>1118</v>
      </c>
      <c r="N3734" t="s">
        <v>1099</v>
      </c>
      <c r="O3734">
        <f>Table1[[#This Row],[Unit_Price]]*Table1[[#This Row],[Quantity]]</f>
        <v>500</v>
      </c>
    </row>
    <row r="3735" spans="1:15" x14ac:dyDescent="0.3">
      <c r="A3735" t="s">
        <v>5556</v>
      </c>
      <c r="B3735" t="s">
        <v>1847</v>
      </c>
      <c r="C3735" t="s">
        <v>443</v>
      </c>
      <c r="D3735" t="s">
        <v>1075</v>
      </c>
      <c r="E3735">
        <v>1</v>
      </c>
      <c r="F3735">
        <f>_xlfn.XLOOKUP(Table1[[#This Row],[ProductID]],Products!A:A,Products!D:D,,0)</f>
        <v>80</v>
      </c>
      <c r="I3735">
        <v>499</v>
      </c>
      <c r="J3735">
        <v>399</v>
      </c>
      <c r="K3735" t="s">
        <v>1097</v>
      </c>
      <c r="L3735">
        <v>399</v>
      </c>
      <c r="M3735" t="s">
        <v>1098</v>
      </c>
      <c r="N3735" t="s">
        <v>1099</v>
      </c>
      <c r="O3735">
        <f>Table1[[#This Row],[Unit_Price]]*Table1[[#This Row],[Quantity]]</f>
        <v>80</v>
      </c>
    </row>
    <row r="3736" spans="1:15" x14ac:dyDescent="0.3">
      <c r="A3736" t="s">
        <v>5557</v>
      </c>
      <c r="B3736" t="s">
        <v>4260</v>
      </c>
      <c r="C3736" t="s">
        <v>821</v>
      </c>
      <c r="D3736" t="s">
        <v>1053</v>
      </c>
      <c r="E3736">
        <v>1</v>
      </c>
      <c r="F3736">
        <f>_xlfn.XLOOKUP(Table1[[#This Row],[ProductID]],Products!A:A,Products!D:D,,0)</f>
        <v>200</v>
      </c>
      <c r="I3736">
        <v>899</v>
      </c>
      <c r="J3736">
        <v>809</v>
      </c>
      <c r="K3736" t="s">
        <v>1107</v>
      </c>
      <c r="L3736">
        <v>809</v>
      </c>
      <c r="M3736" t="s">
        <v>1093</v>
      </c>
      <c r="N3736" t="s">
        <v>1099</v>
      </c>
      <c r="O3736">
        <f>Table1[[#This Row],[Unit_Price]]*Table1[[#This Row],[Quantity]]</f>
        <v>200</v>
      </c>
    </row>
    <row r="3737" spans="1:15" x14ac:dyDescent="0.3">
      <c r="A3737" t="s">
        <v>5558</v>
      </c>
      <c r="B3737" t="s">
        <v>1803</v>
      </c>
      <c r="C3737" t="s">
        <v>563</v>
      </c>
      <c r="D3737" t="s">
        <v>1066</v>
      </c>
      <c r="E3737">
        <v>1</v>
      </c>
      <c r="F3737">
        <f>_xlfn.XLOOKUP(Table1[[#This Row],[ProductID]],Products!A:A,Products!D:D,,0)</f>
        <v>140</v>
      </c>
      <c r="I3737">
        <v>499</v>
      </c>
      <c r="J3737">
        <v>424</v>
      </c>
      <c r="K3737" t="s">
        <v>1092</v>
      </c>
      <c r="L3737">
        <v>424</v>
      </c>
      <c r="M3737" t="s">
        <v>1098</v>
      </c>
      <c r="N3737" t="s">
        <v>1099</v>
      </c>
      <c r="O3737">
        <f>Table1[[#This Row],[Unit_Price]]*Table1[[#This Row],[Quantity]]</f>
        <v>140</v>
      </c>
    </row>
    <row r="3738" spans="1:15" x14ac:dyDescent="0.3">
      <c r="A3738" t="s">
        <v>5559</v>
      </c>
      <c r="B3738" t="s">
        <v>2229</v>
      </c>
      <c r="C3738" t="s">
        <v>108</v>
      </c>
      <c r="D3738" t="s">
        <v>1075</v>
      </c>
      <c r="E3738">
        <v>1</v>
      </c>
      <c r="F3738">
        <f>_xlfn.XLOOKUP(Table1[[#This Row],[ProductID]],Products!A:A,Products!D:D,,0)</f>
        <v>80</v>
      </c>
      <c r="I3738">
        <v>499</v>
      </c>
      <c r="J3738">
        <v>449</v>
      </c>
      <c r="K3738" t="s">
        <v>1107</v>
      </c>
      <c r="L3738">
        <v>449</v>
      </c>
      <c r="M3738" t="s">
        <v>1098</v>
      </c>
      <c r="N3738" t="s">
        <v>1099</v>
      </c>
      <c r="O3738">
        <f>Table1[[#This Row],[Unit_Price]]*Table1[[#This Row],[Quantity]]</f>
        <v>80</v>
      </c>
    </row>
    <row r="3739" spans="1:15" x14ac:dyDescent="0.3">
      <c r="A3739" t="s">
        <v>5560</v>
      </c>
      <c r="B3739" t="s">
        <v>2652</v>
      </c>
      <c r="C3739" t="s">
        <v>849</v>
      </c>
      <c r="D3739" t="s">
        <v>1053</v>
      </c>
      <c r="E3739">
        <v>1</v>
      </c>
      <c r="F3739">
        <f>_xlfn.XLOOKUP(Table1[[#This Row],[ProductID]],Products!A:A,Products!D:D,,0)</f>
        <v>200</v>
      </c>
      <c r="I3739">
        <v>899</v>
      </c>
      <c r="J3739">
        <v>899</v>
      </c>
      <c r="K3739" t="s">
        <v>1102</v>
      </c>
      <c r="L3739">
        <v>899</v>
      </c>
      <c r="M3739" t="s">
        <v>1126</v>
      </c>
      <c r="N3739" t="s">
        <v>1099</v>
      </c>
      <c r="O3739">
        <f>Table1[[#This Row],[Unit_Price]]*Table1[[#This Row],[Quantity]]</f>
        <v>200</v>
      </c>
    </row>
    <row r="3740" spans="1:15" x14ac:dyDescent="0.3">
      <c r="A3740" t="s">
        <v>5561</v>
      </c>
      <c r="B3740" t="s">
        <v>2135</v>
      </c>
      <c r="C3740" t="s">
        <v>126</v>
      </c>
      <c r="D3740" t="s">
        <v>1075</v>
      </c>
      <c r="E3740">
        <v>2</v>
      </c>
      <c r="F3740">
        <f>_xlfn.XLOOKUP(Table1[[#This Row],[ProductID]],Products!A:A,Products!D:D,,0)</f>
        <v>80</v>
      </c>
      <c r="I3740">
        <v>499</v>
      </c>
      <c r="J3740">
        <v>499</v>
      </c>
      <c r="K3740" t="s">
        <v>1102</v>
      </c>
      <c r="L3740">
        <v>998</v>
      </c>
      <c r="M3740" t="s">
        <v>1098</v>
      </c>
      <c r="N3740" t="s">
        <v>1123</v>
      </c>
      <c r="O3740">
        <f>Table1[[#This Row],[Unit_Price]]*Table1[[#This Row],[Quantity]]</f>
        <v>160</v>
      </c>
    </row>
    <row r="3741" spans="1:15" x14ac:dyDescent="0.3">
      <c r="A3741" t="s">
        <v>5562</v>
      </c>
      <c r="B3741" t="s">
        <v>2971</v>
      </c>
      <c r="C3741" t="s">
        <v>104</v>
      </c>
      <c r="D3741" t="s">
        <v>1080</v>
      </c>
      <c r="E3741">
        <v>3</v>
      </c>
      <c r="F3741">
        <f>_xlfn.XLOOKUP(Table1[[#This Row],[ProductID]],Products!A:A,Products!D:D,,0)</f>
        <v>45</v>
      </c>
      <c r="I3741">
        <v>249</v>
      </c>
      <c r="J3741">
        <v>212</v>
      </c>
      <c r="K3741" t="s">
        <v>1092</v>
      </c>
      <c r="L3741">
        <v>636</v>
      </c>
      <c r="M3741" t="s">
        <v>1093</v>
      </c>
      <c r="N3741" t="s">
        <v>1099</v>
      </c>
      <c r="O3741">
        <f>Table1[[#This Row],[Unit_Price]]*Table1[[#This Row],[Quantity]]</f>
        <v>135</v>
      </c>
    </row>
    <row r="3742" spans="1:15" x14ac:dyDescent="0.3">
      <c r="A3742" t="s">
        <v>5563</v>
      </c>
      <c r="B3742" t="s">
        <v>1797</v>
      </c>
      <c r="C3742" t="s">
        <v>112</v>
      </c>
      <c r="D3742" t="s">
        <v>1068</v>
      </c>
      <c r="E3742">
        <v>1</v>
      </c>
      <c r="F3742">
        <f>_xlfn.XLOOKUP(Table1[[#This Row],[ProductID]],Products!A:A,Products!D:D,,0)</f>
        <v>180</v>
      </c>
      <c r="I3742">
        <v>449</v>
      </c>
      <c r="J3742">
        <v>449</v>
      </c>
      <c r="K3742" t="s">
        <v>1102</v>
      </c>
      <c r="L3742">
        <v>449</v>
      </c>
      <c r="M3742" t="s">
        <v>1098</v>
      </c>
      <c r="N3742" t="s">
        <v>1099</v>
      </c>
      <c r="O3742">
        <f>Table1[[#This Row],[Unit_Price]]*Table1[[#This Row],[Quantity]]</f>
        <v>180</v>
      </c>
    </row>
    <row r="3743" spans="1:15" x14ac:dyDescent="0.3">
      <c r="A3743" t="s">
        <v>5564</v>
      </c>
      <c r="B3743" t="s">
        <v>1101</v>
      </c>
      <c r="C3743" t="s">
        <v>124</v>
      </c>
      <c r="D3743" t="s">
        <v>1071</v>
      </c>
      <c r="E3743">
        <v>1</v>
      </c>
      <c r="F3743">
        <f>_xlfn.XLOOKUP(Table1[[#This Row],[ProductID]],Products!A:A,Products!D:D,,0)</f>
        <v>125</v>
      </c>
      <c r="I3743">
        <v>399</v>
      </c>
      <c r="J3743">
        <v>359</v>
      </c>
      <c r="K3743" t="s">
        <v>1107</v>
      </c>
      <c r="L3743">
        <v>359</v>
      </c>
      <c r="M3743" t="s">
        <v>1093</v>
      </c>
      <c r="N3743" t="s">
        <v>1099</v>
      </c>
      <c r="O3743">
        <f>Table1[[#This Row],[Unit_Price]]*Table1[[#This Row],[Quantity]]</f>
        <v>125</v>
      </c>
    </row>
    <row r="3744" spans="1:15" x14ac:dyDescent="0.3">
      <c r="A3744" t="s">
        <v>5565</v>
      </c>
      <c r="B3744" t="s">
        <v>3323</v>
      </c>
      <c r="C3744" t="s">
        <v>1037</v>
      </c>
      <c r="D3744" t="s">
        <v>1075</v>
      </c>
      <c r="E3744">
        <v>1</v>
      </c>
      <c r="F3744">
        <f>_xlfn.XLOOKUP(Table1[[#This Row],[ProductID]],Products!A:A,Products!D:D,,0)</f>
        <v>80</v>
      </c>
      <c r="I3744">
        <v>499</v>
      </c>
      <c r="J3744">
        <v>499</v>
      </c>
      <c r="K3744" t="s">
        <v>1102</v>
      </c>
      <c r="L3744">
        <v>499</v>
      </c>
      <c r="M3744" t="s">
        <v>1093</v>
      </c>
      <c r="N3744" t="s">
        <v>1099</v>
      </c>
      <c r="O3744">
        <f>Table1[[#This Row],[Unit_Price]]*Table1[[#This Row],[Quantity]]</f>
        <v>80</v>
      </c>
    </row>
    <row r="3745" spans="1:15" x14ac:dyDescent="0.3">
      <c r="A3745" t="s">
        <v>5566</v>
      </c>
      <c r="B3745" t="s">
        <v>1246</v>
      </c>
      <c r="C3745" t="s">
        <v>74</v>
      </c>
      <c r="D3745" t="s">
        <v>1080</v>
      </c>
      <c r="E3745">
        <v>2</v>
      </c>
      <c r="F3745">
        <f>_xlfn.XLOOKUP(Table1[[#This Row],[ProductID]],Products!A:A,Products!D:D,,0)</f>
        <v>45</v>
      </c>
      <c r="I3745">
        <v>249</v>
      </c>
      <c r="J3745">
        <v>249</v>
      </c>
      <c r="K3745" t="s">
        <v>1102</v>
      </c>
      <c r="L3745">
        <v>498</v>
      </c>
      <c r="M3745" t="s">
        <v>1126</v>
      </c>
      <c r="N3745" t="s">
        <v>1099</v>
      </c>
      <c r="O3745">
        <f>Table1[[#This Row],[Unit_Price]]*Table1[[#This Row],[Quantity]]</f>
        <v>90</v>
      </c>
    </row>
    <row r="3746" spans="1:15" x14ac:dyDescent="0.3">
      <c r="A3746" t="s">
        <v>5567</v>
      </c>
      <c r="B3746" t="s">
        <v>2535</v>
      </c>
      <c r="C3746" t="s">
        <v>259</v>
      </c>
      <c r="D3746" t="s">
        <v>1048</v>
      </c>
      <c r="E3746">
        <v>1</v>
      </c>
      <c r="F3746">
        <f>_xlfn.XLOOKUP(Table1[[#This Row],[ProductID]],Products!A:A,Products!D:D,,0)</f>
        <v>120</v>
      </c>
      <c r="I3746">
        <v>599</v>
      </c>
      <c r="J3746">
        <v>539</v>
      </c>
      <c r="K3746" t="s">
        <v>1107</v>
      </c>
      <c r="L3746">
        <v>539</v>
      </c>
      <c r="M3746" t="s">
        <v>1093</v>
      </c>
      <c r="N3746" t="s">
        <v>1094</v>
      </c>
      <c r="O3746">
        <f>Table1[[#This Row],[Unit_Price]]*Table1[[#This Row],[Quantity]]</f>
        <v>120</v>
      </c>
    </row>
    <row r="3747" spans="1:15" x14ac:dyDescent="0.3">
      <c r="A3747" t="s">
        <v>5568</v>
      </c>
      <c r="B3747" t="s">
        <v>1438</v>
      </c>
      <c r="C3747" t="s">
        <v>625</v>
      </c>
      <c r="D3747" t="s">
        <v>1057</v>
      </c>
      <c r="E3747">
        <v>1</v>
      </c>
      <c r="F3747">
        <f>_xlfn.XLOOKUP(Table1[[#This Row],[ProductID]],Products!A:A,Products!D:D,,0)</f>
        <v>130</v>
      </c>
      <c r="I3747">
        <v>549</v>
      </c>
      <c r="J3747">
        <v>549</v>
      </c>
      <c r="K3747" t="s">
        <v>1102</v>
      </c>
      <c r="L3747">
        <v>549</v>
      </c>
      <c r="M3747" t="s">
        <v>1098</v>
      </c>
      <c r="N3747" t="s">
        <v>1099</v>
      </c>
      <c r="O3747">
        <f>Table1[[#This Row],[Unit_Price]]*Table1[[#This Row],[Quantity]]</f>
        <v>130</v>
      </c>
    </row>
    <row r="3748" spans="1:15" x14ac:dyDescent="0.3">
      <c r="A3748" t="s">
        <v>5569</v>
      </c>
      <c r="B3748" t="s">
        <v>2628</v>
      </c>
      <c r="C3748" t="s">
        <v>687</v>
      </c>
      <c r="D3748" t="s">
        <v>1051</v>
      </c>
      <c r="E3748">
        <v>1</v>
      </c>
      <c r="F3748">
        <f>_xlfn.XLOOKUP(Table1[[#This Row],[ProductID]],Products!A:A,Products!D:D,,0)</f>
        <v>150</v>
      </c>
      <c r="I3748">
        <v>499</v>
      </c>
      <c r="J3748">
        <v>399</v>
      </c>
      <c r="K3748" t="s">
        <v>1097</v>
      </c>
      <c r="L3748">
        <v>399</v>
      </c>
      <c r="M3748" t="s">
        <v>1093</v>
      </c>
      <c r="N3748" t="s">
        <v>1094</v>
      </c>
      <c r="O3748">
        <f>Table1[[#This Row],[Unit_Price]]*Table1[[#This Row],[Quantity]]</f>
        <v>150</v>
      </c>
    </row>
    <row r="3749" spans="1:15" x14ac:dyDescent="0.3">
      <c r="A3749" t="s">
        <v>5570</v>
      </c>
      <c r="B3749" t="s">
        <v>1300</v>
      </c>
      <c r="C3749" t="s">
        <v>138</v>
      </c>
      <c r="D3749" t="s">
        <v>1053</v>
      </c>
      <c r="E3749">
        <v>1</v>
      </c>
      <c r="F3749">
        <f>_xlfn.XLOOKUP(Table1[[#This Row],[ProductID]],Products!A:A,Products!D:D,,0)</f>
        <v>200</v>
      </c>
      <c r="I3749">
        <v>899</v>
      </c>
      <c r="J3749">
        <v>899</v>
      </c>
      <c r="K3749" t="s">
        <v>1102</v>
      </c>
      <c r="L3749">
        <v>899</v>
      </c>
      <c r="M3749" t="s">
        <v>1118</v>
      </c>
      <c r="N3749" t="s">
        <v>1099</v>
      </c>
      <c r="O3749">
        <f>Table1[[#This Row],[Unit_Price]]*Table1[[#This Row],[Quantity]]</f>
        <v>200</v>
      </c>
    </row>
    <row r="3750" spans="1:15" x14ac:dyDescent="0.3">
      <c r="A3750" t="s">
        <v>5571</v>
      </c>
      <c r="B3750" t="s">
        <v>1612</v>
      </c>
      <c r="C3750" t="s">
        <v>447</v>
      </c>
      <c r="D3750" t="s">
        <v>1068</v>
      </c>
      <c r="E3750">
        <v>1</v>
      </c>
      <c r="F3750">
        <f>_xlfn.XLOOKUP(Table1[[#This Row],[ProductID]],Products!A:A,Products!D:D,,0)</f>
        <v>180</v>
      </c>
      <c r="I3750">
        <v>449</v>
      </c>
      <c r="J3750">
        <v>449</v>
      </c>
      <c r="K3750" t="s">
        <v>1102</v>
      </c>
      <c r="L3750">
        <v>449</v>
      </c>
      <c r="M3750" t="s">
        <v>1093</v>
      </c>
      <c r="N3750" t="s">
        <v>1099</v>
      </c>
      <c r="O3750">
        <f>Table1[[#This Row],[Unit_Price]]*Table1[[#This Row],[Quantity]]</f>
        <v>180</v>
      </c>
    </row>
    <row r="3751" spans="1:15" x14ac:dyDescent="0.3">
      <c r="A3751" t="s">
        <v>5572</v>
      </c>
      <c r="B3751" t="s">
        <v>2481</v>
      </c>
      <c r="C3751" t="s">
        <v>821</v>
      </c>
      <c r="D3751" t="s">
        <v>1051</v>
      </c>
      <c r="E3751">
        <v>1</v>
      </c>
      <c r="F3751">
        <f>_xlfn.XLOOKUP(Table1[[#This Row],[ProductID]],Products!A:A,Products!D:D,,0)</f>
        <v>150</v>
      </c>
      <c r="I3751">
        <v>499</v>
      </c>
      <c r="J3751">
        <v>499</v>
      </c>
      <c r="K3751" t="s">
        <v>1102</v>
      </c>
      <c r="L3751">
        <v>499</v>
      </c>
      <c r="M3751" t="s">
        <v>1093</v>
      </c>
      <c r="N3751" t="s">
        <v>1094</v>
      </c>
      <c r="O3751">
        <f>Table1[[#This Row],[Unit_Price]]*Table1[[#This Row],[Quantity]]</f>
        <v>150</v>
      </c>
    </row>
    <row r="3752" spans="1:15" x14ac:dyDescent="0.3">
      <c r="A3752" t="s">
        <v>5573</v>
      </c>
      <c r="B3752" t="s">
        <v>2075</v>
      </c>
      <c r="C3752" t="s">
        <v>649</v>
      </c>
      <c r="D3752" t="s">
        <v>1073</v>
      </c>
      <c r="E3752">
        <v>2</v>
      </c>
      <c r="F3752">
        <f>_xlfn.XLOOKUP(Table1[[#This Row],[ProductID]],Products!A:A,Products!D:D,,0)</f>
        <v>100</v>
      </c>
      <c r="I3752">
        <v>349</v>
      </c>
      <c r="J3752">
        <v>314</v>
      </c>
      <c r="K3752" t="s">
        <v>1107</v>
      </c>
      <c r="L3752">
        <v>628</v>
      </c>
      <c r="M3752" t="s">
        <v>1098</v>
      </c>
      <c r="N3752" t="s">
        <v>1099</v>
      </c>
      <c r="O3752">
        <f>Table1[[#This Row],[Unit_Price]]*Table1[[#This Row],[Quantity]]</f>
        <v>200</v>
      </c>
    </row>
    <row r="3753" spans="1:15" x14ac:dyDescent="0.3">
      <c r="A3753" t="s">
        <v>5574</v>
      </c>
      <c r="B3753" t="s">
        <v>2231</v>
      </c>
      <c r="C3753" t="s">
        <v>271</v>
      </c>
      <c r="D3753" t="s">
        <v>1062</v>
      </c>
      <c r="E3753">
        <v>2</v>
      </c>
      <c r="F3753">
        <f>_xlfn.XLOOKUP(Table1[[#This Row],[ProductID]],Products!A:A,Products!D:D,,0)</f>
        <v>95</v>
      </c>
      <c r="I3753">
        <v>349</v>
      </c>
      <c r="J3753">
        <v>314</v>
      </c>
      <c r="K3753" t="s">
        <v>1107</v>
      </c>
      <c r="L3753">
        <v>628</v>
      </c>
      <c r="M3753" t="s">
        <v>1093</v>
      </c>
      <c r="N3753" t="s">
        <v>1099</v>
      </c>
      <c r="O3753">
        <f>Table1[[#This Row],[Unit_Price]]*Table1[[#This Row],[Quantity]]</f>
        <v>190</v>
      </c>
    </row>
    <row r="3754" spans="1:15" x14ac:dyDescent="0.3">
      <c r="A3754" t="s">
        <v>5575</v>
      </c>
      <c r="B3754" t="s">
        <v>2130</v>
      </c>
      <c r="C3754" t="s">
        <v>651</v>
      </c>
      <c r="D3754" t="s">
        <v>1073</v>
      </c>
      <c r="E3754">
        <v>1</v>
      </c>
      <c r="F3754">
        <f>_xlfn.XLOOKUP(Table1[[#This Row],[ProductID]],Products!A:A,Products!D:D,,0)</f>
        <v>100</v>
      </c>
      <c r="I3754">
        <v>349</v>
      </c>
      <c r="J3754">
        <v>279</v>
      </c>
      <c r="K3754" t="s">
        <v>1097</v>
      </c>
      <c r="L3754">
        <v>279</v>
      </c>
      <c r="M3754" t="s">
        <v>1098</v>
      </c>
      <c r="N3754" t="s">
        <v>1099</v>
      </c>
      <c r="O3754">
        <f>Table1[[#This Row],[Unit_Price]]*Table1[[#This Row],[Quantity]]</f>
        <v>100</v>
      </c>
    </row>
    <row r="3755" spans="1:15" x14ac:dyDescent="0.3">
      <c r="A3755" t="s">
        <v>5576</v>
      </c>
      <c r="B3755" t="s">
        <v>1176</v>
      </c>
      <c r="C3755" t="s">
        <v>333</v>
      </c>
      <c r="D3755" t="s">
        <v>1048</v>
      </c>
      <c r="E3755">
        <v>3</v>
      </c>
      <c r="F3755">
        <f>_xlfn.XLOOKUP(Table1[[#This Row],[ProductID]],Products!A:A,Products!D:D,,0)</f>
        <v>120</v>
      </c>
      <c r="I3755">
        <v>599</v>
      </c>
      <c r="J3755">
        <v>509</v>
      </c>
      <c r="K3755" t="s">
        <v>1092</v>
      </c>
      <c r="L3755">
        <v>1527</v>
      </c>
      <c r="M3755" t="s">
        <v>1093</v>
      </c>
      <c r="N3755" t="s">
        <v>1099</v>
      </c>
      <c r="O3755">
        <f>Table1[[#This Row],[Unit_Price]]*Table1[[#This Row],[Quantity]]</f>
        <v>360</v>
      </c>
    </row>
    <row r="3756" spans="1:15" x14ac:dyDescent="0.3">
      <c r="A3756" t="s">
        <v>5577</v>
      </c>
      <c r="B3756" t="s">
        <v>1459</v>
      </c>
      <c r="C3756" t="s">
        <v>509</v>
      </c>
      <c r="D3756" t="s">
        <v>1059</v>
      </c>
      <c r="E3756">
        <v>3</v>
      </c>
      <c r="F3756">
        <f>_xlfn.XLOOKUP(Table1[[#This Row],[ProductID]],Products!A:A,Products!D:D,,0)</f>
        <v>110</v>
      </c>
      <c r="I3756">
        <v>399</v>
      </c>
      <c r="J3756">
        <v>359</v>
      </c>
      <c r="K3756" t="s">
        <v>1107</v>
      </c>
      <c r="L3756">
        <v>1077</v>
      </c>
      <c r="M3756" t="s">
        <v>1098</v>
      </c>
      <c r="N3756" t="s">
        <v>1099</v>
      </c>
      <c r="O3756">
        <f>Table1[[#This Row],[Unit_Price]]*Table1[[#This Row],[Quantity]]</f>
        <v>330</v>
      </c>
    </row>
    <row r="3757" spans="1:15" x14ac:dyDescent="0.3">
      <c r="A3757" t="s">
        <v>5578</v>
      </c>
      <c r="B3757" t="s">
        <v>2344</v>
      </c>
      <c r="C3757" t="s">
        <v>807</v>
      </c>
      <c r="D3757" t="s">
        <v>1048</v>
      </c>
      <c r="E3757">
        <v>3</v>
      </c>
      <c r="F3757">
        <f>_xlfn.XLOOKUP(Table1[[#This Row],[ProductID]],Products!A:A,Products!D:D,,0)</f>
        <v>120</v>
      </c>
      <c r="I3757">
        <v>599</v>
      </c>
      <c r="J3757">
        <v>539</v>
      </c>
      <c r="K3757" t="s">
        <v>1107</v>
      </c>
      <c r="L3757">
        <v>1617</v>
      </c>
      <c r="M3757" t="s">
        <v>1098</v>
      </c>
      <c r="N3757" t="s">
        <v>1123</v>
      </c>
      <c r="O3757">
        <f>Table1[[#This Row],[Unit_Price]]*Table1[[#This Row],[Quantity]]</f>
        <v>360</v>
      </c>
    </row>
    <row r="3758" spans="1:15" x14ac:dyDescent="0.3">
      <c r="A3758" t="s">
        <v>5579</v>
      </c>
      <c r="B3758" t="s">
        <v>2518</v>
      </c>
      <c r="C3758" t="s">
        <v>495</v>
      </c>
      <c r="D3758" t="s">
        <v>1078</v>
      </c>
      <c r="E3758">
        <v>1</v>
      </c>
      <c r="F3758">
        <f>_xlfn.XLOOKUP(Table1[[#This Row],[ProductID]],Products!A:A,Products!D:D,,0)</f>
        <v>80</v>
      </c>
      <c r="I3758">
        <v>499</v>
      </c>
      <c r="J3758">
        <v>499</v>
      </c>
      <c r="K3758" t="s">
        <v>1102</v>
      </c>
      <c r="L3758">
        <v>499</v>
      </c>
      <c r="M3758" t="s">
        <v>1093</v>
      </c>
      <c r="N3758" t="s">
        <v>1094</v>
      </c>
      <c r="O3758">
        <f>Table1[[#This Row],[Unit_Price]]*Table1[[#This Row],[Quantity]]</f>
        <v>80</v>
      </c>
    </row>
    <row r="3759" spans="1:15" x14ac:dyDescent="0.3">
      <c r="A3759" t="s">
        <v>5580</v>
      </c>
      <c r="B3759" t="s">
        <v>2389</v>
      </c>
      <c r="C3759" t="s">
        <v>575</v>
      </c>
      <c r="D3759" t="s">
        <v>1053</v>
      </c>
      <c r="E3759">
        <v>1</v>
      </c>
      <c r="F3759">
        <f>_xlfn.XLOOKUP(Table1[[#This Row],[ProductID]],Products!A:A,Products!D:D,,0)</f>
        <v>200</v>
      </c>
      <c r="I3759">
        <v>899</v>
      </c>
      <c r="J3759">
        <v>719</v>
      </c>
      <c r="K3759" t="s">
        <v>1097</v>
      </c>
      <c r="L3759">
        <v>719</v>
      </c>
      <c r="M3759" t="s">
        <v>1098</v>
      </c>
      <c r="N3759" t="s">
        <v>1099</v>
      </c>
      <c r="O3759">
        <f>Table1[[#This Row],[Unit_Price]]*Table1[[#This Row],[Quantity]]</f>
        <v>200</v>
      </c>
    </row>
    <row r="3760" spans="1:15" x14ac:dyDescent="0.3">
      <c r="A3760" t="s">
        <v>5581</v>
      </c>
      <c r="B3760" t="s">
        <v>1298</v>
      </c>
      <c r="C3760" t="s">
        <v>533</v>
      </c>
      <c r="D3760" t="s">
        <v>1055</v>
      </c>
      <c r="E3760">
        <v>2</v>
      </c>
      <c r="F3760">
        <f>_xlfn.XLOOKUP(Table1[[#This Row],[ProductID]],Products!A:A,Products!D:D,,0)</f>
        <v>75</v>
      </c>
      <c r="I3760">
        <v>299</v>
      </c>
      <c r="J3760">
        <v>269</v>
      </c>
      <c r="K3760" t="s">
        <v>1107</v>
      </c>
      <c r="L3760">
        <v>538</v>
      </c>
      <c r="M3760" t="s">
        <v>1098</v>
      </c>
      <c r="N3760" t="s">
        <v>1099</v>
      </c>
      <c r="O3760">
        <f>Table1[[#This Row],[Unit_Price]]*Table1[[#This Row],[Quantity]]</f>
        <v>150</v>
      </c>
    </row>
    <row r="3761" spans="1:15" x14ac:dyDescent="0.3">
      <c r="A3761" t="s">
        <v>5582</v>
      </c>
      <c r="B3761" t="s">
        <v>1985</v>
      </c>
      <c r="C3761" t="s">
        <v>104</v>
      </c>
      <c r="D3761" t="s">
        <v>1048</v>
      </c>
      <c r="E3761">
        <v>3</v>
      </c>
      <c r="F3761">
        <f>_xlfn.XLOOKUP(Table1[[#This Row],[ProductID]],Products!A:A,Products!D:D,,0)</f>
        <v>120</v>
      </c>
      <c r="I3761">
        <v>599</v>
      </c>
      <c r="J3761">
        <v>509</v>
      </c>
      <c r="K3761" t="s">
        <v>1092</v>
      </c>
      <c r="L3761">
        <v>1527</v>
      </c>
      <c r="M3761" t="s">
        <v>1093</v>
      </c>
      <c r="N3761" t="s">
        <v>1099</v>
      </c>
      <c r="O3761">
        <f>Table1[[#This Row],[Unit_Price]]*Table1[[#This Row],[Quantity]]</f>
        <v>360</v>
      </c>
    </row>
    <row r="3762" spans="1:15" x14ac:dyDescent="0.3">
      <c r="A3762" t="s">
        <v>5583</v>
      </c>
      <c r="B3762" t="s">
        <v>1507</v>
      </c>
      <c r="C3762" t="s">
        <v>703</v>
      </c>
      <c r="D3762" t="s">
        <v>1066</v>
      </c>
      <c r="E3762">
        <v>1</v>
      </c>
      <c r="F3762">
        <f>_xlfn.XLOOKUP(Table1[[#This Row],[ProductID]],Products!A:A,Products!D:D,,0)</f>
        <v>140</v>
      </c>
      <c r="I3762">
        <v>499</v>
      </c>
      <c r="J3762">
        <v>449</v>
      </c>
      <c r="K3762" t="s">
        <v>1107</v>
      </c>
      <c r="L3762">
        <v>449</v>
      </c>
      <c r="M3762" t="s">
        <v>1098</v>
      </c>
      <c r="N3762" t="s">
        <v>1099</v>
      </c>
      <c r="O3762">
        <f>Table1[[#This Row],[Unit_Price]]*Table1[[#This Row],[Quantity]]</f>
        <v>140</v>
      </c>
    </row>
    <row r="3763" spans="1:15" x14ac:dyDescent="0.3">
      <c r="A3763" t="s">
        <v>5584</v>
      </c>
      <c r="B3763" t="s">
        <v>2557</v>
      </c>
      <c r="C3763" t="s">
        <v>299</v>
      </c>
      <c r="D3763" t="s">
        <v>1059</v>
      </c>
      <c r="E3763">
        <v>1</v>
      </c>
      <c r="F3763">
        <f>_xlfn.XLOOKUP(Table1[[#This Row],[ProductID]],Products!A:A,Products!D:D,,0)</f>
        <v>110</v>
      </c>
      <c r="I3763">
        <v>399</v>
      </c>
      <c r="J3763">
        <v>359</v>
      </c>
      <c r="K3763" t="s">
        <v>1107</v>
      </c>
      <c r="L3763">
        <v>359</v>
      </c>
      <c r="M3763" t="s">
        <v>1098</v>
      </c>
      <c r="N3763" t="s">
        <v>1099</v>
      </c>
      <c r="O3763">
        <f>Table1[[#This Row],[Unit_Price]]*Table1[[#This Row],[Quantity]]</f>
        <v>110</v>
      </c>
    </row>
    <row r="3764" spans="1:15" x14ac:dyDescent="0.3">
      <c r="A3764" t="s">
        <v>5585</v>
      </c>
      <c r="B3764" t="s">
        <v>1232</v>
      </c>
      <c r="C3764" t="s">
        <v>715</v>
      </c>
      <c r="D3764" t="s">
        <v>1048</v>
      </c>
      <c r="E3764">
        <v>1</v>
      </c>
      <c r="F3764">
        <f>_xlfn.XLOOKUP(Table1[[#This Row],[ProductID]],Products!A:A,Products!D:D,,0)</f>
        <v>120</v>
      </c>
      <c r="I3764">
        <v>599</v>
      </c>
      <c r="J3764">
        <v>509</v>
      </c>
      <c r="K3764" t="s">
        <v>1092</v>
      </c>
      <c r="L3764">
        <v>509</v>
      </c>
      <c r="M3764" t="s">
        <v>1093</v>
      </c>
      <c r="N3764" t="s">
        <v>1094</v>
      </c>
      <c r="O3764">
        <f>Table1[[#This Row],[Unit_Price]]*Table1[[#This Row],[Quantity]]</f>
        <v>120</v>
      </c>
    </row>
    <row r="3765" spans="1:15" x14ac:dyDescent="0.3">
      <c r="A3765" t="s">
        <v>5586</v>
      </c>
      <c r="B3765" t="s">
        <v>1357</v>
      </c>
      <c r="C3765" t="s">
        <v>883</v>
      </c>
      <c r="D3765" t="s">
        <v>1071</v>
      </c>
      <c r="E3765">
        <v>1</v>
      </c>
      <c r="F3765">
        <f>_xlfn.XLOOKUP(Table1[[#This Row],[ProductID]],Products!A:A,Products!D:D,,0)</f>
        <v>125</v>
      </c>
      <c r="I3765">
        <v>399</v>
      </c>
      <c r="J3765">
        <v>319</v>
      </c>
      <c r="K3765" t="s">
        <v>1097</v>
      </c>
      <c r="L3765">
        <v>319</v>
      </c>
      <c r="M3765" t="s">
        <v>1118</v>
      </c>
      <c r="N3765" t="s">
        <v>1099</v>
      </c>
      <c r="O3765">
        <f>Table1[[#This Row],[Unit_Price]]*Table1[[#This Row],[Quantity]]</f>
        <v>125</v>
      </c>
    </row>
    <row r="3766" spans="1:15" x14ac:dyDescent="0.3">
      <c r="A3766" t="s">
        <v>5587</v>
      </c>
      <c r="B3766" t="s">
        <v>1529</v>
      </c>
      <c r="C3766" t="s">
        <v>473</v>
      </c>
      <c r="D3766" t="s">
        <v>1071</v>
      </c>
      <c r="E3766">
        <v>3</v>
      </c>
      <c r="F3766">
        <f>_xlfn.XLOOKUP(Table1[[#This Row],[ProductID]],Products!A:A,Products!D:D,,0)</f>
        <v>125</v>
      </c>
      <c r="I3766">
        <v>399</v>
      </c>
      <c r="J3766">
        <v>399</v>
      </c>
      <c r="K3766" t="s">
        <v>1102</v>
      </c>
      <c r="L3766">
        <v>1197</v>
      </c>
      <c r="M3766" t="s">
        <v>1093</v>
      </c>
      <c r="N3766" t="s">
        <v>1123</v>
      </c>
      <c r="O3766">
        <f>Table1[[#This Row],[Unit_Price]]*Table1[[#This Row],[Quantity]]</f>
        <v>375</v>
      </c>
    </row>
    <row r="3767" spans="1:15" x14ac:dyDescent="0.3">
      <c r="A3767" t="s">
        <v>5588</v>
      </c>
      <c r="B3767" t="s">
        <v>4376</v>
      </c>
      <c r="C3767" t="s">
        <v>857</v>
      </c>
      <c r="D3767" t="s">
        <v>1073</v>
      </c>
      <c r="E3767">
        <v>1</v>
      </c>
      <c r="F3767">
        <f>_xlfn.XLOOKUP(Table1[[#This Row],[ProductID]],Products!A:A,Products!D:D,,0)</f>
        <v>100</v>
      </c>
      <c r="I3767">
        <v>349</v>
      </c>
      <c r="J3767">
        <v>297</v>
      </c>
      <c r="K3767" t="s">
        <v>1092</v>
      </c>
      <c r="L3767">
        <v>297</v>
      </c>
      <c r="M3767" t="s">
        <v>1098</v>
      </c>
      <c r="N3767" t="s">
        <v>1099</v>
      </c>
      <c r="O3767">
        <f>Table1[[#This Row],[Unit_Price]]*Table1[[#This Row],[Quantity]]</f>
        <v>100</v>
      </c>
    </row>
    <row r="3768" spans="1:15" x14ac:dyDescent="0.3">
      <c r="A3768" t="s">
        <v>5589</v>
      </c>
      <c r="B3768" t="s">
        <v>1281</v>
      </c>
      <c r="C3768" t="s">
        <v>357</v>
      </c>
      <c r="D3768" t="s">
        <v>1066</v>
      </c>
      <c r="E3768">
        <v>1</v>
      </c>
      <c r="F3768">
        <f>_xlfn.XLOOKUP(Table1[[#This Row],[ProductID]],Products!A:A,Products!D:D,,0)</f>
        <v>140</v>
      </c>
      <c r="I3768">
        <v>499</v>
      </c>
      <c r="J3768">
        <v>449</v>
      </c>
      <c r="K3768" t="s">
        <v>1107</v>
      </c>
      <c r="L3768">
        <v>449</v>
      </c>
      <c r="M3768" t="s">
        <v>1098</v>
      </c>
      <c r="N3768" t="s">
        <v>1099</v>
      </c>
      <c r="O3768">
        <f>Table1[[#This Row],[Unit_Price]]*Table1[[#This Row],[Quantity]]</f>
        <v>140</v>
      </c>
    </row>
    <row r="3769" spans="1:15" x14ac:dyDescent="0.3">
      <c r="A3769" t="s">
        <v>5590</v>
      </c>
      <c r="B3769" t="s">
        <v>1186</v>
      </c>
      <c r="C3769" t="s">
        <v>275</v>
      </c>
      <c r="D3769" t="s">
        <v>1062</v>
      </c>
      <c r="E3769">
        <v>3</v>
      </c>
      <c r="F3769">
        <f>_xlfn.XLOOKUP(Table1[[#This Row],[ProductID]],Products!A:A,Products!D:D,,0)</f>
        <v>95</v>
      </c>
      <c r="I3769">
        <v>349</v>
      </c>
      <c r="J3769">
        <v>349</v>
      </c>
      <c r="K3769" t="s">
        <v>1102</v>
      </c>
      <c r="L3769">
        <v>1047</v>
      </c>
      <c r="M3769" t="s">
        <v>1098</v>
      </c>
      <c r="N3769" t="s">
        <v>1099</v>
      </c>
      <c r="O3769">
        <f>Table1[[#This Row],[Unit_Price]]*Table1[[#This Row],[Quantity]]</f>
        <v>285</v>
      </c>
    </row>
    <row r="3770" spans="1:15" x14ac:dyDescent="0.3">
      <c r="A3770" t="s">
        <v>5591</v>
      </c>
      <c r="B3770" t="s">
        <v>1935</v>
      </c>
      <c r="C3770" t="s">
        <v>295</v>
      </c>
      <c r="D3770" t="s">
        <v>1080</v>
      </c>
      <c r="E3770">
        <v>1</v>
      </c>
      <c r="F3770">
        <f>_xlfn.XLOOKUP(Table1[[#This Row],[ProductID]],Products!A:A,Products!D:D,,0)</f>
        <v>45</v>
      </c>
      <c r="I3770">
        <v>249</v>
      </c>
      <c r="J3770">
        <v>249</v>
      </c>
      <c r="K3770" t="s">
        <v>1102</v>
      </c>
      <c r="L3770">
        <v>249</v>
      </c>
      <c r="M3770" t="s">
        <v>1098</v>
      </c>
      <c r="N3770" t="s">
        <v>1099</v>
      </c>
      <c r="O3770">
        <f>Table1[[#This Row],[Unit_Price]]*Table1[[#This Row],[Quantity]]</f>
        <v>45</v>
      </c>
    </row>
    <row r="3771" spans="1:15" x14ac:dyDescent="0.3">
      <c r="A3771" t="s">
        <v>5592</v>
      </c>
      <c r="B3771" t="s">
        <v>2526</v>
      </c>
      <c r="C3771" t="s">
        <v>343</v>
      </c>
      <c r="D3771" t="s">
        <v>1075</v>
      </c>
      <c r="E3771">
        <v>3</v>
      </c>
      <c r="F3771">
        <f>_xlfn.XLOOKUP(Table1[[#This Row],[ProductID]],Products!A:A,Products!D:D,,0)</f>
        <v>80</v>
      </c>
      <c r="I3771">
        <v>499</v>
      </c>
      <c r="J3771">
        <v>499</v>
      </c>
      <c r="K3771" t="s">
        <v>1102</v>
      </c>
      <c r="L3771">
        <v>1497</v>
      </c>
      <c r="M3771" t="s">
        <v>1098</v>
      </c>
      <c r="N3771" t="s">
        <v>1099</v>
      </c>
      <c r="O3771">
        <f>Table1[[#This Row],[Unit_Price]]*Table1[[#This Row],[Quantity]]</f>
        <v>240</v>
      </c>
    </row>
    <row r="3772" spans="1:15" x14ac:dyDescent="0.3">
      <c r="A3772" t="s">
        <v>5593</v>
      </c>
      <c r="B3772" t="s">
        <v>1990</v>
      </c>
      <c r="C3772" t="s">
        <v>715</v>
      </c>
      <c r="D3772" t="s">
        <v>1071</v>
      </c>
      <c r="E3772">
        <v>2</v>
      </c>
      <c r="F3772">
        <f>_xlfn.XLOOKUP(Table1[[#This Row],[ProductID]],Products!A:A,Products!D:D,,0)</f>
        <v>125</v>
      </c>
      <c r="I3772">
        <v>399</v>
      </c>
      <c r="J3772">
        <v>339</v>
      </c>
      <c r="K3772" t="s">
        <v>1092</v>
      </c>
      <c r="L3772">
        <v>678</v>
      </c>
      <c r="M3772" t="s">
        <v>1098</v>
      </c>
      <c r="N3772" t="s">
        <v>1099</v>
      </c>
      <c r="O3772">
        <f>Table1[[#This Row],[Unit_Price]]*Table1[[#This Row],[Quantity]]</f>
        <v>250</v>
      </c>
    </row>
    <row r="3773" spans="1:15" x14ac:dyDescent="0.3">
      <c r="A3773" t="s">
        <v>5594</v>
      </c>
      <c r="B3773" t="s">
        <v>1190</v>
      </c>
      <c r="C3773" t="s">
        <v>197</v>
      </c>
      <c r="D3773" t="s">
        <v>1066</v>
      </c>
      <c r="E3773">
        <v>2</v>
      </c>
      <c r="F3773">
        <f>_xlfn.XLOOKUP(Table1[[#This Row],[ProductID]],Products!A:A,Products!D:D,,0)</f>
        <v>140</v>
      </c>
      <c r="I3773">
        <v>499</v>
      </c>
      <c r="J3773">
        <v>399</v>
      </c>
      <c r="K3773" t="s">
        <v>1097</v>
      </c>
      <c r="L3773">
        <v>798</v>
      </c>
      <c r="M3773" t="s">
        <v>1093</v>
      </c>
      <c r="N3773" t="s">
        <v>1094</v>
      </c>
      <c r="O3773">
        <f>Table1[[#This Row],[Unit_Price]]*Table1[[#This Row],[Quantity]]</f>
        <v>280</v>
      </c>
    </row>
    <row r="3774" spans="1:15" x14ac:dyDescent="0.3">
      <c r="A3774" t="s">
        <v>5595</v>
      </c>
      <c r="B3774" t="s">
        <v>2347</v>
      </c>
      <c r="C3774" t="s">
        <v>177</v>
      </c>
      <c r="D3774" t="s">
        <v>1064</v>
      </c>
      <c r="E3774">
        <v>1</v>
      </c>
      <c r="F3774">
        <f>_xlfn.XLOOKUP(Table1[[#This Row],[ProductID]],Products!A:A,Products!D:D,,0)</f>
        <v>160</v>
      </c>
      <c r="I3774">
        <v>699</v>
      </c>
      <c r="J3774">
        <v>594</v>
      </c>
      <c r="K3774" t="s">
        <v>1092</v>
      </c>
      <c r="L3774">
        <v>594</v>
      </c>
      <c r="M3774" t="s">
        <v>1098</v>
      </c>
      <c r="N3774" t="s">
        <v>1099</v>
      </c>
      <c r="O3774">
        <f>Table1[[#This Row],[Unit_Price]]*Table1[[#This Row],[Quantity]]</f>
        <v>160</v>
      </c>
    </row>
    <row r="3775" spans="1:15" x14ac:dyDescent="0.3">
      <c r="A3775" t="s">
        <v>5596</v>
      </c>
      <c r="B3775" t="s">
        <v>1730</v>
      </c>
      <c r="C3775" t="s">
        <v>162</v>
      </c>
      <c r="D3775" t="s">
        <v>1078</v>
      </c>
      <c r="E3775">
        <v>2</v>
      </c>
      <c r="F3775">
        <f>_xlfn.XLOOKUP(Table1[[#This Row],[ProductID]],Products!A:A,Products!D:D,,0)</f>
        <v>80</v>
      </c>
      <c r="I3775">
        <v>499</v>
      </c>
      <c r="J3775">
        <v>499</v>
      </c>
      <c r="K3775" t="s">
        <v>1102</v>
      </c>
      <c r="L3775">
        <v>998</v>
      </c>
      <c r="M3775" t="s">
        <v>1093</v>
      </c>
      <c r="N3775" t="s">
        <v>1099</v>
      </c>
      <c r="O3775">
        <f>Table1[[#This Row],[Unit_Price]]*Table1[[#This Row],[Quantity]]</f>
        <v>160</v>
      </c>
    </row>
    <row r="3776" spans="1:15" x14ac:dyDescent="0.3">
      <c r="A3776" t="s">
        <v>5597</v>
      </c>
      <c r="B3776" t="s">
        <v>3077</v>
      </c>
      <c r="C3776" t="s">
        <v>771</v>
      </c>
      <c r="D3776" t="s">
        <v>1051</v>
      </c>
      <c r="E3776">
        <v>1</v>
      </c>
      <c r="F3776">
        <f>_xlfn.XLOOKUP(Table1[[#This Row],[ProductID]],Products!A:A,Products!D:D,,0)</f>
        <v>150</v>
      </c>
      <c r="I3776">
        <v>499</v>
      </c>
      <c r="J3776">
        <v>449</v>
      </c>
      <c r="K3776" t="s">
        <v>1107</v>
      </c>
      <c r="L3776">
        <v>449</v>
      </c>
      <c r="M3776" t="s">
        <v>1126</v>
      </c>
      <c r="N3776" t="s">
        <v>1099</v>
      </c>
      <c r="O3776">
        <f>Table1[[#This Row],[Unit_Price]]*Table1[[#This Row],[Quantity]]</f>
        <v>150</v>
      </c>
    </row>
    <row r="3777" spans="1:15" x14ac:dyDescent="0.3">
      <c r="A3777" t="s">
        <v>5598</v>
      </c>
      <c r="B3777" t="s">
        <v>2477</v>
      </c>
      <c r="C3777" t="s">
        <v>445</v>
      </c>
      <c r="D3777" t="s">
        <v>1064</v>
      </c>
      <c r="E3777">
        <v>1</v>
      </c>
      <c r="F3777">
        <f>_xlfn.XLOOKUP(Table1[[#This Row],[ProductID]],Products!A:A,Products!D:D,,0)</f>
        <v>160</v>
      </c>
      <c r="I3777">
        <v>699</v>
      </c>
      <c r="J3777">
        <v>629</v>
      </c>
      <c r="K3777" t="s">
        <v>1107</v>
      </c>
      <c r="L3777">
        <v>629</v>
      </c>
      <c r="M3777" t="s">
        <v>1098</v>
      </c>
      <c r="N3777" t="s">
        <v>1099</v>
      </c>
      <c r="O3777">
        <f>Table1[[#This Row],[Unit_Price]]*Table1[[#This Row],[Quantity]]</f>
        <v>160</v>
      </c>
    </row>
    <row r="3778" spans="1:15" x14ac:dyDescent="0.3">
      <c r="A3778" t="s">
        <v>5599</v>
      </c>
      <c r="B3778" t="s">
        <v>1664</v>
      </c>
      <c r="C3778" t="s">
        <v>565</v>
      </c>
      <c r="D3778" t="s">
        <v>1071</v>
      </c>
      <c r="E3778">
        <v>1</v>
      </c>
      <c r="F3778">
        <f>_xlfn.XLOOKUP(Table1[[#This Row],[ProductID]],Products!A:A,Products!D:D,,0)</f>
        <v>125</v>
      </c>
      <c r="I3778">
        <v>399</v>
      </c>
      <c r="J3778">
        <v>319</v>
      </c>
      <c r="K3778" t="s">
        <v>1097</v>
      </c>
      <c r="L3778">
        <v>319</v>
      </c>
      <c r="M3778" t="s">
        <v>1098</v>
      </c>
      <c r="N3778" t="s">
        <v>1099</v>
      </c>
      <c r="O3778">
        <f>Table1[[#This Row],[Unit_Price]]*Table1[[#This Row],[Quantity]]</f>
        <v>125</v>
      </c>
    </row>
    <row r="3779" spans="1:15" x14ac:dyDescent="0.3">
      <c r="A3779" t="s">
        <v>5600</v>
      </c>
      <c r="B3779" t="s">
        <v>1294</v>
      </c>
      <c r="C3779" t="s">
        <v>47</v>
      </c>
      <c r="D3779" t="s">
        <v>1075</v>
      </c>
      <c r="E3779">
        <v>1</v>
      </c>
      <c r="F3779">
        <f>_xlfn.XLOOKUP(Table1[[#This Row],[ProductID]],Products!A:A,Products!D:D,,0)</f>
        <v>80</v>
      </c>
      <c r="I3779">
        <v>499</v>
      </c>
      <c r="J3779">
        <v>499</v>
      </c>
      <c r="K3779" t="s">
        <v>1102</v>
      </c>
      <c r="L3779">
        <v>499</v>
      </c>
      <c r="M3779" t="s">
        <v>1126</v>
      </c>
      <c r="N3779" t="s">
        <v>1094</v>
      </c>
      <c r="O3779">
        <f>Table1[[#This Row],[Unit_Price]]*Table1[[#This Row],[Quantity]]</f>
        <v>80</v>
      </c>
    </row>
    <row r="3780" spans="1:15" x14ac:dyDescent="0.3">
      <c r="A3780" t="s">
        <v>5601</v>
      </c>
      <c r="B3780" t="s">
        <v>2397</v>
      </c>
      <c r="C3780" t="s">
        <v>739</v>
      </c>
      <c r="D3780" t="s">
        <v>1075</v>
      </c>
      <c r="E3780">
        <v>1</v>
      </c>
      <c r="F3780">
        <f>_xlfn.XLOOKUP(Table1[[#This Row],[ProductID]],Products!A:A,Products!D:D,,0)</f>
        <v>80</v>
      </c>
      <c r="I3780">
        <v>499</v>
      </c>
      <c r="J3780">
        <v>449</v>
      </c>
      <c r="K3780" t="s">
        <v>1107</v>
      </c>
      <c r="L3780">
        <v>449</v>
      </c>
      <c r="M3780" t="s">
        <v>1126</v>
      </c>
      <c r="N3780" t="s">
        <v>1099</v>
      </c>
      <c r="O3780">
        <f>Table1[[#This Row],[Unit_Price]]*Table1[[#This Row],[Quantity]]</f>
        <v>80</v>
      </c>
    </row>
    <row r="3781" spans="1:15" x14ac:dyDescent="0.3">
      <c r="A3781" t="s">
        <v>5602</v>
      </c>
      <c r="B3781" t="s">
        <v>1106</v>
      </c>
      <c r="C3781" t="s">
        <v>381</v>
      </c>
      <c r="D3781" t="s">
        <v>1080</v>
      </c>
      <c r="E3781">
        <v>1</v>
      </c>
      <c r="F3781">
        <f>_xlfn.XLOOKUP(Table1[[#This Row],[ProductID]],Products!A:A,Products!D:D,,0)</f>
        <v>45</v>
      </c>
      <c r="I3781">
        <v>249</v>
      </c>
      <c r="J3781">
        <v>212</v>
      </c>
      <c r="K3781" t="s">
        <v>1092</v>
      </c>
      <c r="L3781">
        <v>212</v>
      </c>
      <c r="M3781" t="s">
        <v>1093</v>
      </c>
      <c r="N3781" t="s">
        <v>1099</v>
      </c>
      <c r="O3781">
        <f>Table1[[#This Row],[Unit_Price]]*Table1[[#This Row],[Quantity]]</f>
        <v>45</v>
      </c>
    </row>
    <row r="3782" spans="1:15" x14ac:dyDescent="0.3">
      <c r="A3782" t="s">
        <v>5603</v>
      </c>
      <c r="B3782" t="s">
        <v>3210</v>
      </c>
      <c r="C3782" t="s">
        <v>1013</v>
      </c>
      <c r="D3782" t="s">
        <v>1073</v>
      </c>
      <c r="E3782">
        <v>1</v>
      </c>
      <c r="F3782">
        <f>_xlfn.XLOOKUP(Table1[[#This Row],[ProductID]],Products!A:A,Products!D:D,,0)</f>
        <v>100</v>
      </c>
      <c r="I3782">
        <v>349</v>
      </c>
      <c r="J3782">
        <v>297</v>
      </c>
      <c r="K3782" t="s">
        <v>1092</v>
      </c>
      <c r="L3782">
        <v>297</v>
      </c>
      <c r="M3782" t="s">
        <v>1126</v>
      </c>
      <c r="N3782" t="s">
        <v>1099</v>
      </c>
      <c r="O3782">
        <f>Table1[[#This Row],[Unit_Price]]*Table1[[#This Row],[Quantity]]</f>
        <v>100</v>
      </c>
    </row>
    <row r="3783" spans="1:15" x14ac:dyDescent="0.3">
      <c r="A3783" t="s">
        <v>5604</v>
      </c>
      <c r="B3783" t="s">
        <v>2557</v>
      </c>
      <c r="C3783" t="s">
        <v>733</v>
      </c>
      <c r="D3783" t="s">
        <v>1080</v>
      </c>
      <c r="E3783">
        <v>4</v>
      </c>
      <c r="F3783">
        <f>_xlfn.XLOOKUP(Table1[[#This Row],[ProductID]],Products!A:A,Products!D:D,,0)</f>
        <v>45</v>
      </c>
      <c r="I3783">
        <v>249</v>
      </c>
      <c r="J3783">
        <v>224</v>
      </c>
      <c r="K3783" t="s">
        <v>1107</v>
      </c>
      <c r="L3783">
        <v>896</v>
      </c>
      <c r="M3783" t="s">
        <v>1093</v>
      </c>
      <c r="N3783" t="s">
        <v>1099</v>
      </c>
      <c r="O3783">
        <f>Table1[[#This Row],[Unit_Price]]*Table1[[#This Row],[Quantity]]</f>
        <v>180</v>
      </c>
    </row>
    <row r="3784" spans="1:15" x14ac:dyDescent="0.3">
      <c r="A3784" t="s">
        <v>5605</v>
      </c>
      <c r="B3784" t="s">
        <v>1572</v>
      </c>
      <c r="C3784" t="s">
        <v>837</v>
      </c>
      <c r="D3784" t="s">
        <v>1068</v>
      </c>
      <c r="E3784">
        <v>1</v>
      </c>
      <c r="F3784">
        <f>_xlfn.XLOOKUP(Table1[[#This Row],[ProductID]],Products!A:A,Products!D:D,,0)</f>
        <v>180</v>
      </c>
      <c r="I3784">
        <v>449</v>
      </c>
      <c r="J3784">
        <v>359</v>
      </c>
      <c r="K3784" t="s">
        <v>1097</v>
      </c>
      <c r="L3784">
        <v>359</v>
      </c>
      <c r="M3784" t="s">
        <v>1093</v>
      </c>
      <c r="N3784" t="s">
        <v>1099</v>
      </c>
      <c r="O3784">
        <f>Table1[[#This Row],[Unit_Price]]*Table1[[#This Row],[Quantity]]</f>
        <v>180</v>
      </c>
    </row>
    <row r="3785" spans="1:15" x14ac:dyDescent="0.3">
      <c r="A3785" t="s">
        <v>5606</v>
      </c>
      <c r="B3785" t="s">
        <v>3952</v>
      </c>
      <c r="C3785" t="s">
        <v>265</v>
      </c>
      <c r="D3785" t="s">
        <v>1078</v>
      </c>
      <c r="E3785">
        <v>1</v>
      </c>
      <c r="F3785">
        <f>_xlfn.XLOOKUP(Table1[[#This Row],[ProductID]],Products!A:A,Products!D:D,,0)</f>
        <v>80</v>
      </c>
      <c r="I3785">
        <v>499</v>
      </c>
      <c r="J3785">
        <v>499</v>
      </c>
      <c r="K3785" t="s">
        <v>1102</v>
      </c>
      <c r="L3785">
        <v>499</v>
      </c>
      <c r="M3785" t="s">
        <v>1093</v>
      </c>
      <c r="N3785" t="s">
        <v>1094</v>
      </c>
      <c r="O3785">
        <f>Table1[[#This Row],[Unit_Price]]*Table1[[#This Row],[Quantity]]</f>
        <v>80</v>
      </c>
    </row>
    <row r="3786" spans="1:15" x14ac:dyDescent="0.3">
      <c r="A3786" t="s">
        <v>5607</v>
      </c>
      <c r="B3786" t="s">
        <v>2664</v>
      </c>
      <c r="C3786" t="s">
        <v>243</v>
      </c>
      <c r="D3786" t="s">
        <v>1078</v>
      </c>
      <c r="E3786">
        <v>3</v>
      </c>
      <c r="F3786">
        <f>_xlfn.XLOOKUP(Table1[[#This Row],[ProductID]],Products!A:A,Products!D:D,,0)</f>
        <v>80</v>
      </c>
      <c r="I3786">
        <v>499</v>
      </c>
      <c r="J3786">
        <v>399</v>
      </c>
      <c r="K3786" t="s">
        <v>1097</v>
      </c>
      <c r="L3786">
        <v>1197</v>
      </c>
      <c r="M3786" t="s">
        <v>1098</v>
      </c>
      <c r="N3786" t="s">
        <v>1099</v>
      </c>
      <c r="O3786">
        <f>Table1[[#This Row],[Unit_Price]]*Table1[[#This Row],[Quantity]]</f>
        <v>240</v>
      </c>
    </row>
    <row r="3787" spans="1:15" x14ac:dyDescent="0.3">
      <c r="A3787" t="s">
        <v>5608</v>
      </c>
      <c r="B3787" t="s">
        <v>1507</v>
      </c>
      <c r="C3787" t="s">
        <v>145</v>
      </c>
      <c r="D3787" t="s">
        <v>1059</v>
      </c>
      <c r="E3787">
        <v>1</v>
      </c>
      <c r="F3787">
        <f>_xlfn.XLOOKUP(Table1[[#This Row],[ProductID]],Products!A:A,Products!D:D,,0)</f>
        <v>110</v>
      </c>
      <c r="I3787">
        <v>399</v>
      </c>
      <c r="J3787">
        <v>319</v>
      </c>
      <c r="K3787" t="s">
        <v>1097</v>
      </c>
      <c r="L3787">
        <v>319</v>
      </c>
      <c r="M3787" t="s">
        <v>1098</v>
      </c>
      <c r="N3787" t="s">
        <v>1123</v>
      </c>
      <c r="O3787">
        <f>Table1[[#This Row],[Unit_Price]]*Table1[[#This Row],[Quantity]]</f>
        <v>110</v>
      </c>
    </row>
    <row r="3788" spans="1:15" x14ac:dyDescent="0.3">
      <c r="A3788" t="s">
        <v>5609</v>
      </c>
      <c r="B3788" t="s">
        <v>1717</v>
      </c>
      <c r="C3788" t="s">
        <v>837</v>
      </c>
      <c r="D3788" t="s">
        <v>1075</v>
      </c>
      <c r="E3788">
        <v>1</v>
      </c>
      <c r="F3788">
        <f>_xlfn.XLOOKUP(Table1[[#This Row],[ProductID]],Products!A:A,Products!D:D,,0)</f>
        <v>80</v>
      </c>
      <c r="I3788">
        <v>499</v>
      </c>
      <c r="J3788">
        <v>449</v>
      </c>
      <c r="K3788" t="s">
        <v>1107</v>
      </c>
      <c r="L3788">
        <v>449</v>
      </c>
      <c r="M3788" t="s">
        <v>1093</v>
      </c>
      <c r="N3788" t="s">
        <v>1099</v>
      </c>
      <c r="O3788">
        <f>Table1[[#This Row],[Unit_Price]]*Table1[[#This Row],[Quantity]]</f>
        <v>80</v>
      </c>
    </row>
    <row r="3789" spans="1:15" x14ac:dyDescent="0.3">
      <c r="A3789" t="s">
        <v>5610</v>
      </c>
      <c r="B3789" t="s">
        <v>2438</v>
      </c>
      <c r="C3789" t="s">
        <v>239</v>
      </c>
      <c r="D3789" t="s">
        <v>1053</v>
      </c>
      <c r="E3789">
        <v>1</v>
      </c>
      <c r="F3789">
        <f>_xlfn.XLOOKUP(Table1[[#This Row],[ProductID]],Products!A:A,Products!D:D,,0)</f>
        <v>200</v>
      </c>
      <c r="I3789">
        <v>899</v>
      </c>
      <c r="J3789">
        <v>719</v>
      </c>
      <c r="K3789" t="s">
        <v>1097</v>
      </c>
      <c r="L3789">
        <v>719</v>
      </c>
      <c r="M3789" t="s">
        <v>1098</v>
      </c>
      <c r="N3789" t="s">
        <v>1099</v>
      </c>
      <c r="O3789">
        <f>Table1[[#This Row],[Unit_Price]]*Table1[[#This Row],[Quantity]]</f>
        <v>200</v>
      </c>
    </row>
    <row r="3790" spans="1:15" x14ac:dyDescent="0.3">
      <c r="A3790" t="s">
        <v>5611</v>
      </c>
      <c r="B3790" t="s">
        <v>1412</v>
      </c>
      <c r="C3790" t="s">
        <v>553</v>
      </c>
      <c r="D3790" t="s">
        <v>1057</v>
      </c>
      <c r="E3790">
        <v>3</v>
      </c>
      <c r="F3790">
        <f>_xlfn.XLOOKUP(Table1[[#This Row],[ProductID]],Products!A:A,Products!D:D,,0)</f>
        <v>130</v>
      </c>
      <c r="I3790">
        <v>549</v>
      </c>
      <c r="J3790">
        <v>467</v>
      </c>
      <c r="K3790" t="s">
        <v>1092</v>
      </c>
      <c r="L3790">
        <v>1401</v>
      </c>
      <c r="M3790" t="s">
        <v>1098</v>
      </c>
      <c r="N3790" t="s">
        <v>1099</v>
      </c>
      <c r="O3790">
        <f>Table1[[#This Row],[Unit_Price]]*Table1[[#This Row],[Quantity]]</f>
        <v>390</v>
      </c>
    </row>
    <row r="3791" spans="1:15" x14ac:dyDescent="0.3">
      <c r="A3791" t="s">
        <v>5612</v>
      </c>
      <c r="B3791" t="s">
        <v>1953</v>
      </c>
      <c r="C3791" t="s">
        <v>487</v>
      </c>
      <c r="D3791" t="s">
        <v>1068</v>
      </c>
      <c r="E3791">
        <v>1</v>
      </c>
      <c r="F3791">
        <f>_xlfn.XLOOKUP(Table1[[#This Row],[ProductID]],Products!A:A,Products!D:D,,0)</f>
        <v>180</v>
      </c>
      <c r="I3791">
        <v>449</v>
      </c>
      <c r="J3791">
        <v>404</v>
      </c>
      <c r="K3791" t="s">
        <v>1107</v>
      </c>
      <c r="L3791">
        <v>404</v>
      </c>
      <c r="M3791" t="s">
        <v>1126</v>
      </c>
      <c r="N3791" t="s">
        <v>1099</v>
      </c>
      <c r="O3791">
        <f>Table1[[#This Row],[Unit_Price]]*Table1[[#This Row],[Quantity]]</f>
        <v>180</v>
      </c>
    </row>
    <row r="3792" spans="1:15" x14ac:dyDescent="0.3">
      <c r="A3792" t="s">
        <v>5613</v>
      </c>
      <c r="B3792" t="s">
        <v>1956</v>
      </c>
      <c r="C3792" t="s">
        <v>148</v>
      </c>
      <c r="D3792" t="s">
        <v>1066</v>
      </c>
      <c r="E3792">
        <v>2</v>
      </c>
      <c r="F3792">
        <f>_xlfn.XLOOKUP(Table1[[#This Row],[ProductID]],Products!A:A,Products!D:D,,0)</f>
        <v>140</v>
      </c>
      <c r="I3792">
        <v>499</v>
      </c>
      <c r="J3792">
        <v>499</v>
      </c>
      <c r="K3792" t="s">
        <v>1102</v>
      </c>
      <c r="L3792">
        <v>998</v>
      </c>
      <c r="M3792" t="s">
        <v>1093</v>
      </c>
      <c r="N3792" t="s">
        <v>1099</v>
      </c>
      <c r="O3792">
        <f>Table1[[#This Row],[Unit_Price]]*Table1[[#This Row],[Quantity]]</f>
        <v>280</v>
      </c>
    </row>
    <row r="3793" spans="1:15" x14ac:dyDescent="0.3">
      <c r="A3793" t="s">
        <v>5614</v>
      </c>
      <c r="B3793" t="s">
        <v>4090</v>
      </c>
      <c r="C3793" t="s">
        <v>977</v>
      </c>
      <c r="D3793" t="s">
        <v>1057</v>
      </c>
      <c r="E3793">
        <v>1</v>
      </c>
      <c r="F3793">
        <f>_xlfn.XLOOKUP(Table1[[#This Row],[ProductID]],Products!A:A,Products!D:D,,0)</f>
        <v>130</v>
      </c>
      <c r="I3793">
        <v>549</v>
      </c>
      <c r="J3793">
        <v>549</v>
      </c>
      <c r="K3793" t="s">
        <v>1102</v>
      </c>
      <c r="L3793">
        <v>549</v>
      </c>
      <c r="M3793" t="s">
        <v>1098</v>
      </c>
      <c r="N3793" t="s">
        <v>1123</v>
      </c>
      <c r="O3793">
        <f>Table1[[#This Row],[Unit_Price]]*Table1[[#This Row],[Quantity]]</f>
        <v>130</v>
      </c>
    </row>
    <row r="3794" spans="1:15" x14ac:dyDescent="0.3">
      <c r="A3794" t="s">
        <v>5615</v>
      </c>
      <c r="B3794" t="s">
        <v>1692</v>
      </c>
      <c r="C3794" t="s">
        <v>731</v>
      </c>
      <c r="D3794" t="s">
        <v>1078</v>
      </c>
      <c r="E3794">
        <v>4</v>
      </c>
      <c r="F3794">
        <f>_xlfn.XLOOKUP(Table1[[#This Row],[ProductID]],Products!A:A,Products!D:D,,0)</f>
        <v>80</v>
      </c>
      <c r="I3794">
        <v>499</v>
      </c>
      <c r="J3794">
        <v>499</v>
      </c>
      <c r="K3794" t="s">
        <v>1102</v>
      </c>
      <c r="L3794">
        <v>1996</v>
      </c>
      <c r="M3794" t="s">
        <v>1093</v>
      </c>
      <c r="N3794" t="s">
        <v>1094</v>
      </c>
      <c r="O3794">
        <f>Table1[[#This Row],[Unit_Price]]*Table1[[#This Row],[Quantity]]</f>
        <v>320</v>
      </c>
    </row>
    <row r="3795" spans="1:15" x14ac:dyDescent="0.3">
      <c r="A3795" t="s">
        <v>5616</v>
      </c>
      <c r="B3795" t="s">
        <v>4501</v>
      </c>
      <c r="C3795" t="s">
        <v>134</v>
      </c>
      <c r="D3795" t="s">
        <v>1066</v>
      </c>
      <c r="E3795">
        <v>3</v>
      </c>
      <c r="F3795">
        <f>_xlfn.XLOOKUP(Table1[[#This Row],[ProductID]],Products!A:A,Products!D:D,,0)</f>
        <v>140</v>
      </c>
      <c r="I3795">
        <v>499</v>
      </c>
      <c r="J3795">
        <v>449</v>
      </c>
      <c r="K3795" t="s">
        <v>1107</v>
      </c>
      <c r="L3795">
        <v>1347</v>
      </c>
      <c r="M3795" t="s">
        <v>1093</v>
      </c>
      <c r="N3795" t="s">
        <v>1099</v>
      </c>
      <c r="O3795">
        <f>Table1[[#This Row],[Unit_Price]]*Table1[[#This Row],[Quantity]]</f>
        <v>420</v>
      </c>
    </row>
    <row r="3796" spans="1:15" x14ac:dyDescent="0.3">
      <c r="A3796" t="s">
        <v>5617</v>
      </c>
      <c r="B3796" t="s">
        <v>2441</v>
      </c>
      <c r="C3796" t="s">
        <v>269</v>
      </c>
      <c r="D3796" t="s">
        <v>1073</v>
      </c>
      <c r="E3796">
        <v>1</v>
      </c>
      <c r="F3796">
        <f>_xlfn.XLOOKUP(Table1[[#This Row],[ProductID]],Products!A:A,Products!D:D,,0)</f>
        <v>100</v>
      </c>
      <c r="I3796">
        <v>349</v>
      </c>
      <c r="J3796">
        <v>349</v>
      </c>
      <c r="K3796" t="s">
        <v>1102</v>
      </c>
      <c r="L3796">
        <v>349</v>
      </c>
      <c r="M3796" t="s">
        <v>1093</v>
      </c>
      <c r="N3796" t="s">
        <v>1099</v>
      </c>
      <c r="O3796">
        <f>Table1[[#This Row],[Unit_Price]]*Table1[[#This Row],[Quantity]]</f>
        <v>100</v>
      </c>
    </row>
    <row r="3797" spans="1:15" x14ac:dyDescent="0.3">
      <c r="A3797" t="s">
        <v>5618</v>
      </c>
      <c r="B3797" t="s">
        <v>1681</v>
      </c>
      <c r="C3797" t="s">
        <v>409</v>
      </c>
      <c r="D3797" t="s">
        <v>1073</v>
      </c>
      <c r="E3797">
        <v>1</v>
      </c>
      <c r="F3797">
        <f>_xlfn.XLOOKUP(Table1[[#This Row],[ProductID]],Products!A:A,Products!D:D,,0)</f>
        <v>100</v>
      </c>
      <c r="I3797">
        <v>349</v>
      </c>
      <c r="J3797">
        <v>349</v>
      </c>
      <c r="K3797" t="s">
        <v>1102</v>
      </c>
      <c r="L3797">
        <v>349</v>
      </c>
      <c r="M3797" t="s">
        <v>1098</v>
      </c>
      <c r="N3797" t="s">
        <v>1099</v>
      </c>
      <c r="O3797">
        <f>Table1[[#This Row],[Unit_Price]]*Table1[[#This Row],[Quantity]]</f>
        <v>100</v>
      </c>
    </row>
    <row r="3798" spans="1:15" x14ac:dyDescent="0.3">
      <c r="A3798" t="s">
        <v>5619</v>
      </c>
      <c r="B3798" t="s">
        <v>1575</v>
      </c>
      <c r="C3798" t="s">
        <v>543</v>
      </c>
      <c r="D3798" t="s">
        <v>1057</v>
      </c>
      <c r="E3798">
        <v>1</v>
      </c>
      <c r="F3798">
        <f>_xlfn.XLOOKUP(Table1[[#This Row],[ProductID]],Products!A:A,Products!D:D,,0)</f>
        <v>130</v>
      </c>
      <c r="I3798">
        <v>549</v>
      </c>
      <c r="J3798">
        <v>494</v>
      </c>
      <c r="K3798" t="s">
        <v>1107</v>
      </c>
      <c r="L3798">
        <v>494</v>
      </c>
      <c r="M3798" t="s">
        <v>1093</v>
      </c>
      <c r="N3798" t="s">
        <v>1099</v>
      </c>
      <c r="O3798">
        <f>Table1[[#This Row],[Unit_Price]]*Table1[[#This Row],[Quantity]]</f>
        <v>130</v>
      </c>
    </row>
    <row r="3799" spans="1:15" x14ac:dyDescent="0.3">
      <c r="A3799" t="s">
        <v>5620</v>
      </c>
      <c r="B3799" t="s">
        <v>2078</v>
      </c>
      <c r="C3799" t="s">
        <v>459</v>
      </c>
      <c r="D3799" t="s">
        <v>1048</v>
      </c>
      <c r="E3799">
        <v>4</v>
      </c>
      <c r="F3799">
        <f>_xlfn.XLOOKUP(Table1[[#This Row],[ProductID]],Products!A:A,Products!D:D,,0)</f>
        <v>120</v>
      </c>
      <c r="I3799">
        <v>599</v>
      </c>
      <c r="J3799">
        <v>509</v>
      </c>
      <c r="K3799" t="s">
        <v>1092</v>
      </c>
      <c r="L3799">
        <v>2036</v>
      </c>
      <c r="M3799" t="s">
        <v>1093</v>
      </c>
      <c r="N3799" t="s">
        <v>1094</v>
      </c>
      <c r="O3799">
        <f>Table1[[#This Row],[Unit_Price]]*Table1[[#This Row],[Quantity]]</f>
        <v>480</v>
      </c>
    </row>
    <row r="3800" spans="1:15" x14ac:dyDescent="0.3">
      <c r="A3800" t="s">
        <v>5621</v>
      </c>
      <c r="B3800" t="s">
        <v>1392</v>
      </c>
      <c r="C3800" t="s">
        <v>239</v>
      </c>
      <c r="D3800" t="s">
        <v>1071</v>
      </c>
      <c r="E3800">
        <v>1</v>
      </c>
      <c r="F3800">
        <f>_xlfn.XLOOKUP(Table1[[#This Row],[ProductID]],Products!A:A,Products!D:D,,0)</f>
        <v>125</v>
      </c>
      <c r="I3800">
        <v>399</v>
      </c>
      <c r="J3800">
        <v>319</v>
      </c>
      <c r="K3800" t="s">
        <v>1097</v>
      </c>
      <c r="L3800">
        <v>319</v>
      </c>
      <c r="M3800" t="s">
        <v>1093</v>
      </c>
      <c r="N3800" t="s">
        <v>1099</v>
      </c>
      <c r="O3800">
        <f>Table1[[#This Row],[Unit_Price]]*Table1[[#This Row],[Quantity]]</f>
        <v>125</v>
      </c>
    </row>
    <row r="3801" spans="1:15" x14ac:dyDescent="0.3">
      <c r="A3801" t="s">
        <v>5622</v>
      </c>
      <c r="B3801" t="s">
        <v>2461</v>
      </c>
      <c r="C3801" t="s">
        <v>959</v>
      </c>
      <c r="D3801" t="s">
        <v>1055</v>
      </c>
      <c r="E3801">
        <v>1</v>
      </c>
      <c r="F3801">
        <f>_xlfn.XLOOKUP(Table1[[#This Row],[ProductID]],Products!A:A,Products!D:D,,0)</f>
        <v>75</v>
      </c>
      <c r="I3801">
        <v>299</v>
      </c>
      <c r="J3801">
        <v>269</v>
      </c>
      <c r="K3801" t="s">
        <v>1107</v>
      </c>
      <c r="L3801">
        <v>269</v>
      </c>
      <c r="M3801" t="s">
        <v>1098</v>
      </c>
      <c r="N3801" t="s">
        <v>1099</v>
      </c>
      <c r="O3801">
        <f>Table1[[#This Row],[Unit_Price]]*Table1[[#This Row],[Quantity]]</f>
        <v>75</v>
      </c>
    </row>
    <row r="3802" spans="1:15" x14ac:dyDescent="0.3">
      <c r="A3802" t="s">
        <v>5623</v>
      </c>
      <c r="B3802" t="s">
        <v>1412</v>
      </c>
      <c r="C3802" t="s">
        <v>71</v>
      </c>
      <c r="D3802" t="s">
        <v>1064</v>
      </c>
      <c r="E3802">
        <v>4</v>
      </c>
      <c r="F3802">
        <f>_xlfn.XLOOKUP(Table1[[#This Row],[ProductID]],Products!A:A,Products!D:D,,0)</f>
        <v>160</v>
      </c>
      <c r="I3802">
        <v>699</v>
      </c>
      <c r="J3802">
        <v>559</v>
      </c>
      <c r="K3802" t="s">
        <v>1097</v>
      </c>
      <c r="L3802">
        <v>2236</v>
      </c>
      <c r="M3802" t="s">
        <v>1093</v>
      </c>
      <c r="N3802" t="s">
        <v>1099</v>
      </c>
      <c r="O3802">
        <f>Table1[[#This Row],[Unit_Price]]*Table1[[#This Row],[Quantity]]</f>
        <v>640</v>
      </c>
    </row>
    <row r="3803" spans="1:15" x14ac:dyDescent="0.3">
      <c r="A3803" t="s">
        <v>5624</v>
      </c>
      <c r="B3803" t="s">
        <v>3781</v>
      </c>
      <c r="C3803" t="s">
        <v>461</v>
      </c>
      <c r="D3803" t="s">
        <v>1057</v>
      </c>
      <c r="E3803">
        <v>1</v>
      </c>
      <c r="F3803">
        <f>_xlfn.XLOOKUP(Table1[[#This Row],[ProductID]],Products!A:A,Products!D:D,,0)</f>
        <v>130</v>
      </c>
      <c r="I3803">
        <v>549</v>
      </c>
      <c r="J3803">
        <v>549</v>
      </c>
      <c r="K3803" t="s">
        <v>1102</v>
      </c>
      <c r="L3803">
        <v>549</v>
      </c>
      <c r="M3803" t="s">
        <v>1093</v>
      </c>
      <c r="N3803" t="s">
        <v>1094</v>
      </c>
      <c r="O3803">
        <f>Table1[[#This Row],[Unit_Price]]*Table1[[#This Row],[Quantity]]</f>
        <v>130</v>
      </c>
    </row>
    <row r="3804" spans="1:15" x14ac:dyDescent="0.3">
      <c r="A3804" t="s">
        <v>5625</v>
      </c>
      <c r="B3804" t="s">
        <v>2172</v>
      </c>
      <c r="C3804" t="s">
        <v>543</v>
      </c>
      <c r="D3804" t="s">
        <v>1080</v>
      </c>
      <c r="E3804">
        <v>2</v>
      </c>
      <c r="F3804">
        <f>_xlfn.XLOOKUP(Table1[[#This Row],[ProductID]],Products!A:A,Products!D:D,,0)</f>
        <v>45</v>
      </c>
      <c r="I3804">
        <v>249</v>
      </c>
      <c r="J3804">
        <v>212</v>
      </c>
      <c r="K3804" t="s">
        <v>1092</v>
      </c>
      <c r="L3804">
        <v>424</v>
      </c>
      <c r="M3804" t="s">
        <v>1093</v>
      </c>
      <c r="N3804" t="s">
        <v>1099</v>
      </c>
      <c r="O3804">
        <f>Table1[[#This Row],[Unit_Price]]*Table1[[#This Row],[Quantity]]</f>
        <v>90</v>
      </c>
    </row>
    <row r="3805" spans="1:15" x14ac:dyDescent="0.3">
      <c r="A3805" t="s">
        <v>5626</v>
      </c>
      <c r="B3805" t="s">
        <v>2751</v>
      </c>
      <c r="C3805" t="s">
        <v>7</v>
      </c>
      <c r="D3805" t="s">
        <v>1075</v>
      </c>
      <c r="E3805">
        <v>1</v>
      </c>
      <c r="F3805">
        <f>_xlfn.XLOOKUP(Table1[[#This Row],[ProductID]],Products!A:A,Products!D:D,,0)</f>
        <v>80</v>
      </c>
      <c r="I3805">
        <v>499</v>
      </c>
      <c r="J3805">
        <v>499</v>
      </c>
      <c r="K3805" t="s">
        <v>1102</v>
      </c>
      <c r="L3805">
        <v>499</v>
      </c>
      <c r="M3805" t="s">
        <v>1098</v>
      </c>
      <c r="N3805" t="s">
        <v>1099</v>
      </c>
      <c r="O3805">
        <f>Table1[[#This Row],[Unit_Price]]*Table1[[#This Row],[Quantity]]</f>
        <v>80</v>
      </c>
    </row>
    <row r="3806" spans="1:15" x14ac:dyDescent="0.3">
      <c r="A3806" t="s">
        <v>5627</v>
      </c>
      <c r="B3806" t="s">
        <v>2934</v>
      </c>
      <c r="C3806" t="s">
        <v>689</v>
      </c>
      <c r="D3806" t="s">
        <v>1048</v>
      </c>
      <c r="E3806">
        <v>1</v>
      </c>
      <c r="F3806">
        <f>_xlfn.XLOOKUP(Table1[[#This Row],[ProductID]],Products!A:A,Products!D:D,,0)</f>
        <v>120</v>
      </c>
      <c r="I3806">
        <v>599</v>
      </c>
      <c r="J3806">
        <v>509</v>
      </c>
      <c r="K3806" t="s">
        <v>1092</v>
      </c>
      <c r="L3806">
        <v>509</v>
      </c>
      <c r="M3806" t="s">
        <v>1093</v>
      </c>
      <c r="N3806" t="s">
        <v>1099</v>
      </c>
      <c r="O3806">
        <f>Table1[[#This Row],[Unit_Price]]*Table1[[#This Row],[Quantity]]</f>
        <v>120</v>
      </c>
    </row>
    <row r="3807" spans="1:15" x14ac:dyDescent="0.3">
      <c r="A3807" t="s">
        <v>5628</v>
      </c>
      <c r="B3807" t="s">
        <v>1223</v>
      </c>
      <c r="C3807" t="s">
        <v>775</v>
      </c>
      <c r="D3807" t="s">
        <v>1059</v>
      </c>
      <c r="E3807">
        <v>1</v>
      </c>
      <c r="F3807">
        <f>_xlfn.XLOOKUP(Table1[[#This Row],[ProductID]],Products!A:A,Products!D:D,,0)</f>
        <v>110</v>
      </c>
      <c r="I3807">
        <v>399</v>
      </c>
      <c r="J3807">
        <v>359</v>
      </c>
      <c r="K3807" t="s">
        <v>1107</v>
      </c>
      <c r="L3807">
        <v>359</v>
      </c>
      <c r="M3807" t="s">
        <v>1098</v>
      </c>
      <c r="N3807" t="s">
        <v>1099</v>
      </c>
      <c r="O3807">
        <f>Table1[[#This Row],[Unit_Price]]*Table1[[#This Row],[Quantity]]</f>
        <v>110</v>
      </c>
    </row>
    <row r="3808" spans="1:15" x14ac:dyDescent="0.3">
      <c r="A3808" t="s">
        <v>5629</v>
      </c>
      <c r="B3808" t="s">
        <v>2265</v>
      </c>
      <c r="C3808" t="s">
        <v>911</v>
      </c>
      <c r="D3808" t="s">
        <v>1071</v>
      </c>
      <c r="E3808">
        <v>1</v>
      </c>
      <c r="F3808">
        <f>_xlfn.XLOOKUP(Table1[[#This Row],[ProductID]],Products!A:A,Products!D:D,,0)</f>
        <v>125</v>
      </c>
      <c r="I3808">
        <v>399</v>
      </c>
      <c r="J3808">
        <v>339</v>
      </c>
      <c r="K3808" t="s">
        <v>1092</v>
      </c>
      <c r="L3808">
        <v>339</v>
      </c>
      <c r="M3808" t="s">
        <v>1093</v>
      </c>
      <c r="N3808" t="s">
        <v>1094</v>
      </c>
      <c r="O3808">
        <f>Table1[[#This Row],[Unit_Price]]*Table1[[#This Row],[Quantity]]</f>
        <v>125</v>
      </c>
    </row>
    <row r="3809" spans="1:15" x14ac:dyDescent="0.3">
      <c r="A3809" t="s">
        <v>5630</v>
      </c>
      <c r="B3809" t="s">
        <v>1859</v>
      </c>
      <c r="C3809" t="s">
        <v>769</v>
      </c>
      <c r="D3809" t="s">
        <v>1064</v>
      </c>
      <c r="E3809">
        <v>2</v>
      </c>
      <c r="F3809">
        <f>_xlfn.XLOOKUP(Table1[[#This Row],[ProductID]],Products!A:A,Products!D:D,,0)</f>
        <v>160</v>
      </c>
      <c r="I3809">
        <v>699</v>
      </c>
      <c r="J3809">
        <v>699</v>
      </c>
      <c r="K3809" t="s">
        <v>1102</v>
      </c>
      <c r="L3809">
        <v>1398</v>
      </c>
      <c r="M3809" t="s">
        <v>1098</v>
      </c>
      <c r="N3809" t="s">
        <v>1099</v>
      </c>
      <c r="O3809">
        <f>Table1[[#This Row],[Unit_Price]]*Table1[[#This Row],[Quantity]]</f>
        <v>320</v>
      </c>
    </row>
    <row r="3810" spans="1:15" x14ac:dyDescent="0.3">
      <c r="A3810" t="s">
        <v>5631</v>
      </c>
      <c r="B3810" t="s">
        <v>4118</v>
      </c>
      <c r="C3810" t="s">
        <v>413</v>
      </c>
      <c r="D3810" t="s">
        <v>1057</v>
      </c>
      <c r="E3810">
        <v>4</v>
      </c>
      <c r="F3810">
        <f>_xlfn.XLOOKUP(Table1[[#This Row],[ProductID]],Products!A:A,Products!D:D,,0)</f>
        <v>130</v>
      </c>
      <c r="I3810">
        <v>549</v>
      </c>
      <c r="J3810">
        <v>494</v>
      </c>
      <c r="K3810" t="s">
        <v>1107</v>
      </c>
      <c r="L3810">
        <v>1976</v>
      </c>
      <c r="M3810" t="s">
        <v>1098</v>
      </c>
      <c r="N3810" t="s">
        <v>1123</v>
      </c>
      <c r="O3810">
        <f>Table1[[#This Row],[Unit_Price]]*Table1[[#This Row],[Quantity]]</f>
        <v>520</v>
      </c>
    </row>
    <row r="3811" spans="1:15" x14ac:dyDescent="0.3">
      <c r="A3811" t="s">
        <v>5632</v>
      </c>
      <c r="B3811" t="s">
        <v>1668</v>
      </c>
      <c r="C3811" t="s">
        <v>1035</v>
      </c>
      <c r="D3811" t="s">
        <v>1066</v>
      </c>
      <c r="E3811">
        <v>1</v>
      </c>
      <c r="F3811">
        <f>_xlfn.XLOOKUP(Table1[[#This Row],[ProductID]],Products!A:A,Products!D:D,,0)</f>
        <v>140</v>
      </c>
      <c r="I3811">
        <v>499</v>
      </c>
      <c r="J3811">
        <v>499</v>
      </c>
      <c r="K3811" t="s">
        <v>1102</v>
      </c>
      <c r="L3811">
        <v>499</v>
      </c>
      <c r="M3811" t="s">
        <v>1126</v>
      </c>
      <c r="N3811" t="s">
        <v>1099</v>
      </c>
      <c r="O3811">
        <f>Table1[[#This Row],[Unit_Price]]*Table1[[#This Row],[Quantity]]</f>
        <v>140</v>
      </c>
    </row>
    <row r="3812" spans="1:15" x14ac:dyDescent="0.3">
      <c r="A3812" t="s">
        <v>5633</v>
      </c>
      <c r="B3812" t="s">
        <v>1728</v>
      </c>
      <c r="C3812" t="s">
        <v>569</v>
      </c>
      <c r="D3812" t="s">
        <v>1057</v>
      </c>
      <c r="E3812">
        <v>2</v>
      </c>
      <c r="F3812">
        <f>_xlfn.XLOOKUP(Table1[[#This Row],[ProductID]],Products!A:A,Products!D:D,,0)</f>
        <v>130</v>
      </c>
      <c r="I3812">
        <v>549</v>
      </c>
      <c r="J3812">
        <v>494</v>
      </c>
      <c r="K3812" t="s">
        <v>1107</v>
      </c>
      <c r="L3812">
        <v>988</v>
      </c>
      <c r="M3812" t="s">
        <v>1118</v>
      </c>
      <c r="N3812" t="s">
        <v>1099</v>
      </c>
      <c r="O3812">
        <f>Table1[[#This Row],[Unit_Price]]*Table1[[#This Row],[Quantity]]</f>
        <v>260</v>
      </c>
    </row>
    <row r="3813" spans="1:15" x14ac:dyDescent="0.3">
      <c r="A3813" t="s">
        <v>5634</v>
      </c>
      <c r="B3813" t="s">
        <v>2751</v>
      </c>
      <c r="C3813" t="s">
        <v>122</v>
      </c>
      <c r="D3813" t="s">
        <v>1057</v>
      </c>
      <c r="E3813">
        <v>1</v>
      </c>
      <c r="F3813">
        <f>_xlfn.XLOOKUP(Table1[[#This Row],[ProductID]],Products!A:A,Products!D:D,,0)</f>
        <v>130</v>
      </c>
      <c r="I3813">
        <v>549</v>
      </c>
      <c r="J3813">
        <v>549</v>
      </c>
      <c r="K3813" t="s">
        <v>1102</v>
      </c>
      <c r="L3813">
        <v>549</v>
      </c>
      <c r="M3813" t="s">
        <v>1098</v>
      </c>
      <c r="N3813" t="s">
        <v>1099</v>
      </c>
      <c r="O3813">
        <f>Table1[[#This Row],[Unit_Price]]*Table1[[#This Row],[Quantity]]</f>
        <v>130</v>
      </c>
    </row>
    <row r="3814" spans="1:15" x14ac:dyDescent="0.3">
      <c r="A3814" t="s">
        <v>5635</v>
      </c>
      <c r="B3814" t="s">
        <v>1657</v>
      </c>
      <c r="C3814" t="s">
        <v>469</v>
      </c>
      <c r="D3814" t="s">
        <v>1051</v>
      </c>
      <c r="E3814">
        <v>2</v>
      </c>
      <c r="F3814">
        <f>_xlfn.XLOOKUP(Table1[[#This Row],[ProductID]],Products!A:A,Products!D:D,,0)</f>
        <v>150</v>
      </c>
      <c r="I3814">
        <v>499</v>
      </c>
      <c r="J3814">
        <v>424</v>
      </c>
      <c r="K3814" t="s">
        <v>1092</v>
      </c>
      <c r="L3814">
        <v>848</v>
      </c>
      <c r="M3814" t="s">
        <v>1093</v>
      </c>
      <c r="N3814" t="s">
        <v>1094</v>
      </c>
      <c r="O3814">
        <f>Table1[[#This Row],[Unit_Price]]*Table1[[#This Row],[Quantity]]</f>
        <v>300</v>
      </c>
    </row>
    <row r="3815" spans="1:15" x14ac:dyDescent="0.3">
      <c r="A3815" t="s">
        <v>5636</v>
      </c>
      <c r="B3815" t="s">
        <v>1543</v>
      </c>
      <c r="C3815" t="s">
        <v>753</v>
      </c>
      <c r="D3815" t="s">
        <v>1078</v>
      </c>
      <c r="E3815">
        <v>1</v>
      </c>
      <c r="F3815">
        <f>_xlfn.XLOOKUP(Table1[[#This Row],[ProductID]],Products!A:A,Products!D:D,,0)</f>
        <v>80</v>
      </c>
      <c r="I3815">
        <v>499</v>
      </c>
      <c r="J3815">
        <v>449</v>
      </c>
      <c r="K3815" t="s">
        <v>1107</v>
      </c>
      <c r="L3815">
        <v>449</v>
      </c>
      <c r="M3815" t="s">
        <v>1098</v>
      </c>
      <c r="N3815" t="s">
        <v>1099</v>
      </c>
      <c r="O3815">
        <f>Table1[[#This Row],[Unit_Price]]*Table1[[#This Row],[Quantity]]</f>
        <v>80</v>
      </c>
    </row>
    <row r="3816" spans="1:15" x14ac:dyDescent="0.3">
      <c r="A3816" t="s">
        <v>5637</v>
      </c>
      <c r="B3816" t="s">
        <v>2132</v>
      </c>
      <c r="C3816" t="s">
        <v>959</v>
      </c>
      <c r="D3816" t="s">
        <v>1080</v>
      </c>
      <c r="E3816">
        <v>3</v>
      </c>
      <c r="F3816">
        <f>_xlfn.XLOOKUP(Table1[[#This Row],[ProductID]],Products!A:A,Products!D:D,,0)</f>
        <v>45</v>
      </c>
      <c r="I3816">
        <v>249</v>
      </c>
      <c r="J3816">
        <v>224</v>
      </c>
      <c r="K3816" t="s">
        <v>1107</v>
      </c>
      <c r="L3816">
        <v>672</v>
      </c>
      <c r="M3816" t="s">
        <v>1098</v>
      </c>
      <c r="N3816" t="s">
        <v>1099</v>
      </c>
      <c r="O3816">
        <f>Table1[[#This Row],[Unit_Price]]*Table1[[#This Row],[Quantity]]</f>
        <v>135</v>
      </c>
    </row>
    <row r="3817" spans="1:15" x14ac:dyDescent="0.3">
      <c r="A3817" t="s">
        <v>5638</v>
      </c>
      <c r="B3817" t="s">
        <v>2862</v>
      </c>
      <c r="C3817" t="s">
        <v>177</v>
      </c>
      <c r="D3817" t="s">
        <v>1057</v>
      </c>
      <c r="E3817">
        <v>2</v>
      </c>
      <c r="F3817">
        <f>_xlfn.XLOOKUP(Table1[[#This Row],[ProductID]],Products!A:A,Products!D:D,,0)</f>
        <v>130</v>
      </c>
      <c r="I3817">
        <v>549</v>
      </c>
      <c r="J3817">
        <v>494</v>
      </c>
      <c r="K3817" t="s">
        <v>1107</v>
      </c>
      <c r="L3817">
        <v>988</v>
      </c>
      <c r="M3817" t="s">
        <v>1098</v>
      </c>
      <c r="N3817" t="s">
        <v>1099</v>
      </c>
      <c r="O3817">
        <f>Table1[[#This Row],[Unit_Price]]*Table1[[#This Row],[Quantity]]</f>
        <v>260</v>
      </c>
    </row>
    <row r="3818" spans="1:15" x14ac:dyDescent="0.3">
      <c r="A3818" t="s">
        <v>5639</v>
      </c>
      <c r="B3818" t="s">
        <v>3358</v>
      </c>
      <c r="C3818" t="s">
        <v>515</v>
      </c>
      <c r="D3818" t="s">
        <v>1051</v>
      </c>
      <c r="E3818">
        <v>1</v>
      </c>
      <c r="F3818">
        <f>_xlfn.XLOOKUP(Table1[[#This Row],[ProductID]],Products!A:A,Products!D:D,,0)</f>
        <v>150</v>
      </c>
      <c r="I3818">
        <v>499</v>
      </c>
      <c r="J3818">
        <v>424</v>
      </c>
      <c r="K3818" t="s">
        <v>1092</v>
      </c>
      <c r="L3818">
        <v>424</v>
      </c>
      <c r="M3818" t="s">
        <v>1098</v>
      </c>
      <c r="N3818" t="s">
        <v>1099</v>
      </c>
      <c r="O3818">
        <f>Table1[[#This Row],[Unit_Price]]*Table1[[#This Row],[Quantity]]</f>
        <v>150</v>
      </c>
    </row>
    <row r="3819" spans="1:15" x14ac:dyDescent="0.3">
      <c r="A3819" t="s">
        <v>5640</v>
      </c>
      <c r="B3819" t="s">
        <v>4118</v>
      </c>
      <c r="C3819" t="s">
        <v>59</v>
      </c>
      <c r="D3819" t="s">
        <v>1048</v>
      </c>
      <c r="E3819">
        <v>1</v>
      </c>
      <c r="F3819">
        <f>_xlfn.XLOOKUP(Table1[[#This Row],[ProductID]],Products!A:A,Products!D:D,,0)</f>
        <v>120</v>
      </c>
      <c r="I3819">
        <v>599</v>
      </c>
      <c r="J3819">
        <v>539</v>
      </c>
      <c r="K3819" t="s">
        <v>1107</v>
      </c>
      <c r="L3819">
        <v>539</v>
      </c>
      <c r="M3819" t="s">
        <v>1098</v>
      </c>
      <c r="N3819" t="s">
        <v>1099</v>
      </c>
      <c r="O3819">
        <f>Table1[[#This Row],[Unit_Price]]*Table1[[#This Row],[Quantity]]</f>
        <v>120</v>
      </c>
    </row>
    <row r="3820" spans="1:15" x14ac:dyDescent="0.3">
      <c r="A3820" t="s">
        <v>5641</v>
      </c>
      <c r="B3820" t="s">
        <v>2431</v>
      </c>
      <c r="C3820" t="s">
        <v>587</v>
      </c>
      <c r="D3820" t="s">
        <v>1075</v>
      </c>
      <c r="E3820">
        <v>1</v>
      </c>
      <c r="F3820">
        <f>_xlfn.XLOOKUP(Table1[[#This Row],[ProductID]],Products!A:A,Products!D:D,,0)</f>
        <v>80</v>
      </c>
      <c r="I3820">
        <v>499</v>
      </c>
      <c r="J3820">
        <v>499</v>
      </c>
      <c r="K3820" t="s">
        <v>1102</v>
      </c>
      <c r="L3820">
        <v>499</v>
      </c>
      <c r="M3820" t="s">
        <v>1093</v>
      </c>
      <c r="N3820" t="s">
        <v>1094</v>
      </c>
      <c r="O3820">
        <f>Table1[[#This Row],[Unit_Price]]*Table1[[#This Row],[Quantity]]</f>
        <v>80</v>
      </c>
    </row>
    <row r="3821" spans="1:15" x14ac:dyDescent="0.3">
      <c r="A3821" t="s">
        <v>5642</v>
      </c>
      <c r="B3821" t="s">
        <v>2070</v>
      </c>
      <c r="C3821" t="s">
        <v>505</v>
      </c>
      <c r="D3821" t="s">
        <v>1048</v>
      </c>
      <c r="E3821">
        <v>1</v>
      </c>
      <c r="F3821">
        <f>_xlfn.XLOOKUP(Table1[[#This Row],[ProductID]],Products!A:A,Products!D:D,,0)</f>
        <v>120</v>
      </c>
      <c r="I3821">
        <v>599</v>
      </c>
      <c r="J3821">
        <v>539</v>
      </c>
      <c r="K3821" t="s">
        <v>1107</v>
      </c>
      <c r="L3821">
        <v>539</v>
      </c>
      <c r="M3821" t="s">
        <v>1126</v>
      </c>
      <c r="N3821" t="s">
        <v>1099</v>
      </c>
      <c r="O3821">
        <f>Table1[[#This Row],[Unit_Price]]*Table1[[#This Row],[Quantity]]</f>
        <v>120</v>
      </c>
    </row>
    <row r="3822" spans="1:15" x14ac:dyDescent="0.3">
      <c r="A3822" t="s">
        <v>5643</v>
      </c>
      <c r="B3822" t="s">
        <v>1434</v>
      </c>
      <c r="C3822" t="s">
        <v>65</v>
      </c>
      <c r="D3822" t="s">
        <v>1075</v>
      </c>
      <c r="E3822">
        <v>1</v>
      </c>
      <c r="F3822">
        <f>_xlfn.XLOOKUP(Table1[[#This Row],[ProductID]],Products!A:A,Products!D:D,,0)</f>
        <v>80</v>
      </c>
      <c r="I3822">
        <v>499</v>
      </c>
      <c r="J3822">
        <v>499</v>
      </c>
      <c r="K3822" t="s">
        <v>1102</v>
      </c>
      <c r="L3822">
        <v>499</v>
      </c>
      <c r="M3822" t="s">
        <v>1093</v>
      </c>
      <c r="N3822" t="s">
        <v>1099</v>
      </c>
      <c r="O3822">
        <f>Table1[[#This Row],[Unit_Price]]*Table1[[#This Row],[Quantity]]</f>
        <v>80</v>
      </c>
    </row>
    <row r="3823" spans="1:15" x14ac:dyDescent="0.3">
      <c r="A3823" t="s">
        <v>5644</v>
      </c>
      <c r="B3823" t="s">
        <v>1963</v>
      </c>
      <c r="C3823" t="s">
        <v>191</v>
      </c>
      <c r="D3823" t="s">
        <v>1073</v>
      </c>
      <c r="E3823">
        <v>1</v>
      </c>
      <c r="F3823">
        <f>_xlfn.XLOOKUP(Table1[[#This Row],[ProductID]],Products!A:A,Products!D:D,,0)</f>
        <v>100</v>
      </c>
      <c r="I3823">
        <v>349</v>
      </c>
      <c r="J3823">
        <v>314</v>
      </c>
      <c r="K3823" t="s">
        <v>1107</v>
      </c>
      <c r="L3823">
        <v>314</v>
      </c>
      <c r="M3823" t="s">
        <v>1093</v>
      </c>
      <c r="N3823" t="s">
        <v>1099</v>
      </c>
      <c r="O3823">
        <f>Table1[[#This Row],[Unit_Price]]*Table1[[#This Row],[Quantity]]</f>
        <v>100</v>
      </c>
    </row>
    <row r="3824" spans="1:15" x14ac:dyDescent="0.3">
      <c r="A3824" t="s">
        <v>5645</v>
      </c>
      <c r="B3824" t="s">
        <v>2664</v>
      </c>
      <c r="C3824" t="s">
        <v>997</v>
      </c>
      <c r="D3824" t="s">
        <v>1062</v>
      </c>
      <c r="E3824">
        <v>1</v>
      </c>
      <c r="F3824">
        <f>_xlfn.XLOOKUP(Table1[[#This Row],[ProductID]],Products!A:A,Products!D:D,,0)</f>
        <v>95</v>
      </c>
      <c r="I3824">
        <v>349</v>
      </c>
      <c r="J3824">
        <v>279</v>
      </c>
      <c r="K3824" t="s">
        <v>1097</v>
      </c>
      <c r="L3824">
        <v>279</v>
      </c>
      <c r="M3824" t="s">
        <v>1098</v>
      </c>
      <c r="N3824" t="s">
        <v>1123</v>
      </c>
      <c r="O3824">
        <f>Table1[[#This Row],[Unit_Price]]*Table1[[#This Row],[Quantity]]</f>
        <v>95</v>
      </c>
    </row>
    <row r="3825" spans="1:15" x14ac:dyDescent="0.3">
      <c r="A3825" t="s">
        <v>5646</v>
      </c>
      <c r="B3825" t="s">
        <v>2664</v>
      </c>
      <c r="C3825" t="s">
        <v>345</v>
      </c>
      <c r="D3825" t="s">
        <v>1075</v>
      </c>
      <c r="E3825">
        <v>2</v>
      </c>
      <c r="F3825">
        <f>_xlfn.XLOOKUP(Table1[[#This Row],[ProductID]],Products!A:A,Products!D:D,,0)</f>
        <v>80</v>
      </c>
      <c r="I3825">
        <v>499</v>
      </c>
      <c r="J3825">
        <v>449</v>
      </c>
      <c r="K3825" t="s">
        <v>1107</v>
      </c>
      <c r="L3825">
        <v>898</v>
      </c>
      <c r="M3825" t="s">
        <v>1093</v>
      </c>
      <c r="N3825" t="s">
        <v>1094</v>
      </c>
      <c r="O3825">
        <f>Table1[[#This Row],[Unit_Price]]*Table1[[#This Row],[Quantity]]</f>
        <v>160</v>
      </c>
    </row>
    <row r="3826" spans="1:15" x14ac:dyDescent="0.3">
      <c r="A3826" t="s">
        <v>5647</v>
      </c>
      <c r="B3826" t="s">
        <v>1278</v>
      </c>
      <c r="C3826" t="s">
        <v>143</v>
      </c>
      <c r="D3826" t="s">
        <v>1073</v>
      </c>
      <c r="E3826">
        <v>2</v>
      </c>
      <c r="F3826">
        <f>_xlfn.XLOOKUP(Table1[[#This Row],[ProductID]],Products!A:A,Products!D:D,,0)</f>
        <v>100</v>
      </c>
      <c r="I3826">
        <v>349</v>
      </c>
      <c r="J3826">
        <v>297</v>
      </c>
      <c r="K3826" t="s">
        <v>1092</v>
      </c>
      <c r="L3826">
        <v>594</v>
      </c>
      <c r="M3826" t="s">
        <v>1098</v>
      </c>
      <c r="N3826" t="s">
        <v>1099</v>
      </c>
      <c r="O3826">
        <f>Table1[[#This Row],[Unit_Price]]*Table1[[#This Row],[Quantity]]</f>
        <v>200</v>
      </c>
    </row>
    <row r="3827" spans="1:15" x14ac:dyDescent="0.3">
      <c r="A3827" t="s">
        <v>5648</v>
      </c>
      <c r="B3827" t="s">
        <v>2518</v>
      </c>
      <c r="C3827" t="s">
        <v>251</v>
      </c>
      <c r="D3827" t="s">
        <v>1064</v>
      </c>
      <c r="E3827">
        <v>1</v>
      </c>
      <c r="F3827">
        <f>_xlfn.XLOOKUP(Table1[[#This Row],[ProductID]],Products!A:A,Products!D:D,,0)</f>
        <v>160</v>
      </c>
      <c r="I3827">
        <v>699</v>
      </c>
      <c r="J3827">
        <v>699</v>
      </c>
      <c r="K3827" t="s">
        <v>1102</v>
      </c>
      <c r="L3827">
        <v>699</v>
      </c>
      <c r="M3827" t="s">
        <v>1098</v>
      </c>
      <c r="N3827" t="s">
        <v>1099</v>
      </c>
      <c r="O3827">
        <f>Table1[[#This Row],[Unit_Price]]*Table1[[#This Row],[Quantity]]</f>
        <v>160</v>
      </c>
    </row>
    <row r="3828" spans="1:15" x14ac:dyDescent="0.3">
      <c r="A3828" t="s">
        <v>5649</v>
      </c>
      <c r="B3828" t="s">
        <v>2312</v>
      </c>
      <c r="C3828" t="s">
        <v>377</v>
      </c>
      <c r="D3828" t="s">
        <v>1055</v>
      </c>
      <c r="E3828">
        <v>1</v>
      </c>
      <c r="F3828">
        <f>_xlfn.XLOOKUP(Table1[[#This Row],[ProductID]],Products!A:A,Products!D:D,,0)</f>
        <v>75</v>
      </c>
      <c r="I3828">
        <v>299</v>
      </c>
      <c r="J3828">
        <v>299</v>
      </c>
      <c r="K3828" t="s">
        <v>1102</v>
      </c>
      <c r="L3828">
        <v>299</v>
      </c>
      <c r="M3828" t="s">
        <v>1098</v>
      </c>
      <c r="N3828" t="s">
        <v>1099</v>
      </c>
      <c r="O3828">
        <f>Table1[[#This Row],[Unit_Price]]*Table1[[#This Row],[Quantity]]</f>
        <v>75</v>
      </c>
    </row>
    <row r="3829" spans="1:15" x14ac:dyDescent="0.3">
      <c r="A3829" t="s">
        <v>5650</v>
      </c>
      <c r="B3829" t="s">
        <v>1217</v>
      </c>
      <c r="C3829" t="s">
        <v>973</v>
      </c>
      <c r="D3829" t="s">
        <v>1055</v>
      </c>
      <c r="E3829">
        <v>1</v>
      </c>
      <c r="F3829">
        <f>_xlfn.XLOOKUP(Table1[[#This Row],[ProductID]],Products!A:A,Products!D:D,,0)</f>
        <v>75</v>
      </c>
      <c r="I3829">
        <v>299</v>
      </c>
      <c r="J3829">
        <v>254</v>
      </c>
      <c r="K3829" t="s">
        <v>1092</v>
      </c>
      <c r="L3829">
        <v>254</v>
      </c>
      <c r="M3829" t="s">
        <v>1093</v>
      </c>
      <c r="N3829" t="s">
        <v>1099</v>
      </c>
      <c r="O3829">
        <f>Table1[[#This Row],[Unit_Price]]*Table1[[#This Row],[Quantity]]</f>
        <v>75</v>
      </c>
    </row>
    <row r="3830" spans="1:15" x14ac:dyDescent="0.3">
      <c r="A3830" t="s">
        <v>5651</v>
      </c>
      <c r="B3830" t="s">
        <v>1953</v>
      </c>
      <c r="C3830" t="s">
        <v>699</v>
      </c>
      <c r="D3830" t="s">
        <v>1053</v>
      </c>
      <c r="E3830">
        <v>1</v>
      </c>
      <c r="F3830">
        <f>_xlfn.XLOOKUP(Table1[[#This Row],[ProductID]],Products!A:A,Products!D:D,,0)</f>
        <v>200</v>
      </c>
      <c r="I3830">
        <v>899</v>
      </c>
      <c r="J3830">
        <v>809</v>
      </c>
      <c r="K3830" t="s">
        <v>1107</v>
      </c>
      <c r="L3830">
        <v>809</v>
      </c>
      <c r="M3830" t="s">
        <v>1098</v>
      </c>
      <c r="N3830" t="s">
        <v>1099</v>
      </c>
      <c r="O3830">
        <f>Table1[[#This Row],[Unit_Price]]*Table1[[#This Row],[Quantity]]</f>
        <v>200</v>
      </c>
    </row>
    <row r="3831" spans="1:15" x14ac:dyDescent="0.3">
      <c r="A3831" t="s">
        <v>5652</v>
      </c>
      <c r="B3831" t="s">
        <v>3411</v>
      </c>
      <c r="C3831" t="s">
        <v>829</v>
      </c>
      <c r="D3831" t="s">
        <v>1053</v>
      </c>
      <c r="E3831">
        <v>1</v>
      </c>
      <c r="F3831">
        <f>_xlfn.XLOOKUP(Table1[[#This Row],[ProductID]],Products!A:A,Products!D:D,,0)</f>
        <v>200</v>
      </c>
      <c r="I3831">
        <v>899</v>
      </c>
      <c r="J3831">
        <v>899</v>
      </c>
      <c r="K3831" t="s">
        <v>1102</v>
      </c>
      <c r="L3831">
        <v>899</v>
      </c>
      <c r="M3831" t="s">
        <v>1093</v>
      </c>
      <c r="N3831" t="s">
        <v>1099</v>
      </c>
      <c r="O3831">
        <f>Table1[[#This Row],[Unit_Price]]*Table1[[#This Row],[Quantity]]</f>
        <v>200</v>
      </c>
    </row>
    <row r="3832" spans="1:15" x14ac:dyDescent="0.3">
      <c r="A3832" t="s">
        <v>5653</v>
      </c>
      <c r="B3832" t="s">
        <v>1502</v>
      </c>
      <c r="C3832" t="s">
        <v>635</v>
      </c>
      <c r="D3832" t="s">
        <v>1068</v>
      </c>
      <c r="E3832">
        <v>2</v>
      </c>
      <c r="F3832">
        <f>_xlfn.XLOOKUP(Table1[[#This Row],[ProductID]],Products!A:A,Products!D:D,,0)</f>
        <v>180</v>
      </c>
      <c r="I3832">
        <v>449</v>
      </c>
      <c r="J3832">
        <v>449</v>
      </c>
      <c r="K3832" t="s">
        <v>1102</v>
      </c>
      <c r="L3832">
        <v>898</v>
      </c>
      <c r="M3832" t="s">
        <v>1098</v>
      </c>
      <c r="N3832" t="s">
        <v>1099</v>
      </c>
      <c r="O3832">
        <f>Table1[[#This Row],[Unit_Price]]*Table1[[#This Row],[Quantity]]</f>
        <v>360</v>
      </c>
    </row>
    <row r="3833" spans="1:15" x14ac:dyDescent="0.3">
      <c r="A3833" t="s">
        <v>5654</v>
      </c>
      <c r="B3833" t="s">
        <v>2431</v>
      </c>
      <c r="C3833" t="s">
        <v>76</v>
      </c>
      <c r="D3833" t="s">
        <v>1068</v>
      </c>
      <c r="E3833">
        <v>1</v>
      </c>
      <c r="F3833">
        <f>_xlfn.XLOOKUP(Table1[[#This Row],[ProductID]],Products!A:A,Products!D:D,,0)</f>
        <v>180</v>
      </c>
      <c r="I3833">
        <v>449</v>
      </c>
      <c r="J3833">
        <v>404</v>
      </c>
      <c r="K3833" t="s">
        <v>1107</v>
      </c>
      <c r="L3833">
        <v>404</v>
      </c>
      <c r="M3833" t="s">
        <v>1098</v>
      </c>
      <c r="N3833" t="s">
        <v>1099</v>
      </c>
      <c r="O3833">
        <f>Table1[[#This Row],[Unit_Price]]*Table1[[#This Row],[Quantity]]</f>
        <v>180</v>
      </c>
    </row>
    <row r="3834" spans="1:15" x14ac:dyDescent="0.3">
      <c r="A3834" t="s">
        <v>5655</v>
      </c>
      <c r="B3834" t="s">
        <v>1484</v>
      </c>
      <c r="C3834" t="s">
        <v>933</v>
      </c>
      <c r="D3834" t="s">
        <v>1080</v>
      </c>
      <c r="E3834">
        <v>1</v>
      </c>
      <c r="F3834">
        <f>_xlfn.XLOOKUP(Table1[[#This Row],[ProductID]],Products!A:A,Products!D:D,,0)</f>
        <v>45</v>
      </c>
      <c r="I3834">
        <v>249</v>
      </c>
      <c r="J3834">
        <v>224</v>
      </c>
      <c r="K3834" t="s">
        <v>1107</v>
      </c>
      <c r="L3834">
        <v>224</v>
      </c>
      <c r="M3834" t="s">
        <v>1093</v>
      </c>
      <c r="N3834" t="s">
        <v>1094</v>
      </c>
      <c r="O3834">
        <f>Table1[[#This Row],[Unit_Price]]*Table1[[#This Row],[Quantity]]</f>
        <v>45</v>
      </c>
    </row>
    <row r="3835" spans="1:15" x14ac:dyDescent="0.3">
      <c r="A3835" t="s">
        <v>5656</v>
      </c>
      <c r="B3835" t="s">
        <v>2139</v>
      </c>
      <c r="C3835" t="s">
        <v>160</v>
      </c>
      <c r="D3835" t="s">
        <v>1075</v>
      </c>
      <c r="E3835">
        <v>2</v>
      </c>
      <c r="F3835">
        <f>_xlfn.XLOOKUP(Table1[[#This Row],[ProductID]],Products!A:A,Products!D:D,,0)</f>
        <v>80</v>
      </c>
      <c r="I3835">
        <v>499</v>
      </c>
      <c r="J3835">
        <v>499</v>
      </c>
      <c r="K3835" t="s">
        <v>1102</v>
      </c>
      <c r="L3835">
        <v>998</v>
      </c>
      <c r="M3835" t="s">
        <v>1093</v>
      </c>
      <c r="N3835" t="s">
        <v>1099</v>
      </c>
      <c r="O3835">
        <f>Table1[[#This Row],[Unit_Price]]*Table1[[#This Row],[Quantity]]</f>
        <v>160</v>
      </c>
    </row>
    <row r="3836" spans="1:15" x14ac:dyDescent="0.3">
      <c r="A3836" t="s">
        <v>5657</v>
      </c>
      <c r="B3836" t="s">
        <v>2645</v>
      </c>
      <c r="C3836" t="s">
        <v>797</v>
      </c>
      <c r="D3836" t="s">
        <v>1068</v>
      </c>
      <c r="E3836">
        <v>1</v>
      </c>
      <c r="F3836">
        <f>_xlfn.XLOOKUP(Table1[[#This Row],[ProductID]],Products!A:A,Products!D:D,,0)</f>
        <v>180</v>
      </c>
      <c r="I3836">
        <v>449</v>
      </c>
      <c r="J3836">
        <v>404</v>
      </c>
      <c r="K3836" t="s">
        <v>1107</v>
      </c>
      <c r="L3836">
        <v>404</v>
      </c>
      <c r="M3836" t="s">
        <v>1093</v>
      </c>
      <c r="N3836" t="s">
        <v>1094</v>
      </c>
      <c r="O3836">
        <f>Table1[[#This Row],[Unit_Price]]*Table1[[#This Row],[Quantity]]</f>
        <v>180</v>
      </c>
    </row>
    <row r="3837" spans="1:15" x14ac:dyDescent="0.3">
      <c r="A3837" t="s">
        <v>5658</v>
      </c>
      <c r="B3837" t="s">
        <v>1778</v>
      </c>
      <c r="C3837" t="s">
        <v>47</v>
      </c>
      <c r="D3837" t="s">
        <v>1068</v>
      </c>
      <c r="E3837">
        <v>1</v>
      </c>
      <c r="F3837">
        <f>_xlfn.XLOOKUP(Table1[[#This Row],[ProductID]],Products!A:A,Products!D:D,,0)</f>
        <v>180</v>
      </c>
      <c r="I3837">
        <v>449</v>
      </c>
      <c r="J3837">
        <v>382</v>
      </c>
      <c r="K3837" t="s">
        <v>1092</v>
      </c>
      <c r="L3837">
        <v>382</v>
      </c>
      <c r="M3837" t="s">
        <v>1098</v>
      </c>
      <c r="N3837" t="s">
        <v>1099</v>
      </c>
      <c r="O3837">
        <f>Table1[[#This Row],[Unit_Price]]*Table1[[#This Row],[Quantity]]</f>
        <v>180</v>
      </c>
    </row>
    <row r="3838" spans="1:15" x14ac:dyDescent="0.3">
      <c r="A3838" t="s">
        <v>5659</v>
      </c>
      <c r="B3838" t="s">
        <v>1154</v>
      </c>
      <c r="C3838" t="s">
        <v>235</v>
      </c>
      <c r="D3838" t="s">
        <v>1048</v>
      </c>
      <c r="E3838">
        <v>1</v>
      </c>
      <c r="F3838">
        <f>_xlfn.XLOOKUP(Table1[[#This Row],[ProductID]],Products!A:A,Products!D:D,,0)</f>
        <v>120</v>
      </c>
      <c r="I3838">
        <v>599</v>
      </c>
      <c r="J3838">
        <v>539</v>
      </c>
      <c r="K3838" t="s">
        <v>1107</v>
      </c>
      <c r="L3838">
        <v>539</v>
      </c>
      <c r="M3838" t="s">
        <v>1098</v>
      </c>
      <c r="N3838" t="s">
        <v>1099</v>
      </c>
      <c r="O3838">
        <f>Table1[[#This Row],[Unit_Price]]*Table1[[#This Row],[Quantity]]</f>
        <v>120</v>
      </c>
    </row>
    <row r="3839" spans="1:15" x14ac:dyDescent="0.3">
      <c r="A3839" t="s">
        <v>5660</v>
      </c>
      <c r="B3839" t="s">
        <v>1260</v>
      </c>
      <c r="C3839" t="s">
        <v>571</v>
      </c>
      <c r="D3839" t="s">
        <v>1071</v>
      </c>
      <c r="E3839">
        <v>2</v>
      </c>
      <c r="F3839">
        <f>_xlfn.XLOOKUP(Table1[[#This Row],[ProductID]],Products!A:A,Products!D:D,,0)</f>
        <v>125</v>
      </c>
      <c r="I3839">
        <v>399</v>
      </c>
      <c r="J3839">
        <v>399</v>
      </c>
      <c r="K3839" t="s">
        <v>1102</v>
      </c>
      <c r="L3839">
        <v>798</v>
      </c>
      <c r="M3839" t="s">
        <v>1118</v>
      </c>
      <c r="N3839" t="s">
        <v>1099</v>
      </c>
      <c r="O3839">
        <f>Table1[[#This Row],[Unit_Price]]*Table1[[#This Row],[Quantity]]</f>
        <v>250</v>
      </c>
    </row>
    <row r="3840" spans="1:15" x14ac:dyDescent="0.3">
      <c r="A3840" t="s">
        <v>5661</v>
      </c>
      <c r="B3840" t="s">
        <v>3865</v>
      </c>
      <c r="C3840" t="s">
        <v>281</v>
      </c>
      <c r="D3840" t="s">
        <v>1075</v>
      </c>
      <c r="E3840">
        <v>2</v>
      </c>
      <c r="F3840">
        <f>_xlfn.XLOOKUP(Table1[[#This Row],[ProductID]],Products!A:A,Products!D:D,,0)</f>
        <v>80</v>
      </c>
      <c r="I3840">
        <v>499</v>
      </c>
      <c r="J3840">
        <v>449</v>
      </c>
      <c r="K3840" t="s">
        <v>1107</v>
      </c>
      <c r="L3840">
        <v>898</v>
      </c>
      <c r="M3840" t="s">
        <v>1126</v>
      </c>
      <c r="N3840" t="s">
        <v>1099</v>
      </c>
      <c r="O3840">
        <f>Table1[[#This Row],[Unit_Price]]*Table1[[#This Row],[Quantity]]</f>
        <v>160</v>
      </c>
    </row>
    <row r="3841" spans="1:15" x14ac:dyDescent="0.3">
      <c r="A3841" t="s">
        <v>5662</v>
      </c>
      <c r="B3841" t="s">
        <v>3051</v>
      </c>
      <c r="C3841" t="s">
        <v>475</v>
      </c>
      <c r="D3841" t="s">
        <v>1071</v>
      </c>
      <c r="E3841">
        <v>3</v>
      </c>
      <c r="F3841">
        <f>_xlfn.XLOOKUP(Table1[[#This Row],[ProductID]],Products!A:A,Products!D:D,,0)</f>
        <v>125</v>
      </c>
      <c r="I3841">
        <v>399</v>
      </c>
      <c r="J3841">
        <v>399</v>
      </c>
      <c r="K3841" t="s">
        <v>1102</v>
      </c>
      <c r="L3841">
        <v>1197</v>
      </c>
      <c r="M3841" t="s">
        <v>1098</v>
      </c>
      <c r="N3841" t="s">
        <v>1099</v>
      </c>
      <c r="O3841">
        <f>Table1[[#This Row],[Unit_Price]]*Table1[[#This Row],[Quantity]]</f>
        <v>375</v>
      </c>
    </row>
    <row r="3842" spans="1:15" x14ac:dyDescent="0.3">
      <c r="A3842" t="s">
        <v>5663</v>
      </c>
      <c r="B3842" t="s">
        <v>1182</v>
      </c>
      <c r="C3842" t="s">
        <v>829</v>
      </c>
      <c r="D3842" t="s">
        <v>1066</v>
      </c>
      <c r="E3842">
        <v>1</v>
      </c>
      <c r="F3842">
        <f>_xlfn.XLOOKUP(Table1[[#This Row],[ProductID]],Products!A:A,Products!D:D,,0)</f>
        <v>140</v>
      </c>
      <c r="I3842">
        <v>499</v>
      </c>
      <c r="J3842">
        <v>449</v>
      </c>
      <c r="K3842" t="s">
        <v>1107</v>
      </c>
      <c r="L3842">
        <v>449</v>
      </c>
      <c r="M3842" t="s">
        <v>1098</v>
      </c>
      <c r="N3842" t="s">
        <v>1099</v>
      </c>
      <c r="O3842">
        <f>Table1[[#This Row],[Unit_Price]]*Table1[[#This Row],[Quantity]]</f>
        <v>140</v>
      </c>
    </row>
    <row r="3843" spans="1:15" x14ac:dyDescent="0.3">
      <c r="A3843" t="s">
        <v>5664</v>
      </c>
      <c r="B3843" t="s">
        <v>2819</v>
      </c>
      <c r="C3843" t="s">
        <v>335</v>
      </c>
      <c r="D3843" t="s">
        <v>1075</v>
      </c>
      <c r="E3843">
        <v>2</v>
      </c>
      <c r="F3843">
        <f>_xlfn.XLOOKUP(Table1[[#This Row],[ProductID]],Products!A:A,Products!D:D,,0)</f>
        <v>80</v>
      </c>
      <c r="I3843">
        <v>499</v>
      </c>
      <c r="J3843">
        <v>449</v>
      </c>
      <c r="K3843" t="s">
        <v>1107</v>
      </c>
      <c r="L3843">
        <v>898</v>
      </c>
      <c r="M3843" t="s">
        <v>1098</v>
      </c>
      <c r="N3843" t="s">
        <v>1099</v>
      </c>
      <c r="O3843">
        <f>Table1[[#This Row],[Unit_Price]]*Table1[[#This Row],[Quantity]]</f>
        <v>160</v>
      </c>
    </row>
    <row r="3844" spans="1:15" x14ac:dyDescent="0.3">
      <c r="A3844" t="s">
        <v>5665</v>
      </c>
      <c r="B3844" t="s">
        <v>1622</v>
      </c>
      <c r="C3844" t="s">
        <v>853</v>
      </c>
      <c r="D3844" t="s">
        <v>1053</v>
      </c>
      <c r="E3844">
        <v>2</v>
      </c>
      <c r="F3844">
        <f>_xlfn.XLOOKUP(Table1[[#This Row],[ProductID]],Products!A:A,Products!D:D,,0)</f>
        <v>200</v>
      </c>
      <c r="I3844">
        <v>899</v>
      </c>
      <c r="J3844">
        <v>719</v>
      </c>
      <c r="K3844" t="s">
        <v>1097</v>
      </c>
      <c r="L3844">
        <v>1438</v>
      </c>
      <c r="M3844" t="s">
        <v>1093</v>
      </c>
      <c r="N3844" t="s">
        <v>1099</v>
      </c>
      <c r="O3844">
        <f>Table1[[#This Row],[Unit_Price]]*Table1[[#This Row],[Quantity]]</f>
        <v>400</v>
      </c>
    </row>
    <row r="3845" spans="1:15" x14ac:dyDescent="0.3">
      <c r="A3845" t="s">
        <v>5666</v>
      </c>
      <c r="B3845" t="s">
        <v>3902</v>
      </c>
      <c r="C3845" t="s">
        <v>971</v>
      </c>
      <c r="D3845" t="s">
        <v>1062</v>
      </c>
      <c r="E3845">
        <v>1</v>
      </c>
      <c r="F3845">
        <f>_xlfn.XLOOKUP(Table1[[#This Row],[ProductID]],Products!A:A,Products!D:D,,0)</f>
        <v>95</v>
      </c>
      <c r="I3845">
        <v>349</v>
      </c>
      <c r="J3845">
        <v>297</v>
      </c>
      <c r="K3845" t="s">
        <v>1092</v>
      </c>
      <c r="L3845">
        <v>297</v>
      </c>
      <c r="M3845" t="s">
        <v>1126</v>
      </c>
      <c r="N3845" t="s">
        <v>1099</v>
      </c>
      <c r="O3845">
        <f>Table1[[#This Row],[Unit_Price]]*Table1[[#This Row],[Quantity]]</f>
        <v>95</v>
      </c>
    </row>
    <row r="3846" spans="1:15" x14ac:dyDescent="0.3">
      <c r="A3846" t="s">
        <v>5667</v>
      </c>
      <c r="B3846" t="s">
        <v>3323</v>
      </c>
      <c r="C3846" t="s">
        <v>1009</v>
      </c>
      <c r="D3846" t="s">
        <v>1078</v>
      </c>
      <c r="E3846">
        <v>2</v>
      </c>
      <c r="F3846">
        <f>_xlfn.XLOOKUP(Table1[[#This Row],[ProductID]],Products!A:A,Products!D:D,,0)</f>
        <v>80</v>
      </c>
      <c r="I3846">
        <v>499</v>
      </c>
      <c r="J3846">
        <v>449</v>
      </c>
      <c r="K3846" t="s">
        <v>1107</v>
      </c>
      <c r="L3846">
        <v>898</v>
      </c>
      <c r="M3846" t="s">
        <v>1118</v>
      </c>
      <c r="N3846" t="s">
        <v>1099</v>
      </c>
      <c r="O3846">
        <f>Table1[[#This Row],[Unit_Price]]*Table1[[#This Row],[Quantity]]</f>
        <v>160</v>
      </c>
    </row>
    <row r="3847" spans="1:15" x14ac:dyDescent="0.3">
      <c r="A3847" t="s">
        <v>5668</v>
      </c>
      <c r="B3847" t="s">
        <v>1990</v>
      </c>
      <c r="C3847" t="s">
        <v>245</v>
      </c>
      <c r="D3847" t="s">
        <v>1053</v>
      </c>
      <c r="E3847">
        <v>1</v>
      </c>
      <c r="F3847">
        <f>_xlfn.XLOOKUP(Table1[[#This Row],[ProductID]],Products!A:A,Products!D:D,,0)</f>
        <v>200</v>
      </c>
      <c r="I3847">
        <v>899</v>
      </c>
      <c r="J3847">
        <v>809</v>
      </c>
      <c r="K3847" t="s">
        <v>1107</v>
      </c>
      <c r="L3847">
        <v>809</v>
      </c>
      <c r="M3847" t="s">
        <v>1093</v>
      </c>
      <c r="N3847" t="s">
        <v>1094</v>
      </c>
      <c r="O3847">
        <f>Table1[[#This Row],[Unit_Price]]*Table1[[#This Row],[Quantity]]</f>
        <v>200</v>
      </c>
    </row>
    <row r="3848" spans="1:15" x14ac:dyDescent="0.3">
      <c r="A3848" t="s">
        <v>5669</v>
      </c>
      <c r="B3848" t="s">
        <v>1761</v>
      </c>
      <c r="C3848" t="s">
        <v>913</v>
      </c>
      <c r="D3848" t="s">
        <v>1071</v>
      </c>
      <c r="E3848">
        <v>4</v>
      </c>
      <c r="F3848">
        <f>_xlfn.XLOOKUP(Table1[[#This Row],[ProductID]],Products!A:A,Products!D:D,,0)</f>
        <v>125</v>
      </c>
      <c r="I3848">
        <v>399</v>
      </c>
      <c r="J3848">
        <v>399</v>
      </c>
      <c r="K3848" t="s">
        <v>1102</v>
      </c>
      <c r="L3848">
        <v>1596</v>
      </c>
      <c r="M3848" t="s">
        <v>1126</v>
      </c>
      <c r="N3848" t="s">
        <v>1099</v>
      </c>
      <c r="O3848">
        <f>Table1[[#This Row],[Unit_Price]]*Table1[[#This Row],[Quantity]]</f>
        <v>500</v>
      </c>
    </row>
    <row r="3849" spans="1:15" x14ac:dyDescent="0.3">
      <c r="A3849" t="s">
        <v>5670</v>
      </c>
      <c r="B3849" t="s">
        <v>1918</v>
      </c>
      <c r="C3849" t="s">
        <v>59</v>
      </c>
      <c r="D3849" t="s">
        <v>1053</v>
      </c>
      <c r="E3849">
        <v>1</v>
      </c>
      <c r="F3849">
        <f>_xlfn.XLOOKUP(Table1[[#This Row],[ProductID]],Products!A:A,Products!D:D,,0)</f>
        <v>200</v>
      </c>
      <c r="I3849">
        <v>899</v>
      </c>
      <c r="J3849">
        <v>899</v>
      </c>
      <c r="K3849" t="s">
        <v>1102</v>
      </c>
      <c r="L3849">
        <v>899</v>
      </c>
      <c r="M3849" t="s">
        <v>1093</v>
      </c>
      <c r="N3849" t="s">
        <v>1123</v>
      </c>
      <c r="O3849">
        <f>Table1[[#This Row],[Unit_Price]]*Table1[[#This Row],[Quantity]]</f>
        <v>200</v>
      </c>
    </row>
    <row r="3850" spans="1:15" x14ac:dyDescent="0.3">
      <c r="A3850" t="s">
        <v>5671</v>
      </c>
      <c r="B3850" t="s">
        <v>3009</v>
      </c>
      <c r="C3850" t="s">
        <v>677</v>
      </c>
      <c r="D3850" t="s">
        <v>1064</v>
      </c>
      <c r="E3850">
        <v>2</v>
      </c>
      <c r="F3850">
        <f>_xlfn.XLOOKUP(Table1[[#This Row],[ProductID]],Products!A:A,Products!D:D,,0)</f>
        <v>160</v>
      </c>
      <c r="I3850">
        <v>699</v>
      </c>
      <c r="J3850">
        <v>699</v>
      </c>
      <c r="K3850" t="s">
        <v>1102</v>
      </c>
      <c r="L3850">
        <v>1398</v>
      </c>
      <c r="M3850" t="s">
        <v>1093</v>
      </c>
      <c r="N3850" t="s">
        <v>1099</v>
      </c>
      <c r="O3850">
        <f>Table1[[#This Row],[Unit_Price]]*Table1[[#This Row],[Quantity]]</f>
        <v>320</v>
      </c>
    </row>
    <row r="3851" spans="1:15" x14ac:dyDescent="0.3">
      <c r="A3851" t="s">
        <v>5672</v>
      </c>
      <c r="B3851" t="s">
        <v>2502</v>
      </c>
      <c r="C3851" t="s">
        <v>649</v>
      </c>
      <c r="D3851" t="s">
        <v>1062</v>
      </c>
      <c r="E3851">
        <v>1</v>
      </c>
      <c r="F3851">
        <f>_xlfn.XLOOKUP(Table1[[#This Row],[ProductID]],Products!A:A,Products!D:D,,0)</f>
        <v>95</v>
      </c>
      <c r="I3851">
        <v>349</v>
      </c>
      <c r="J3851">
        <v>314</v>
      </c>
      <c r="K3851" t="s">
        <v>1107</v>
      </c>
      <c r="L3851">
        <v>314</v>
      </c>
      <c r="M3851" t="s">
        <v>1093</v>
      </c>
      <c r="N3851" t="s">
        <v>1099</v>
      </c>
      <c r="O3851">
        <f>Table1[[#This Row],[Unit_Price]]*Table1[[#This Row],[Quantity]]</f>
        <v>95</v>
      </c>
    </row>
    <row r="3852" spans="1:15" x14ac:dyDescent="0.3">
      <c r="A3852" t="s">
        <v>5673</v>
      </c>
      <c r="B3852" t="s">
        <v>3507</v>
      </c>
      <c r="C3852" t="s">
        <v>245</v>
      </c>
      <c r="D3852" t="s">
        <v>1075</v>
      </c>
      <c r="E3852">
        <v>1</v>
      </c>
      <c r="F3852">
        <f>_xlfn.XLOOKUP(Table1[[#This Row],[ProductID]],Products!A:A,Products!D:D,,0)</f>
        <v>80</v>
      </c>
      <c r="I3852">
        <v>499</v>
      </c>
      <c r="J3852">
        <v>399</v>
      </c>
      <c r="K3852" t="s">
        <v>1097</v>
      </c>
      <c r="L3852">
        <v>399</v>
      </c>
      <c r="M3852" t="s">
        <v>1098</v>
      </c>
      <c r="N3852" t="s">
        <v>1099</v>
      </c>
      <c r="O3852">
        <f>Table1[[#This Row],[Unit_Price]]*Table1[[#This Row],[Quantity]]</f>
        <v>80</v>
      </c>
    </row>
    <row r="3853" spans="1:15" x14ac:dyDescent="0.3">
      <c r="A3853" t="s">
        <v>5674</v>
      </c>
      <c r="B3853" t="s">
        <v>2407</v>
      </c>
      <c r="C3853" t="s">
        <v>381</v>
      </c>
      <c r="D3853" t="s">
        <v>1071</v>
      </c>
      <c r="E3853">
        <v>1</v>
      </c>
      <c r="F3853">
        <f>_xlfn.XLOOKUP(Table1[[#This Row],[ProductID]],Products!A:A,Products!D:D,,0)</f>
        <v>125</v>
      </c>
      <c r="I3853">
        <v>399</v>
      </c>
      <c r="J3853">
        <v>399</v>
      </c>
      <c r="K3853" t="s">
        <v>1102</v>
      </c>
      <c r="L3853">
        <v>399</v>
      </c>
      <c r="M3853" t="s">
        <v>1126</v>
      </c>
      <c r="N3853" t="s">
        <v>1099</v>
      </c>
      <c r="O3853">
        <f>Table1[[#This Row],[Unit_Price]]*Table1[[#This Row],[Quantity]]</f>
        <v>125</v>
      </c>
    </row>
    <row r="3854" spans="1:15" x14ac:dyDescent="0.3">
      <c r="A3854" t="s">
        <v>5675</v>
      </c>
      <c r="B3854" t="s">
        <v>2070</v>
      </c>
      <c r="C3854" t="s">
        <v>479</v>
      </c>
      <c r="D3854" t="s">
        <v>1073</v>
      </c>
      <c r="E3854">
        <v>2</v>
      </c>
      <c r="F3854">
        <f>_xlfn.XLOOKUP(Table1[[#This Row],[ProductID]],Products!A:A,Products!D:D,,0)</f>
        <v>100</v>
      </c>
      <c r="I3854">
        <v>349</v>
      </c>
      <c r="J3854">
        <v>349</v>
      </c>
      <c r="K3854" t="s">
        <v>1102</v>
      </c>
      <c r="L3854">
        <v>698</v>
      </c>
      <c r="M3854" t="s">
        <v>1098</v>
      </c>
      <c r="N3854" t="s">
        <v>1099</v>
      </c>
      <c r="O3854">
        <f>Table1[[#This Row],[Unit_Price]]*Table1[[#This Row],[Quantity]]</f>
        <v>200</v>
      </c>
    </row>
    <row r="3855" spans="1:15" x14ac:dyDescent="0.3">
      <c r="A3855" t="s">
        <v>5676</v>
      </c>
      <c r="B3855" t="s">
        <v>1341</v>
      </c>
      <c r="C3855" t="s">
        <v>118</v>
      </c>
      <c r="D3855" t="s">
        <v>1068</v>
      </c>
      <c r="E3855">
        <v>2</v>
      </c>
      <c r="F3855">
        <f>_xlfn.XLOOKUP(Table1[[#This Row],[ProductID]],Products!A:A,Products!D:D,,0)</f>
        <v>180</v>
      </c>
      <c r="I3855">
        <v>449</v>
      </c>
      <c r="J3855">
        <v>359</v>
      </c>
      <c r="K3855" t="s">
        <v>1097</v>
      </c>
      <c r="L3855">
        <v>718</v>
      </c>
      <c r="M3855" t="s">
        <v>1093</v>
      </c>
      <c r="N3855" t="s">
        <v>1094</v>
      </c>
      <c r="O3855">
        <f>Table1[[#This Row],[Unit_Price]]*Table1[[#This Row],[Quantity]]</f>
        <v>360</v>
      </c>
    </row>
    <row r="3856" spans="1:15" x14ac:dyDescent="0.3">
      <c r="A3856" t="s">
        <v>5677</v>
      </c>
      <c r="B3856" t="s">
        <v>2867</v>
      </c>
      <c r="C3856" t="s">
        <v>391</v>
      </c>
      <c r="D3856" t="s">
        <v>1053</v>
      </c>
      <c r="E3856">
        <v>3</v>
      </c>
      <c r="F3856">
        <f>_xlfn.XLOOKUP(Table1[[#This Row],[ProductID]],Products!A:A,Products!D:D,,0)</f>
        <v>200</v>
      </c>
      <c r="I3856">
        <v>899</v>
      </c>
      <c r="J3856">
        <v>764</v>
      </c>
      <c r="K3856" t="s">
        <v>1092</v>
      </c>
      <c r="L3856">
        <v>2292</v>
      </c>
      <c r="M3856" t="s">
        <v>1093</v>
      </c>
      <c r="N3856" t="s">
        <v>1099</v>
      </c>
      <c r="O3856">
        <f>Table1[[#This Row],[Unit_Price]]*Table1[[#This Row],[Quantity]]</f>
        <v>600</v>
      </c>
    </row>
    <row r="3857" spans="1:15" x14ac:dyDescent="0.3">
      <c r="A3857" t="s">
        <v>5678</v>
      </c>
      <c r="B3857" t="s">
        <v>2006</v>
      </c>
      <c r="C3857" t="s">
        <v>905</v>
      </c>
      <c r="D3857" t="s">
        <v>1078</v>
      </c>
      <c r="E3857">
        <v>1</v>
      </c>
      <c r="F3857">
        <f>_xlfn.XLOOKUP(Table1[[#This Row],[ProductID]],Products!A:A,Products!D:D,,0)</f>
        <v>80</v>
      </c>
      <c r="I3857">
        <v>499</v>
      </c>
      <c r="J3857">
        <v>449</v>
      </c>
      <c r="K3857" t="s">
        <v>1107</v>
      </c>
      <c r="L3857">
        <v>449</v>
      </c>
      <c r="M3857" t="s">
        <v>1093</v>
      </c>
      <c r="N3857" t="s">
        <v>1099</v>
      </c>
      <c r="O3857">
        <f>Table1[[#This Row],[Unit_Price]]*Table1[[#This Row],[Quantity]]</f>
        <v>80</v>
      </c>
    </row>
    <row r="3858" spans="1:15" x14ac:dyDescent="0.3">
      <c r="A3858" t="s">
        <v>5679</v>
      </c>
      <c r="B3858" t="s">
        <v>1811</v>
      </c>
      <c r="C3858" t="s">
        <v>243</v>
      </c>
      <c r="D3858" t="s">
        <v>1066</v>
      </c>
      <c r="E3858">
        <v>4</v>
      </c>
      <c r="F3858">
        <f>_xlfn.XLOOKUP(Table1[[#This Row],[ProductID]],Products!A:A,Products!D:D,,0)</f>
        <v>140</v>
      </c>
      <c r="I3858">
        <v>499</v>
      </c>
      <c r="J3858">
        <v>399</v>
      </c>
      <c r="K3858" t="s">
        <v>1097</v>
      </c>
      <c r="L3858">
        <v>1596</v>
      </c>
      <c r="M3858" t="s">
        <v>1093</v>
      </c>
      <c r="N3858" t="s">
        <v>1099</v>
      </c>
      <c r="O3858">
        <f>Table1[[#This Row],[Unit_Price]]*Table1[[#This Row],[Quantity]]</f>
        <v>560</v>
      </c>
    </row>
    <row r="3859" spans="1:15" x14ac:dyDescent="0.3">
      <c r="A3859" t="s">
        <v>5680</v>
      </c>
      <c r="B3859" t="s">
        <v>2060</v>
      </c>
      <c r="C3859" t="s">
        <v>235</v>
      </c>
      <c r="D3859" t="s">
        <v>1073</v>
      </c>
      <c r="E3859">
        <v>4</v>
      </c>
      <c r="F3859">
        <f>_xlfn.XLOOKUP(Table1[[#This Row],[ProductID]],Products!A:A,Products!D:D,,0)</f>
        <v>100</v>
      </c>
      <c r="I3859">
        <v>349</v>
      </c>
      <c r="J3859">
        <v>297</v>
      </c>
      <c r="K3859" t="s">
        <v>1092</v>
      </c>
      <c r="L3859">
        <v>1188</v>
      </c>
      <c r="M3859" t="s">
        <v>1098</v>
      </c>
      <c r="N3859" t="s">
        <v>1099</v>
      </c>
      <c r="O3859">
        <f>Table1[[#This Row],[Unit_Price]]*Table1[[#This Row],[Quantity]]</f>
        <v>400</v>
      </c>
    </row>
    <row r="3860" spans="1:15" x14ac:dyDescent="0.3">
      <c r="A3860" t="s">
        <v>5681</v>
      </c>
      <c r="B3860" t="s">
        <v>1855</v>
      </c>
      <c r="C3860" t="s">
        <v>423</v>
      </c>
      <c r="D3860" t="s">
        <v>1068</v>
      </c>
      <c r="E3860">
        <v>2</v>
      </c>
      <c r="F3860">
        <f>_xlfn.XLOOKUP(Table1[[#This Row],[ProductID]],Products!A:A,Products!D:D,,0)</f>
        <v>180</v>
      </c>
      <c r="I3860">
        <v>449</v>
      </c>
      <c r="J3860">
        <v>359</v>
      </c>
      <c r="K3860" t="s">
        <v>1097</v>
      </c>
      <c r="L3860">
        <v>718</v>
      </c>
      <c r="M3860" t="s">
        <v>1126</v>
      </c>
      <c r="N3860" t="s">
        <v>1099</v>
      </c>
      <c r="O3860">
        <f>Table1[[#This Row],[Unit_Price]]*Table1[[#This Row],[Quantity]]</f>
        <v>360</v>
      </c>
    </row>
    <row r="3861" spans="1:15" x14ac:dyDescent="0.3">
      <c r="A3861" t="s">
        <v>5682</v>
      </c>
      <c r="B3861" t="s">
        <v>1482</v>
      </c>
      <c r="C3861" t="s">
        <v>855</v>
      </c>
      <c r="D3861" t="s">
        <v>1066</v>
      </c>
      <c r="E3861">
        <v>2</v>
      </c>
      <c r="F3861">
        <f>_xlfn.XLOOKUP(Table1[[#This Row],[ProductID]],Products!A:A,Products!D:D,,0)</f>
        <v>140</v>
      </c>
      <c r="I3861">
        <v>499</v>
      </c>
      <c r="J3861">
        <v>499</v>
      </c>
      <c r="K3861" t="s">
        <v>1102</v>
      </c>
      <c r="L3861">
        <v>998</v>
      </c>
      <c r="M3861" t="s">
        <v>1093</v>
      </c>
      <c r="N3861" t="s">
        <v>1099</v>
      </c>
      <c r="O3861">
        <f>Table1[[#This Row],[Unit_Price]]*Table1[[#This Row],[Quantity]]</f>
        <v>280</v>
      </c>
    </row>
    <row r="3862" spans="1:15" x14ac:dyDescent="0.3">
      <c r="A3862" t="s">
        <v>5683</v>
      </c>
      <c r="B3862" t="s">
        <v>5684</v>
      </c>
      <c r="C3862" t="s">
        <v>361</v>
      </c>
      <c r="D3862" t="s">
        <v>1066</v>
      </c>
      <c r="E3862">
        <v>2</v>
      </c>
      <c r="F3862">
        <f>_xlfn.XLOOKUP(Table1[[#This Row],[ProductID]],Products!A:A,Products!D:D,,0)</f>
        <v>140</v>
      </c>
      <c r="I3862">
        <v>499</v>
      </c>
      <c r="J3862">
        <v>449</v>
      </c>
      <c r="K3862" t="s">
        <v>1107</v>
      </c>
      <c r="L3862">
        <v>898</v>
      </c>
      <c r="M3862" t="s">
        <v>1098</v>
      </c>
      <c r="N3862" t="s">
        <v>1099</v>
      </c>
      <c r="O3862">
        <f>Table1[[#This Row],[Unit_Price]]*Table1[[#This Row],[Quantity]]</f>
        <v>280</v>
      </c>
    </row>
    <row r="3863" spans="1:15" x14ac:dyDescent="0.3">
      <c r="A3863" t="s">
        <v>5685</v>
      </c>
      <c r="B3863" t="s">
        <v>1304</v>
      </c>
      <c r="C3863" t="s">
        <v>1025</v>
      </c>
      <c r="D3863" t="s">
        <v>1075</v>
      </c>
      <c r="E3863">
        <v>1</v>
      </c>
      <c r="F3863">
        <f>_xlfn.XLOOKUP(Table1[[#This Row],[ProductID]],Products!A:A,Products!D:D,,0)</f>
        <v>80</v>
      </c>
      <c r="I3863">
        <v>499</v>
      </c>
      <c r="J3863">
        <v>399</v>
      </c>
      <c r="K3863" t="s">
        <v>1097</v>
      </c>
      <c r="L3863">
        <v>399</v>
      </c>
      <c r="M3863" t="s">
        <v>1098</v>
      </c>
      <c r="N3863" t="s">
        <v>1099</v>
      </c>
      <c r="O3863">
        <f>Table1[[#This Row],[Unit_Price]]*Table1[[#This Row],[Quantity]]</f>
        <v>80</v>
      </c>
    </row>
    <row r="3864" spans="1:15" x14ac:dyDescent="0.3">
      <c r="A3864" t="s">
        <v>5686</v>
      </c>
      <c r="B3864" t="s">
        <v>1240</v>
      </c>
      <c r="C3864" t="s">
        <v>557</v>
      </c>
      <c r="D3864" t="s">
        <v>1053</v>
      </c>
      <c r="E3864">
        <v>1</v>
      </c>
      <c r="F3864">
        <f>_xlfn.XLOOKUP(Table1[[#This Row],[ProductID]],Products!A:A,Products!D:D,,0)</f>
        <v>200</v>
      </c>
      <c r="I3864">
        <v>899</v>
      </c>
      <c r="J3864">
        <v>809</v>
      </c>
      <c r="K3864" t="s">
        <v>1107</v>
      </c>
      <c r="L3864">
        <v>809</v>
      </c>
      <c r="M3864" t="s">
        <v>1093</v>
      </c>
      <c r="N3864" t="s">
        <v>1099</v>
      </c>
      <c r="O3864">
        <f>Table1[[#This Row],[Unit_Price]]*Table1[[#This Row],[Quantity]]</f>
        <v>200</v>
      </c>
    </row>
    <row r="3865" spans="1:15" x14ac:dyDescent="0.3">
      <c r="A3865" t="s">
        <v>5687</v>
      </c>
      <c r="B3865" t="s">
        <v>2969</v>
      </c>
      <c r="C3865" t="s">
        <v>451</v>
      </c>
      <c r="D3865" t="s">
        <v>1078</v>
      </c>
      <c r="E3865">
        <v>1</v>
      </c>
      <c r="F3865">
        <f>_xlfn.XLOOKUP(Table1[[#This Row],[ProductID]],Products!A:A,Products!D:D,,0)</f>
        <v>80</v>
      </c>
      <c r="I3865">
        <v>499</v>
      </c>
      <c r="J3865">
        <v>499</v>
      </c>
      <c r="K3865" t="s">
        <v>1102</v>
      </c>
      <c r="L3865">
        <v>499</v>
      </c>
      <c r="M3865" t="s">
        <v>1126</v>
      </c>
      <c r="N3865" t="s">
        <v>1099</v>
      </c>
      <c r="O3865">
        <f>Table1[[#This Row],[Unit_Price]]*Table1[[#This Row],[Quantity]]</f>
        <v>80</v>
      </c>
    </row>
    <row r="3866" spans="1:15" x14ac:dyDescent="0.3">
      <c r="A3866" t="s">
        <v>5688</v>
      </c>
      <c r="B3866" t="s">
        <v>2316</v>
      </c>
      <c r="C3866" t="s">
        <v>311</v>
      </c>
      <c r="D3866" t="s">
        <v>1057</v>
      </c>
      <c r="E3866">
        <v>2</v>
      </c>
      <c r="F3866">
        <f>_xlfn.XLOOKUP(Table1[[#This Row],[ProductID]],Products!A:A,Products!D:D,,0)</f>
        <v>130</v>
      </c>
      <c r="I3866">
        <v>549</v>
      </c>
      <c r="J3866">
        <v>549</v>
      </c>
      <c r="K3866" t="s">
        <v>1102</v>
      </c>
      <c r="L3866">
        <v>1098</v>
      </c>
      <c r="M3866" t="s">
        <v>1093</v>
      </c>
      <c r="N3866" t="s">
        <v>1094</v>
      </c>
      <c r="O3866">
        <f>Table1[[#This Row],[Unit_Price]]*Table1[[#This Row],[Quantity]]</f>
        <v>260</v>
      </c>
    </row>
    <row r="3867" spans="1:15" x14ac:dyDescent="0.3">
      <c r="A3867" t="s">
        <v>5689</v>
      </c>
      <c r="B3867" t="s">
        <v>1918</v>
      </c>
      <c r="C3867" t="s">
        <v>925</v>
      </c>
      <c r="D3867" t="s">
        <v>1051</v>
      </c>
      <c r="E3867">
        <v>1</v>
      </c>
      <c r="F3867">
        <f>_xlfn.XLOOKUP(Table1[[#This Row],[ProductID]],Products!A:A,Products!D:D,,0)</f>
        <v>150</v>
      </c>
      <c r="I3867">
        <v>499</v>
      </c>
      <c r="J3867">
        <v>499</v>
      </c>
      <c r="K3867" t="s">
        <v>1102</v>
      </c>
      <c r="L3867">
        <v>499</v>
      </c>
      <c r="M3867" t="s">
        <v>1118</v>
      </c>
      <c r="N3867" t="s">
        <v>1099</v>
      </c>
      <c r="O3867">
        <f>Table1[[#This Row],[Unit_Price]]*Table1[[#This Row],[Quantity]]</f>
        <v>150</v>
      </c>
    </row>
    <row r="3868" spans="1:15" x14ac:dyDescent="0.3">
      <c r="A3868" t="s">
        <v>5690</v>
      </c>
      <c r="B3868" t="s">
        <v>1570</v>
      </c>
      <c r="C3868" t="s">
        <v>331</v>
      </c>
      <c r="D3868" t="s">
        <v>1073</v>
      </c>
      <c r="E3868">
        <v>1</v>
      </c>
      <c r="F3868">
        <f>_xlfn.XLOOKUP(Table1[[#This Row],[ProductID]],Products!A:A,Products!D:D,,0)</f>
        <v>100</v>
      </c>
      <c r="I3868">
        <v>349</v>
      </c>
      <c r="J3868">
        <v>349</v>
      </c>
      <c r="K3868" t="s">
        <v>1102</v>
      </c>
      <c r="L3868">
        <v>349</v>
      </c>
      <c r="M3868" t="s">
        <v>1126</v>
      </c>
      <c r="N3868" t="s">
        <v>1099</v>
      </c>
      <c r="O3868">
        <f>Table1[[#This Row],[Unit_Price]]*Table1[[#This Row],[Quantity]]</f>
        <v>100</v>
      </c>
    </row>
    <row r="3869" spans="1:15" x14ac:dyDescent="0.3">
      <c r="A3869" t="s">
        <v>5691</v>
      </c>
      <c r="B3869" t="s">
        <v>1296</v>
      </c>
      <c r="C3869" t="s">
        <v>681</v>
      </c>
      <c r="D3869" t="s">
        <v>1071</v>
      </c>
      <c r="E3869">
        <v>2</v>
      </c>
      <c r="F3869">
        <f>_xlfn.XLOOKUP(Table1[[#This Row],[ProductID]],Products!A:A,Products!D:D,,0)</f>
        <v>125</v>
      </c>
      <c r="I3869">
        <v>399</v>
      </c>
      <c r="J3869">
        <v>399</v>
      </c>
      <c r="K3869" t="s">
        <v>1102</v>
      </c>
      <c r="L3869">
        <v>798</v>
      </c>
      <c r="M3869" t="s">
        <v>1098</v>
      </c>
      <c r="N3869" t="s">
        <v>1099</v>
      </c>
      <c r="O3869">
        <f>Table1[[#This Row],[Unit_Price]]*Table1[[#This Row],[Quantity]]</f>
        <v>250</v>
      </c>
    </row>
    <row r="3870" spans="1:15" x14ac:dyDescent="0.3">
      <c r="A3870" t="s">
        <v>5692</v>
      </c>
      <c r="B3870" t="s">
        <v>1272</v>
      </c>
      <c r="C3870" t="s">
        <v>881</v>
      </c>
      <c r="D3870" t="s">
        <v>1075</v>
      </c>
      <c r="E3870">
        <v>1</v>
      </c>
      <c r="F3870">
        <f>_xlfn.XLOOKUP(Table1[[#This Row],[ProductID]],Products!A:A,Products!D:D,,0)</f>
        <v>80</v>
      </c>
      <c r="I3870">
        <v>499</v>
      </c>
      <c r="J3870">
        <v>449</v>
      </c>
      <c r="K3870" t="s">
        <v>1107</v>
      </c>
      <c r="L3870">
        <v>449</v>
      </c>
      <c r="M3870" t="s">
        <v>1098</v>
      </c>
      <c r="N3870" t="s">
        <v>1099</v>
      </c>
      <c r="O3870">
        <f>Table1[[#This Row],[Unit_Price]]*Table1[[#This Row],[Quantity]]</f>
        <v>80</v>
      </c>
    </row>
    <row r="3871" spans="1:15" x14ac:dyDescent="0.3">
      <c r="A3871" t="s">
        <v>5693</v>
      </c>
      <c r="B3871" t="s">
        <v>1681</v>
      </c>
      <c r="C3871" t="s">
        <v>987</v>
      </c>
      <c r="D3871" t="s">
        <v>1068</v>
      </c>
      <c r="E3871">
        <v>2</v>
      </c>
      <c r="F3871">
        <f>_xlfn.XLOOKUP(Table1[[#This Row],[ProductID]],Products!A:A,Products!D:D,,0)</f>
        <v>180</v>
      </c>
      <c r="I3871">
        <v>449</v>
      </c>
      <c r="J3871">
        <v>359</v>
      </c>
      <c r="K3871" t="s">
        <v>1097</v>
      </c>
      <c r="L3871">
        <v>718</v>
      </c>
      <c r="M3871" t="s">
        <v>1098</v>
      </c>
      <c r="N3871" t="s">
        <v>1099</v>
      </c>
      <c r="O3871">
        <f>Table1[[#This Row],[Unit_Price]]*Table1[[#This Row],[Quantity]]</f>
        <v>360</v>
      </c>
    </row>
    <row r="3872" spans="1:15" x14ac:dyDescent="0.3">
      <c r="A3872" t="s">
        <v>5694</v>
      </c>
      <c r="B3872" t="s">
        <v>3113</v>
      </c>
      <c r="C3872" t="s">
        <v>947</v>
      </c>
      <c r="D3872" t="s">
        <v>1057</v>
      </c>
      <c r="E3872">
        <v>4</v>
      </c>
      <c r="F3872">
        <f>_xlfn.XLOOKUP(Table1[[#This Row],[ProductID]],Products!A:A,Products!D:D,,0)</f>
        <v>130</v>
      </c>
      <c r="I3872">
        <v>549</v>
      </c>
      <c r="J3872">
        <v>467</v>
      </c>
      <c r="K3872" t="s">
        <v>1092</v>
      </c>
      <c r="L3872">
        <v>1868</v>
      </c>
      <c r="M3872" t="s">
        <v>1098</v>
      </c>
      <c r="N3872" t="s">
        <v>1099</v>
      </c>
      <c r="O3872">
        <f>Table1[[#This Row],[Unit_Price]]*Table1[[#This Row],[Quantity]]</f>
        <v>520</v>
      </c>
    </row>
    <row r="3873" spans="1:15" x14ac:dyDescent="0.3">
      <c r="A3873" t="s">
        <v>5695</v>
      </c>
      <c r="B3873" t="s">
        <v>1977</v>
      </c>
      <c r="C3873" t="s">
        <v>695</v>
      </c>
      <c r="D3873" t="s">
        <v>1073</v>
      </c>
      <c r="E3873">
        <v>1</v>
      </c>
      <c r="F3873">
        <f>_xlfn.XLOOKUP(Table1[[#This Row],[ProductID]],Products!A:A,Products!D:D,,0)</f>
        <v>100</v>
      </c>
      <c r="I3873">
        <v>349</v>
      </c>
      <c r="J3873">
        <v>349</v>
      </c>
      <c r="K3873" t="s">
        <v>1102</v>
      </c>
      <c r="L3873">
        <v>349</v>
      </c>
      <c r="M3873" t="s">
        <v>1093</v>
      </c>
      <c r="N3873" t="s">
        <v>1099</v>
      </c>
      <c r="O3873">
        <f>Table1[[#This Row],[Unit_Price]]*Table1[[#This Row],[Quantity]]</f>
        <v>100</v>
      </c>
    </row>
    <row r="3874" spans="1:15" x14ac:dyDescent="0.3">
      <c r="A3874" t="s">
        <v>5696</v>
      </c>
      <c r="B3874" t="s">
        <v>3397</v>
      </c>
      <c r="C3874" t="s">
        <v>1019</v>
      </c>
      <c r="D3874" t="s">
        <v>1075</v>
      </c>
      <c r="E3874">
        <v>2</v>
      </c>
      <c r="F3874">
        <f>_xlfn.XLOOKUP(Table1[[#This Row],[ProductID]],Products!A:A,Products!D:D,,0)</f>
        <v>80</v>
      </c>
      <c r="I3874">
        <v>499</v>
      </c>
      <c r="J3874">
        <v>499</v>
      </c>
      <c r="K3874" t="s">
        <v>1102</v>
      </c>
      <c r="L3874">
        <v>998</v>
      </c>
      <c r="M3874" t="s">
        <v>1098</v>
      </c>
      <c r="N3874" t="s">
        <v>1099</v>
      </c>
      <c r="O3874">
        <f>Table1[[#This Row],[Unit_Price]]*Table1[[#This Row],[Quantity]]</f>
        <v>160</v>
      </c>
    </row>
    <row r="3875" spans="1:15" x14ac:dyDescent="0.3">
      <c r="A3875" t="s">
        <v>5697</v>
      </c>
      <c r="B3875" t="s">
        <v>2075</v>
      </c>
      <c r="C3875" t="s">
        <v>867</v>
      </c>
      <c r="D3875" t="s">
        <v>1057</v>
      </c>
      <c r="E3875">
        <v>1</v>
      </c>
      <c r="F3875">
        <f>_xlfn.XLOOKUP(Table1[[#This Row],[ProductID]],Products!A:A,Products!D:D,,0)</f>
        <v>130</v>
      </c>
      <c r="I3875">
        <v>549</v>
      </c>
      <c r="J3875">
        <v>549</v>
      </c>
      <c r="K3875" t="s">
        <v>1102</v>
      </c>
      <c r="L3875">
        <v>549</v>
      </c>
      <c r="M3875" t="s">
        <v>1118</v>
      </c>
      <c r="N3875" t="s">
        <v>1099</v>
      </c>
      <c r="O3875">
        <f>Table1[[#This Row],[Unit_Price]]*Table1[[#This Row],[Quantity]]</f>
        <v>130</v>
      </c>
    </row>
    <row r="3876" spans="1:15" x14ac:dyDescent="0.3">
      <c r="A3876" t="s">
        <v>5698</v>
      </c>
      <c r="B3876" t="s">
        <v>2324</v>
      </c>
      <c r="C3876" t="s">
        <v>655</v>
      </c>
      <c r="D3876" t="s">
        <v>1075</v>
      </c>
      <c r="E3876">
        <v>3</v>
      </c>
      <c r="F3876">
        <f>_xlfn.XLOOKUP(Table1[[#This Row],[ProductID]],Products!A:A,Products!D:D,,0)</f>
        <v>80</v>
      </c>
      <c r="I3876">
        <v>499</v>
      </c>
      <c r="J3876">
        <v>449</v>
      </c>
      <c r="K3876" t="s">
        <v>1107</v>
      </c>
      <c r="L3876">
        <v>1347</v>
      </c>
      <c r="M3876" t="s">
        <v>1093</v>
      </c>
      <c r="N3876" t="s">
        <v>1099</v>
      </c>
      <c r="O3876">
        <f>Table1[[#This Row],[Unit_Price]]*Table1[[#This Row],[Quantity]]</f>
        <v>240</v>
      </c>
    </row>
    <row r="3877" spans="1:15" x14ac:dyDescent="0.3">
      <c r="A3877" t="s">
        <v>5699</v>
      </c>
      <c r="B3877" t="s">
        <v>2947</v>
      </c>
      <c r="C3877" t="s">
        <v>427</v>
      </c>
      <c r="D3877" t="s">
        <v>1059</v>
      </c>
      <c r="E3877">
        <v>4</v>
      </c>
      <c r="F3877">
        <f>_xlfn.XLOOKUP(Table1[[#This Row],[ProductID]],Products!A:A,Products!D:D,,0)</f>
        <v>110</v>
      </c>
      <c r="I3877">
        <v>399</v>
      </c>
      <c r="J3877">
        <v>319</v>
      </c>
      <c r="K3877" t="s">
        <v>1097</v>
      </c>
      <c r="L3877">
        <v>1276</v>
      </c>
      <c r="M3877" t="s">
        <v>1093</v>
      </c>
      <c r="N3877" t="s">
        <v>1099</v>
      </c>
      <c r="O3877">
        <f>Table1[[#This Row],[Unit_Price]]*Table1[[#This Row],[Quantity]]</f>
        <v>440</v>
      </c>
    </row>
    <row r="3878" spans="1:15" x14ac:dyDescent="0.3">
      <c r="A3878" t="s">
        <v>5700</v>
      </c>
      <c r="B3878" t="s">
        <v>1438</v>
      </c>
      <c r="C3878" t="s">
        <v>413</v>
      </c>
      <c r="D3878" t="s">
        <v>1055</v>
      </c>
      <c r="E3878">
        <v>3</v>
      </c>
      <c r="F3878">
        <f>_xlfn.XLOOKUP(Table1[[#This Row],[ProductID]],Products!A:A,Products!D:D,,0)</f>
        <v>75</v>
      </c>
      <c r="I3878">
        <v>299</v>
      </c>
      <c r="J3878">
        <v>299</v>
      </c>
      <c r="K3878" t="s">
        <v>1102</v>
      </c>
      <c r="L3878">
        <v>897</v>
      </c>
      <c r="M3878" t="s">
        <v>1093</v>
      </c>
      <c r="N3878" t="s">
        <v>1099</v>
      </c>
      <c r="O3878">
        <f>Table1[[#This Row],[Unit_Price]]*Table1[[#This Row],[Quantity]]</f>
        <v>225</v>
      </c>
    </row>
    <row r="3879" spans="1:15" x14ac:dyDescent="0.3">
      <c r="A3879" t="s">
        <v>5701</v>
      </c>
      <c r="B3879" t="s">
        <v>2187</v>
      </c>
      <c r="C3879" t="s">
        <v>915</v>
      </c>
      <c r="D3879" t="s">
        <v>1064</v>
      </c>
      <c r="E3879">
        <v>2</v>
      </c>
      <c r="F3879">
        <f>_xlfn.XLOOKUP(Table1[[#This Row],[ProductID]],Products!A:A,Products!D:D,,0)</f>
        <v>160</v>
      </c>
      <c r="I3879">
        <v>699</v>
      </c>
      <c r="J3879">
        <v>559</v>
      </c>
      <c r="K3879" t="s">
        <v>1097</v>
      </c>
      <c r="L3879">
        <v>1118</v>
      </c>
      <c r="M3879" t="s">
        <v>1093</v>
      </c>
      <c r="N3879" t="s">
        <v>1094</v>
      </c>
      <c r="O3879">
        <f>Table1[[#This Row],[Unit_Price]]*Table1[[#This Row],[Quantity]]</f>
        <v>320</v>
      </c>
    </row>
    <row r="3880" spans="1:15" x14ac:dyDescent="0.3">
      <c r="A3880" t="s">
        <v>5702</v>
      </c>
      <c r="B3880" t="s">
        <v>2160</v>
      </c>
      <c r="C3880" t="s">
        <v>467</v>
      </c>
      <c r="D3880" t="s">
        <v>1048</v>
      </c>
      <c r="E3880">
        <v>1</v>
      </c>
      <c r="F3880">
        <f>_xlfn.XLOOKUP(Table1[[#This Row],[ProductID]],Products!A:A,Products!D:D,,0)</f>
        <v>120</v>
      </c>
      <c r="I3880">
        <v>599</v>
      </c>
      <c r="J3880">
        <v>539</v>
      </c>
      <c r="K3880" t="s">
        <v>1107</v>
      </c>
      <c r="L3880">
        <v>539</v>
      </c>
      <c r="M3880" t="s">
        <v>1093</v>
      </c>
      <c r="N3880" t="s">
        <v>1099</v>
      </c>
      <c r="O3880">
        <f>Table1[[#This Row],[Unit_Price]]*Table1[[#This Row],[Quantity]]</f>
        <v>120</v>
      </c>
    </row>
    <row r="3881" spans="1:15" x14ac:dyDescent="0.3">
      <c r="A3881" t="s">
        <v>5703</v>
      </c>
      <c r="B3881" t="s">
        <v>3952</v>
      </c>
      <c r="C3881" t="s">
        <v>401</v>
      </c>
      <c r="D3881" t="s">
        <v>1053</v>
      </c>
      <c r="E3881">
        <v>4</v>
      </c>
      <c r="F3881">
        <f>_xlfn.XLOOKUP(Table1[[#This Row],[ProductID]],Products!A:A,Products!D:D,,0)</f>
        <v>200</v>
      </c>
      <c r="I3881">
        <v>899</v>
      </c>
      <c r="J3881">
        <v>899</v>
      </c>
      <c r="K3881" t="s">
        <v>1102</v>
      </c>
      <c r="L3881">
        <v>3596</v>
      </c>
      <c r="M3881" t="s">
        <v>1098</v>
      </c>
      <c r="N3881" t="s">
        <v>1099</v>
      </c>
      <c r="O3881">
        <f>Table1[[#This Row],[Unit_Price]]*Table1[[#This Row],[Quantity]]</f>
        <v>800</v>
      </c>
    </row>
    <row r="3882" spans="1:15" x14ac:dyDescent="0.3">
      <c r="A3882" t="s">
        <v>5704</v>
      </c>
      <c r="B3882" t="s">
        <v>1404</v>
      </c>
      <c r="C3882" t="s">
        <v>114</v>
      </c>
      <c r="D3882" t="s">
        <v>1059</v>
      </c>
      <c r="E3882">
        <v>1</v>
      </c>
      <c r="F3882">
        <f>_xlfn.XLOOKUP(Table1[[#This Row],[ProductID]],Products!A:A,Products!D:D,,0)</f>
        <v>110</v>
      </c>
      <c r="I3882">
        <v>399</v>
      </c>
      <c r="J3882">
        <v>339</v>
      </c>
      <c r="K3882" t="s">
        <v>1092</v>
      </c>
      <c r="L3882">
        <v>339</v>
      </c>
      <c r="M3882" t="s">
        <v>1098</v>
      </c>
      <c r="N3882" t="s">
        <v>1099</v>
      </c>
      <c r="O3882">
        <f>Table1[[#This Row],[Unit_Price]]*Table1[[#This Row],[Quantity]]</f>
        <v>110</v>
      </c>
    </row>
    <row r="3883" spans="1:15" x14ac:dyDescent="0.3">
      <c r="A3883" t="s">
        <v>5705</v>
      </c>
      <c r="B3883" t="s">
        <v>1264</v>
      </c>
      <c r="C3883" t="s">
        <v>25</v>
      </c>
      <c r="D3883" t="s">
        <v>1053</v>
      </c>
      <c r="E3883">
        <v>4</v>
      </c>
      <c r="F3883">
        <f>_xlfn.XLOOKUP(Table1[[#This Row],[ProductID]],Products!A:A,Products!D:D,,0)</f>
        <v>200</v>
      </c>
      <c r="I3883">
        <v>899</v>
      </c>
      <c r="J3883">
        <v>899</v>
      </c>
      <c r="K3883" t="s">
        <v>1102</v>
      </c>
      <c r="L3883">
        <v>3596</v>
      </c>
      <c r="M3883" t="s">
        <v>1093</v>
      </c>
      <c r="N3883" t="s">
        <v>1099</v>
      </c>
      <c r="O3883">
        <f>Table1[[#This Row],[Unit_Price]]*Table1[[#This Row],[Quantity]]</f>
        <v>800</v>
      </c>
    </row>
    <row r="3884" spans="1:15" x14ac:dyDescent="0.3">
      <c r="A3884" t="s">
        <v>5706</v>
      </c>
      <c r="B3884" t="s">
        <v>2160</v>
      </c>
      <c r="C3884" t="s">
        <v>431</v>
      </c>
      <c r="D3884" t="s">
        <v>1053</v>
      </c>
      <c r="E3884">
        <v>1</v>
      </c>
      <c r="F3884">
        <f>_xlfn.XLOOKUP(Table1[[#This Row],[ProductID]],Products!A:A,Products!D:D,,0)</f>
        <v>200</v>
      </c>
      <c r="I3884">
        <v>899</v>
      </c>
      <c r="J3884">
        <v>899</v>
      </c>
      <c r="K3884" t="s">
        <v>1102</v>
      </c>
      <c r="L3884">
        <v>899</v>
      </c>
      <c r="M3884" t="s">
        <v>1093</v>
      </c>
      <c r="N3884" t="s">
        <v>1099</v>
      </c>
      <c r="O3884">
        <f>Table1[[#This Row],[Unit_Price]]*Table1[[#This Row],[Quantity]]</f>
        <v>200</v>
      </c>
    </row>
    <row r="3885" spans="1:15" x14ac:dyDescent="0.3">
      <c r="A3885" t="s">
        <v>5707</v>
      </c>
      <c r="B3885" t="s">
        <v>1296</v>
      </c>
      <c r="C3885" t="s">
        <v>156</v>
      </c>
      <c r="D3885" t="s">
        <v>1068</v>
      </c>
      <c r="E3885">
        <v>1</v>
      </c>
      <c r="F3885">
        <f>_xlfn.XLOOKUP(Table1[[#This Row],[ProductID]],Products!A:A,Products!D:D,,0)</f>
        <v>180</v>
      </c>
      <c r="I3885">
        <v>449</v>
      </c>
      <c r="J3885">
        <v>449</v>
      </c>
      <c r="K3885" t="s">
        <v>1102</v>
      </c>
      <c r="L3885">
        <v>449</v>
      </c>
      <c r="M3885" t="s">
        <v>1098</v>
      </c>
      <c r="N3885" t="s">
        <v>1099</v>
      </c>
      <c r="O3885">
        <f>Table1[[#This Row],[Unit_Price]]*Table1[[#This Row],[Quantity]]</f>
        <v>180</v>
      </c>
    </row>
    <row r="3886" spans="1:15" x14ac:dyDescent="0.3">
      <c r="A3886" t="s">
        <v>5708</v>
      </c>
      <c r="B3886" t="s">
        <v>4074</v>
      </c>
      <c r="C3886" t="s">
        <v>455</v>
      </c>
      <c r="D3886" t="s">
        <v>1075</v>
      </c>
      <c r="E3886">
        <v>3</v>
      </c>
      <c r="F3886">
        <f>_xlfn.XLOOKUP(Table1[[#This Row],[ProductID]],Products!A:A,Products!D:D,,0)</f>
        <v>80</v>
      </c>
      <c r="I3886">
        <v>499</v>
      </c>
      <c r="J3886">
        <v>499</v>
      </c>
      <c r="K3886" t="s">
        <v>1102</v>
      </c>
      <c r="L3886">
        <v>1497</v>
      </c>
      <c r="M3886" t="s">
        <v>1093</v>
      </c>
      <c r="N3886" t="s">
        <v>1099</v>
      </c>
      <c r="O3886">
        <f>Table1[[#This Row],[Unit_Price]]*Table1[[#This Row],[Quantity]]</f>
        <v>240</v>
      </c>
    </row>
    <row r="3887" spans="1:15" x14ac:dyDescent="0.3">
      <c r="A3887" t="s">
        <v>5709</v>
      </c>
      <c r="B3887" t="s">
        <v>1813</v>
      </c>
      <c r="C3887" t="s">
        <v>167</v>
      </c>
      <c r="D3887" t="s">
        <v>1080</v>
      </c>
      <c r="E3887">
        <v>1</v>
      </c>
      <c r="F3887">
        <f>_xlfn.XLOOKUP(Table1[[#This Row],[ProductID]],Products!A:A,Products!D:D,,0)</f>
        <v>45</v>
      </c>
      <c r="I3887">
        <v>249</v>
      </c>
      <c r="J3887">
        <v>249</v>
      </c>
      <c r="K3887" t="s">
        <v>1102</v>
      </c>
      <c r="L3887">
        <v>249</v>
      </c>
      <c r="M3887" t="s">
        <v>1098</v>
      </c>
      <c r="N3887" t="s">
        <v>1099</v>
      </c>
      <c r="O3887">
        <f>Table1[[#This Row],[Unit_Price]]*Table1[[#This Row],[Quantity]]</f>
        <v>45</v>
      </c>
    </row>
    <row r="3888" spans="1:15" x14ac:dyDescent="0.3">
      <c r="A3888" t="s">
        <v>5710</v>
      </c>
      <c r="B3888" t="s">
        <v>2316</v>
      </c>
      <c r="C3888" t="s">
        <v>917</v>
      </c>
      <c r="D3888" t="s">
        <v>1064</v>
      </c>
      <c r="E3888">
        <v>1</v>
      </c>
      <c r="F3888">
        <f>_xlfn.XLOOKUP(Table1[[#This Row],[ProductID]],Products!A:A,Products!D:D,,0)</f>
        <v>160</v>
      </c>
      <c r="I3888">
        <v>699</v>
      </c>
      <c r="J3888">
        <v>629</v>
      </c>
      <c r="K3888" t="s">
        <v>1107</v>
      </c>
      <c r="L3888">
        <v>629</v>
      </c>
      <c r="M3888" t="s">
        <v>1093</v>
      </c>
      <c r="N3888" t="s">
        <v>1099</v>
      </c>
      <c r="O3888">
        <f>Table1[[#This Row],[Unit_Price]]*Table1[[#This Row],[Quantity]]</f>
        <v>160</v>
      </c>
    </row>
    <row r="3889" spans="1:15" x14ac:dyDescent="0.3">
      <c r="A3889" t="s">
        <v>5711</v>
      </c>
      <c r="B3889" t="s">
        <v>1162</v>
      </c>
      <c r="C3889" t="s">
        <v>673</v>
      </c>
      <c r="D3889" t="s">
        <v>1059</v>
      </c>
      <c r="E3889">
        <v>1</v>
      </c>
      <c r="F3889">
        <f>_xlfn.XLOOKUP(Table1[[#This Row],[ProductID]],Products!A:A,Products!D:D,,0)</f>
        <v>110</v>
      </c>
      <c r="I3889">
        <v>399</v>
      </c>
      <c r="J3889">
        <v>399</v>
      </c>
      <c r="K3889" t="s">
        <v>1102</v>
      </c>
      <c r="L3889">
        <v>399</v>
      </c>
      <c r="M3889" t="s">
        <v>1093</v>
      </c>
      <c r="N3889" t="s">
        <v>1123</v>
      </c>
      <c r="O3889">
        <f>Table1[[#This Row],[Unit_Price]]*Table1[[#This Row],[Quantity]]</f>
        <v>110</v>
      </c>
    </row>
    <row r="3890" spans="1:15" x14ac:dyDescent="0.3">
      <c r="A3890" t="s">
        <v>5712</v>
      </c>
      <c r="B3890" t="s">
        <v>1549</v>
      </c>
      <c r="C3890" t="s">
        <v>327</v>
      </c>
      <c r="D3890" t="s">
        <v>1068</v>
      </c>
      <c r="E3890">
        <v>2</v>
      </c>
      <c r="F3890">
        <f>_xlfn.XLOOKUP(Table1[[#This Row],[ProductID]],Products!A:A,Products!D:D,,0)</f>
        <v>180</v>
      </c>
      <c r="I3890">
        <v>449</v>
      </c>
      <c r="J3890">
        <v>404</v>
      </c>
      <c r="K3890" t="s">
        <v>1107</v>
      </c>
      <c r="L3890">
        <v>808</v>
      </c>
      <c r="M3890" t="s">
        <v>1098</v>
      </c>
      <c r="N3890" t="s">
        <v>1099</v>
      </c>
      <c r="O3890">
        <f>Table1[[#This Row],[Unit_Price]]*Table1[[#This Row],[Quantity]]</f>
        <v>360</v>
      </c>
    </row>
    <row r="3891" spans="1:15" x14ac:dyDescent="0.3">
      <c r="A3891" t="s">
        <v>5713</v>
      </c>
      <c r="B3891" t="s">
        <v>1443</v>
      </c>
      <c r="C3891" t="s">
        <v>169</v>
      </c>
      <c r="D3891" t="s">
        <v>1048</v>
      </c>
      <c r="E3891">
        <v>4</v>
      </c>
      <c r="F3891">
        <f>_xlfn.XLOOKUP(Table1[[#This Row],[ProductID]],Products!A:A,Products!D:D,,0)</f>
        <v>120</v>
      </c>
      <c r="I3891">
        <v>599</v>
      </c>
      <c r="J3891">
        <v>539</v>
      </c>
      <c r="K3891" t="s">
        <v>1107</v>
      </c>
      <c r="L3891">
        <v>2156</v>
      </c>
      <c r="M3891" t="s">
        <v>1093</v>
      </c>
      <c r="N3891" t="s">
        <v>1099</v>
      </c>
      <c r="O3891">
        <f>Table1[[#This Row],[Unit_Price]]*Table1[[#This Row],[Quantity]]</f>
        <v>480</v>
      </c>
    </row>
    <row r="3892" spans="1:15" x14ac:dyDescent="0.3">
      <c r="A3892" t="s">
        <v>5714</v>
      </c>
      <c r="B3892" t="s">
        <v>2267</v>
      </c>
      <c r="C3892" t="s">
        <v>671</v>
      </c>
      <c r="D3892" t="s">
        <v>1080</v>
      </c>
      <c r="E3892">
        <v>1</v>
      </c>
      <c r="F3892">
        <f>_xlfn.XLOOKUP(Table1[[#This Row],[ProductID]],Products!A:A,Products!D:D,,0)</f>
        <v>45</v>
      </c>
      <c r="I3892">
        <v>249</v>
      </c>
      <c r="J3892">
        <v>249</v>
      </c>
      <c r="K3892" t="s">
        <v>1102</v>
      </c>
      <c r="L3892">
        <v>249</v>
      </c>
      <c r="M3892" t="s">
        <v>1093</v>
      </c>
      <c r="N3892" t="s">
        <v>1099</v>
      </c>
      <c r="O3892">
        <f>Table1[[#This Row],[Unit_Price]]*Table1[[#This Row],[Quantity]]</f>
        <v>45</v>
      </c>
    </row>
    <row r="3893" spans="1:15" x14ac:dyDescent="0.3">
      <c r="A3893" t="s">
        <v>5715</v>
      </c>
      <c r="B3893" t="s">
        <v>2967</v>
      </c>
      <c r="C3893" t="s">
        <v>162</v>
      </c>
      <c r="D3893" t="s">
        <v>1053</v>
      </c>
      <c r="E3893">
        <v>1</v>
      </c>
      <c r="F3893">
        <f>_xlfn.XLOOKUP(Table1[[#This Row],[ProductID]],Products!A:A,Products!D:D,,0)</f>
        <v>200</v>
      </c>
      <c r="I3893">
        <v>899</v>
      </c>
      <c r="J3893">
        <v>719</v>
      </c>
      <c r="K3893" t="s">
        <v>1097</v>
      </c>
      <c r="L3893">
        <v>719</v>
      </c>
      <c r="M3893" t="s">
        <v>1093</v>
      </c>
      <c r="N3893" t="s">
        <v>1094</v>
      </c>
      <c r="O3893">
        <f>Table1[[#This Row],[Unit_Price]]*Table1[[#This Row],[Quantity]]</f>
        <v>200</v>
      </c>
    </row>
    <row r="3894" spans="1:15" x14ac:dyDescent="0.3">
      <c r="A3894" t="s">
        <v>5716</v>
      </c>
      <c r="B3894" t="s">
        <v>3713</v>
      </c>
      <c r="C3894" t="s">
        <v>937</v>
      </c>
      <c r="D3894" t="s">
        <v>1048</v>
      </c>
      <c r="E3894">
        <v>1</v>
      </c>
      <c r="F3894">
        <f>_xlfn.XLOOKUP(Table1[[#This Row],[ProductID]],Products!A:A,Products!D:D,,0)</f>
        <v>120</v>
      </c>
      <c r="I3894">
        <v>599</v>
      </c>
      <c r="J3894">
        <v>539</v>
      </c>
      <c r="K3894" t="s">
        <v>1107</v>
      </c>
      <c r="L3894">
        <v>539</v>
      </c>
      <c r="M3894" t="s">
        <v>1098</v>
      </c>
      <c r="N3894" t="s">
        <v>1099</v>
      </c>
      <c r="O3894">
        <f>Table1[[#This Row],[Unit_Price]]*Table1[[#This Row],[Quantity]]</f>
        <v>120</v>
      </c>
    </row>
    <row r="3895" spans="1:15" x14ac:dyDescent="0.3">
      <c r="A3895" t="s">
        <v>5717</v>
      </c>
      <c r="B3895" t="s">
        <v>1870</v>
      </c>
      <c r="C3895" t="s">
        <v>751</v>
      </c>
      <c r="D3895" t="s">
        <v>1059</v>
      </c>
      <c r="E3895">
        <v>1</v>
      </c>
      <c r="F3895">
        <f>_xlfn.XLOOKUP(Table1[[#This Row],[ProductID]],Products!A:A,Products!D:D,,0)</f>
        <v>110</v>
      </c>
      <c r="I3895">
        <v>399</v>
      </c>
      <c r="J3895">
        <v>359</v>
      </c>
      <c r="K3895" t="s">
        <v>1107</v>
      </c>
      <c r="L3895">
        <v>359</v>
      </c>
      <c r="M3895" t="s">
        <v>1093</v>
      </c>
      <c r="N3895" t="s">
        <v>1099</v>
      </c>
      <c r="O3895">
        <f>Table1[[#This Row],[Unit_Price]]*Table1[[#This Row],[Quantity]]</f>
        <v>110</v>
      </c>
    </row>
    <row r="3896" spans="1:15" x14ac:dyDescent="0.3">
      <c r="A3896" t="s">
        <v>5718</v>
      </c>
      <c r="B3896" t="s">
        <v>1347</v>
      </c>
      <c r="C3896" t="s">
        <v>279</v>
      </c>
      <c r="D3896" t="s">
        <v>1059</v>
      </c>
      <c r="E3896">
        <v>1</v>
      </c>
      <c r="F3896">
        <f>_xlfn.XLOOKUP(Table1[[#This Row],[ProductID]],Products!A:A,Products!D:D,,0)</f>
        <v>110</v>
      </c>
      <c r="I3896">
        <v>399</v>
      </c>
      <c r="J3896">
        <v>339</v>
      </c>
      <c r="K3896" t="s">
        <v>1092</v>
      </c>
      <c r="L3896">
        <v>339</v>
      </c>
      <c r="M3896" t="s">
        <v>1093</v>
      </c>
      <c r="N3896" t="s">
        <v>1094</v>
      </c>
      <c r="O3896">
        <f>Table1[[#This Row],[Unit_Price]]*Table1[[#This Row],[Quantity]]</f>
        <v>110</v>
      </c>
    </row>
    <row r="3897" spans="1:15" x14ac:dyDescent="0.3">
      <c r="A3897" t="s">
        <v>5719</v>
      </c>
      <c r="B3897" t="s">
        <v>2316</v>
      </c>
      <c r="C3897" t="s">
        <v>339</v>
      </c>
      <c r="D3897" t="s">
        <v>1048</v>
      </c>
      <c r="E3897">
        <v>2</v>
      </c>
      <c r="F3897">
        <f>_xlfn.XLOOKUP(Table1[[#This Row],[ProductID]],Products!A:A,Products!D:D,,0)</f>
        <v>120</v>
      </c>
      <c r="I3897">
        <v>599</v>
      </c>
      <c r="J3897">
        <v>479</v>
      </c>
      <c r="K3897" t="s">
        <v>1097</v>
      </c>
      <c r="L3897">
        <v>958</v>
      </c>
      <c r="M3897" t="s">
        <v>1126</v>
      </c>
      <c r="N3897" t="s">
        <v>1099</v>
      </c>
      <c r="O3897">
        <f>Table1[[#This Row],[Unit_Price]]*Table1[[#This Row],[Quantity]]</f>
        <v>240</v>
      </c>
    </row>
    <row r="3898" spans="1:15" x14ac:dyDescent="0.3">
      <c r="A3898" t="s">
        <v>5720</v>
      </c>
      <c r="B3898" t="s">
        <v>2658</v>
      </c>
      <c r="C3898" t="s">
        <v>173</v>
      </c>
      <c r="D3898" t="s">
        <v>1078</v>
      </c>
      <c r="E3898">
        <v>1</v>
      </c>
      <c r="F3898">
        <f>_xlfn.XLOOKUP(Table1[[#This Row],[ProductID]],Products!A:A,Products!D:D,,0)</f>
        <v>80</v>
      </c>
      <c r="I3898">
        <v>499</v>
      </c>
      <c r="J3898">
        <v>499</v>
      </c>
      <c r="K3898" t="s">
        <v>1102</v>
      </c>
      <c r="L3898">
        <v>499</v>
      </c>
      <c r="M3898" t="s">
        <v>1093</v>
      </c>
      <c r="N3898" t="s">
        <v>1099</v>
      </c>
      <c r="O3898">
        <f>Table1[[#This Row],[Unit_Price]]*Table1[[#This Row],[Quantity]]</f>
        <v>80</v>
      </c>
    </row>
    <row r="3899" spans="1:15" x14ac:dyDescent="0.3">
      <c r="A3899" t="s">
        <v>5721</v>
      </c>
      <c r="B3899" t="s">
        <v>2102</v>
      </c>
      <c r="C3899" t="s">
        <v>839</v>
      </c>
      <c r="D3899" t="s">
        <v>1064</v>
      </c>
      <c r="E3899">
        <v>2</v>
      </c>
      <c r="F3899">
        <f>_xlfn.XLOOKUP(Table1[[#This Row],[ProductID]],Products!A:A,Products!D:D,,0)</f>
        <v>160</v>
      </c>
      <c r="I3899">
        <v>699</v>
      </c>
      <c r="J3899">
        <v>699</v>
      </c>
      <c r="K3899" t="s">
        <v>1102</v>
      </c>
      <c r="L3899">
        <v>1398</v>
      </c>
      <c r="M3899" t="s">
        <v>1098</v>
      </c>
      <c r="N3899" t="s">
        <v>1099</v>
      </c>
      <c r="O3899">
        <f>Table1[[#This Row],[Unit_Price]]*Table1[[#This Row],[Quantity]]</f>
        <v>320</v>
      </c>
    </row>
    <row r="3900" spans="1:15" x14ac:dyDescent="0.3">
      <c r="A3900" t="s">
        <v>5722</v>
      </c>
      <c r="B3900" t="s">
        <v>1461</v>
      </c>
      <c r="C3900" t="s">
        <v>413</v>
      </c>
      <c r="D3900" t="s">
        <v>1073</v>
      </c>
      <c r="E3900">
        <v>2</v>
      </c>
      <c r="F3900">
        <f>_xlfn.XLOOKUP(Table1[[#This Row],[ProductID]],Products!A:A,Products!D:D,,0)</f>
        <v>100</v>
      </c>
      <c r="I3900">
        <v>349</v>
      </c>
      <c r="J3900">
        <v>279</v>
      </c>
      <c r="K3900" t="s">
        <v>1097</v>
      </c>
      <c r="L3900">
        <v>558</v>
      </c>
      <c r="M3900" t="s">
        <v>1093</v>
      </c>
      <c r="N3900" t="s">
        <v>1099</v>
      </c>
      <c r="O3900">
        <f>Table1[[#This Row],[Unit_Price]]*Table1[[#This Row],[Quantity]]</f>
        <v>200</v>
      </c>
    </row>
    <row r="3901" spans="1:15" x14ac:dyDescent="0.3">
      <c r="A3901" t="s">
        <v>5723</v>
      </c>
      <c r="B3901" t="s">
        <v>2095</v>
      </c>
      <c r="C3901" t="s">
        <v>237</v>
      </c>
      <c r="D3901" t="s">
        <v>1059</v>
      </c>
      <c r="E3901">
        <v>1</v>
      </c>
      <c r="F3901">
        <f>_xlfn.XLOOKUP(Table1[[#This Row],[ProductID]],Products!A:A,Products!D:D,,0)</f>
        <v>110</v>
      </c>
      <c r="I3901">
        <v>399</v>
      </c>
      <c r="J3901">
        <v>319</v>
      </c>
      <c r="K3901" t="s">
        <v>1097</v>
      </c>
      <c r="L3901">
        <v>319</v>
      </c>
      <c r="M3901" t="s">
        <v>1098</v>
      </c>
      <c r="N3901" t="s">
        <v>1099</v>
      </c>
      <c r="O3901">
        <f>Table1[[#This Row],[Unit_Price]]*Table1[[#This Row],[Quantity]]</f>
        <v>110</v>
      </c>
    </row>
    <row r="3902" spans="1:15" x14ac:dyDescent="0.3">
      <c r="A3902" t="s">
        <v>5724</v>
      </c>
      <c r="B3902" t="s">
        <v>1275</v>
      </c>
      <c r="C3902" t="s">
        <v>227</v>
      </c>
      <c r="D3902" t="s">
        <v>1068</v>
      </c>
      <c r="E3902">
        <v>1</v>
      </c>
      <c r="F3902">
        <f>_xlfn.XLOOKUP(Table1[[#This Row],[ProductID]],Products!A:A,Products!D:D,,0)</f>
        <v>180</v>
      </c>
      <c r="I3902">
        <v>449</v>
      </c>
      <c r="J3902">
        <v>404</v>
      </c>
      <c r="K3902" t="s">
        <v>1107</v>
      </c>
      <c r="L3902">
        <v>404</v>
      </c>
      <c r="M3902" t="s">
        <v>1093</v>
      </c>
      <c r="N3902" t="s">
        <v>1094</v>
      </c>
      <c r="O3902">
        <f>Table1[[#This Row],[Unit_Price]]*Table1[[#This Row],[Quantity]]</f>
        <v>180</v>
      </c>
    </row>
    <row r="3903" spans="1:15" x14ac:dyDescent="0.3">
      <c r="A3903" t="s">
        <v>5725</v>
      </c>
      <c r="B3903" t="s">
        <v>1902</v>
      </c>
      <c r="C3903" t="s">
        <v>191</v>
      </c>
      <c r="D3903" t="s">
        <v>1059</v>
      </c>
      <c r="E3903">
        <v>1</v>
      </c>
      <c r="F3903">
        <f>_xlfn.XLOOKUP(Table1[[#This Row],[ProductID]],Products!A:A,Products!D:D,,0)</f>
        <v>110</v>
      </c>
      <c r="I3903">
        <v>399</v>
      </c>
      <c r="J3903">
        <v>359</v>
      </c>
      <c r="K3903" t="s">
        <v>1107</v>
      </c>
      <c r="L3903">
        <v>359</v>
      </c>
      <c r="M3903" t="s">
        <v>1093</v>
      </c>
      <c r="N3903" t="s">
        <v>1094</v>
      </c>
      <c r="O3903">
        <f>Table1[[#This Row],[Unit_Price]]*Table1[[#This Row],[Quantity]]</f>
        <v>110</v>
      </c>
    </row>
    <row r="3904" spans="1:15" x14ac:dyDescent="0.3">
      <c r="A3904" t="s">
        <v>5726</v>
      </c>
      <c r="B3904" t="s">
        <v>1568</v>
      </c>
      <c r="C3904" t="s">
        <v>381</v>
      </c>
      <c r="D3904" t="s">
        <v>1066</v>
      </c>
      <c r="E3904">
        <v>2</v>
      </c>
      <c r="F3904">
        <f>_xlfn.XLOOKUP(Table1[[#This Row],[ProductID]],Products!A:A,Products!D:D,,0)</f>
        <v>140</v>
      </c>
      <c r="I3904">
        <v>499</v>
      </c>
      <c r="J3904">
        <v>449</v>
      </c>
      <c r="K3904" t="s">
        <v>1107</v>
      </c>
      <c r="L3904">
        <v>898</v>
      </c>
      <c r="M3904" t="s">
        <v>1098</v>
      </c>
      <c r="N3904" t="s">
        <v>1099</v>
      </c>
      <c r="O3904">
        <f>Table1[[#This Row],[Unit_Price]]*Table1[[#This Row],[Quantity]]</f>
        <v>280</v>
      </c>
    </row>
    <row r="3905" spans="1:15" x14ac:dyDescent="0.3">
      <c r="A3905" t="s">
        <v>5727</v>
      </c>
      <c r="B3905" t="s">
        <v>3723</v>
      </c>
      <c r="C3905" t="s">
        <v>148</v>
      </c>
      <c r="D3905" t="s">
        <v>1053</v>
      </c>
      <c r="E3905">
        <v>1</v>
      </c>
      <c r="F3905">
        <f>_xlfn.XLOOKUP(Table1[[#This Row],[ProductID]],Products!A:A,Products!D:D,,0)</f>
        <v>200</v>
      </c>
      <c r="I3905">
        <v>899</v>
      </c>
      <c r="J3905">
        <v>809</v>
      </c>
      <c r="K3905" t="s">
        <v>1107</v>
      </c>
      <c r="L3905">
        <v>809</v>
      </c>
      <c r="M3905" t="s">
        <v>1098</v>
      </c>
      <c r="N3905" t="s">
        <v>1099</v>
      </c>
      <c r="O3905">
        <f>Table1[[#This Row],[Unit_Price]]*Table1[[#This Row],[Quantity]]</f>
        <v>200</v>
      </c>
    </row>
    <row r="3906" spans="1:15" x14ac:dyDescent="0.3">
      <c r="A3906" t="s">
        <v>5728</v>
      </c>
      <c r="B3906" t="s">
        <v>2772</v>
      </c>
      <c r="C3906" t="s">
        <v>677</v>
      </c>
      <c r="D3906" t="s">
        <v>1080</v>
      </c>
      <c r="E3906">
        <v>1</v>
      </c>
      <c r="F3906">
        <f>_xlfn.XLOOKUP(Table1[[#This Row],[ProductID]],Products!A:A,Products!D:D,,0)</f>
        <v>45</v>
      </c>
      <c r="I3906">
        <v>249</v>
      </c>
      <c r="J3906">
        <v>224</v>
      </c>
      <c r="K3906" t="s">
        <v>1107</v>
      </c>
      <c r="L3906">
        <v>224</v>
      </c>
      <c r="M3906" t="s">
        <v>1098</v>
      </c>
      <c r="N3906" t="s">
        <v>1099</v>
      </c>
      <c r="O3906">
        <f>Table1[[#This Row],[Unit_Price]]*Table1[[#This Row],[Quantity]]</f>
        <v>45</v>
      </c>
    </row>
    <row r="3907" spans="1:15" x14ac:dyDescent="0.3">
      <c r="A3907" t="s">
        <v>5729</v>
      </c>
      <c r="B3907" t="s">
        <v>1234</v>
      </c>
      <c r="C3907" t="s">
        <v>1003</v>
      </c>
      <c r="D3907" t="s">
        <v>1051</v>
      </c>
      <c r="E3907">
        <v>1</v>
      </c>
      <c r="F3907">
        <f>_xlfn.XLOOKUP(Table1[[#This Row],[ProductID]],Products!A:A,Products!D:D,,0)</f>
        <v>150</v>
      </c>
      <c r="I3907">
        <v>499</v>
      </c>
      <c r="J3907">
        <v>449</v>
      </c>
      <c r="K3907" t="s">
        <v>1107</v>
      </c>
      <c r="L3907">
        <v>449</v>
      </c>
      <c r="M3907" t="s">
        <v>1098</v>
      </c>
      <c r="N3907" t="s">
        <v>1123</v>
      </c>
      <c r="O3907">
        <f>Table1[[#This Row],[Unit_Price]]*Table1[[#This Row],[Quantity]]</f>
        <v>150</v>
      </c>
    </row>
    <row r="3908" spans="1:15" x14ac:dyDescent="0.3">
      <c r="A3908" t="s">
        <v>5730</v>
      </c>
      <c r="B3908" t="s">
        <v>1404</v>
      </c>
      <c r="C3908" t="s">
        <v>989</v>
      </c>
      <c r="D3908" t="s">
        <v>1055</v>
      </c>
      <c r="E3908">
        <v>1</v>
      </c>
      <c r="F3908">
        <f>_xlfn.XLOOKUP(Table1[[#This Row],[ProductID]],Products!A:A,Products!D:D,,0)</f>
        <v>75</v>
      </c>
      <c r="I3908">
        <v>299</v>
      </c>
      <c r="J3908">
        <v>299</v>
      </c>
      <c r="K3908" t="s">
        <v>1102</v>
      </c>
      <c r="L3908">
        <v>299</v>
      </c>
      <c r="M3908" t="s">
        <v>1093</v>
      </c>
      <c r="N3908" t="s">
        <v>1099</v>
      </c>
      <c r="O3908">
        <f>Table1[[#This Row],[Unit_Price]]*Table1[[#This Row],[Quantity]]</f>
        <v>75</v>
      </c>
    </row>
    <row r="3909" spans="1:15" x14ac:dyDescent="0.3">
      <c r="A3909" t="s">
        <v>5731</v>
      </c>
      <c r="B3909" t="s">
        <v>1558</v>
      </c>
      <c r="C3909" t="s">
        <v>18</v>
      </c>
      <c r="D3909" t="s">
        <v>1055</v>
      </c>
      <c r="E3909">
        <v>3</v>
      </c>
      <c r="F3909">
        <f>_xlfn.XLOOKUP(Table1[[#This Row],[ProductID]],Products!A:A,Products!D:D,,0)</f>
        <v>75</v>
      </c>
      <c r="I3909">
        <v>299</v>
      </c>
      <c r="J3909">
        <v>239</v>
      </c>
      <c r="K3909" t="s">
        <v>1097</v>
      </c>
      <c r="L3909">
        <v>717</v>
      </c>
      <c r="M3909" t="s">
        <v>1118</v>
      </c>
      <c r="N3909" t="s">
        <v>1099</v>
      </c>
      <c r="O3909">
        <f>Table1[[#This Row],[Unit_Price]]*Table1[[#This Row],[Quantity]]</f>
        <v>225</v>
      </c>
    </row>
    <row r="3910" spans="1:15" x14ac:dyDescent="0.3">
      <c r="A3910" t="s">
        <v>5732</v>
      </c>
      <c r="B3910" t="s">
        <v>1983</v>
      </c>
      <c r="C3910" t="s">
        <v>825</v>
      </c>
      <c r="D3910" t="s">
        <v>1051</v>
      </c>
      <c r="E3910">
        <v>1</v>
      </c>
      <c r="F3910">
        <f>_xlfn.XLOOKUP(Table1[[#This Row],[ProductID]],Products!A:A,Products!D:D,,0)</f>
        <v>150</v>
      </c>
      <c r="I3910">
        <v>499</v>
      </c>
      <c r="J3910">
        <v>399</v>
      </c>
      <c r="K3910" t="s">
        <v>1097</v>
      </c>
      <c r="L3910">
        <v>399</v>
      </c>
      <c r="M3910" t="s">
        <v>1098</v>
      </c>
      <c r="N3910" t="s">
        <v>1099</v>
      </c>
      <c r="O3910">
        <f>Table1[[#This Row],[Unit_Price]]*Table1[[#This Row],[Quantity]]</f>
        <v>150</v>
      </c>
    </row>
    <row r="3911" spans="1:15" x14ac:dyDescent="0.3">
      <c r="A3911" t="s">
        <v>5733</v>
      </c>
      <c r="B3911" t="s">
        <v>1855</v>
      </c>
      <c r="C3911" t="s">
        <v>1013</v>
      </c>
      <c r="D3911" t="s">
        <v>1053</v>
      </c>
      <c r="E3911">
        <v>1</v>
      </c>
      <c r="F3911">
        <f>_xlfn.XLOOKUP(Table1[[#This Row],[ProductID]],Products!A:A,Products!D:D,,0)</f>
        <v>200</v>
      </c>
      <c r="I3911">
        <v>899</v>
      </c>
      <c r="J3911">
        <v>899</v>
      </c>
      <c r="K3911" t="s">
        <v>1102</v>
      </c>
      <c r="L3911">
        <v>899</v>
      </c>
      <c r="M3911" t="s">
        <v>1093</v>
      </c>
      <c r="N3911" t="s">
        <v>1099</v>
      </c>
      <c r="O3911">
        <f>Table1[[#This Row],[Unit_Price]]*Table1[[#This Row],[Quantity]]</f>
        <v>200</v>
      </c>
    </row>
    <row r="3912" spans="1:15" x14ac:dyDescent="0.3">
      <c r="A3912" t="s">
        <v>5734</v>
      </c>
      <c r="B3912" t="s">
        <v>2792</v>
      </c>
      <c r="C3912" t="s">
        <v>1007</v>
      </c>
      <c r="D3912" t="s">
        <v>1068</v>
      </c>
      <c r="E3912">
        <v>1</v>
      </c>
      <c r="F3912">
        <f>_xlfn.XLOOKUP(Table1[[#This Row],[ProductID]],Products!A:A,Products!D:D,,0)</f>
        <v>180</v>
      </c>
      <c r="I3912">
        <v>449</v>
      </c>
      <c r="J3912">
        <v>404</v>
      </c>
      <c r="K3912" t="s">
        <v>1107</v>
      </c>
      <c r="L3912">
        <v>404</v>
      </c>
      <c r="M3912" t="s">
        <v>1093</v>
      </c>
      <c r="N3912" t="s">
        <v>1099</v>
      </c>
      <c r="O3912">
        <f>Table1[[#This Row],[Unit_Price]]*Table1[[#This Row],[Quantity]]</f>
        <v>180</v>
      </c>
    </row>
    <row r="3913" spans="1:15" x14ac:dyDescent="0.3">
      <c r="A3913" t="s">
        <v>5735</v>
      </c>
      <c r="B3913" t="s">
        <v>1657</v>
      </c>
      <c r="C3913" t="s">
        <v>865</v>
      </c>
      <c r="D3913" t="s">
        <v>1064</v>
      </c>
      <c r="E3913">
        <v>1</v>
      </c>
      <c r="F3913">
        <f>_xlfn.XLOOKUP(Table1[[#This Row],[ProductID]],Products!A:A,Products!D:D,,0)</f>
        <v>160</v>
      </c>
      <c r="I3913">
        <v>699</v>
      </c>
      <c r="J3913">
        <v>629</v>
      </c>
      <c r="K3913" t="s">
        <v>1107</v>
      </c>
      <c r="L3913">
        <v>629</v>
      </c>
      <c r="M3913" t="s">
        <v>1098</v>
      </c>
      <c r="N3913" t="s">
        <v>1099</v>
      </c>
      <c r="O3913">
        <f>Table1[[#This Row],[Unit_Price]]*Table1[[#This Row],[Quantity]]</f>
        <v>160</v>
      </c>
    </row>
    <row r="3914" spans="1:15" x14ac:dyDescent="0.3">
      <c r="A3914" t="s">
        <v>5736</v>
      </c>
      <c r="B3914" t="s">
        <v>2947</v>
      </c>
      <c r="C3914" t="s">
        <v>14</v>
      </c>
      <c r="D3914" t="s">
        <v>1057</v>
      </c>
      <c r="E3914">
        <v>2</v>
      </c>
      <c r="F3914">
        <f>_xlfn.XLOOKUP(Table1[[#This Row],[ProductID]],Products!A:A,Products!D:D,,0)</f>
        <v>130</v>
      </c>
      <c r="I3914">
        <v>549</v>
      </c>
      <c r="J3914">
        <v>467</v>
      </c>
      <c r="K3914" t="s">
        <v>1092</v>
      </c>
      <c r="L3914">
        <v>934</v>
      </c>
      <c r="M3914" t="s">
        <v>1093</v>
      </c>
      <c r="N3914" t="s">
        <v>1094</v>
      </c>
      <c r="O3914">
        <f>Table1[[#This Row],[Unit_Price]]*Table1[[#This Row],[Quantity]]</f>
        <v>260</v>
      </c>
    </row>
    <row r="3915" spans="1:15" x14ac:dyDescent="0.3">
      <c r="A3915" t="s">
        <v>5737</v>
      </c>
      <c r="B3915" t="s">
        <v>3045</v>
      </c>
      <c r="C3915" t="s">
        <v>87</v>
      </c>
      <c r="D3915" t="s">
        <v>1062</v>
      </c>
      <c r="E3915">
        <v>1</v>
      </c>
      <c r="F3915">
        <f>_xlfn.XLOOKUP(Table1[[#This Row],[ProductID]],Products!A:A,Products!D:D,,0)</f>
        <v>95</v>
      </c>
      <c r="I3915">
        <v>349</v>
      </c>
      <c r="J3915">
        <v>297</v>
      </c>
      <c r="K3915" t="s">
        <v>1092</v>
      </c>
      <c r="L3915">
        <v>297</v>
      </c>
      <c r="M3915" t="s">
        <v>1098</v>
      </c>
      <c r="N3915" t="s">
        <v>1099</v>
      </c>
      <c r="O3915">
        <f>Table1[[#This Row],[Unit_Price]]*Table1[[#This Row],[Quantity]]</f>
        <v>95</v>
      </c>
    </row>
    <row r="3916" spans="1:15" x14ac:dyDescent="0.3">
      <c r="A3916" t="s">
        <v>5738</v>
      </c>
      <c r="B3916" t="s">
        <v>1990</v>
      </c>
      <c r="C3916" t="s">
        <v>255</v>
      </c>
      <c r="D3916" t="s">
        <v>1048</v>
      </c>
      <c r="E3916">
        <v>1</v>
      </c>
      <c r="F3916">
        <f>_xlfn.XLOOKUP(Table1[[#This Row],[ProductID]],Products!A:A,Products!D:D,,0)</f>
        <v>120</v>
      </c>
      <c r="I3916">
        <v>599</v>
      </c>
      <c r="J3916">
        <v>509</v>
      </c>
      <c r="K3916" t="s">
        <v>1092</v>
      </c>
      <c r="L3916">
        <v>509</v>
      </c>
      <c r="M3916" t="s">
        <v>1098</v>
      </c>
      <c r="N3916" t="s">
        <v>1094</v>
      </c>
      <c r="O3916">
        <f>Table1[[#This Row],[Unit_Price]]*Table1[[#This Row],[Quantity]]</f>
        <v>120</v>
      </c>
    </row>
    <row r="3917" spans="1:15" x14ac:dyDescent="0.3">
      <c r="A3917" t="s">
        <v>5739</v>
      </c>
      <c r="B3917" t="s">
        <v>2287</v>
      </c>
      <c r="C3917" t="s">
        <v>933</v>
      </c>
      <c r="D3917" t="s">
        <v>1053</v>
      </c>
      <c r="E3917">
        <v>1</v>
      </c>
      <c r="F3917">
        <f>_xlfn.XLOOKUP(Table1[[#This Row],[ProductID]],Products!A:A,Products!D:D,,0)</f>
        <v>200</v>
      </c>
      <c r="I3917">
        <v>899</v>
      </c>
      <c r="J3917">
        <v>899</v>
      </c>
      <c r="K3917" t="s">
        <v>1102</v>
      </c>
      <c r="L3917">
        <v>899</v>
      </c>
      <c r="M3917" t="s">
        <v>1098</v>
      </c>
      <c r="N3917" t="s">
        <v>1099</v>
      </c>
      <c r="O3917">
        <f>Table1[[#This Row],[Unit_Price]]*Table1[[#This Row],[Quantity]]</f>
        <v>200</v>
      </c>
    </row>
    <row r="3918" spans="1:15" x14ac:dyDescent="0.3">
      <c r="A3918" t="s">
        <v>5740</v>
      </c>
      <c r="B3918" t="s">
        <v>1164</v>
      </c>
      <c r="C3918" t="s">
        <v>675</v>
      </c>
      <c r="D3918" t="s">
        <v>1051</v>
      </c>
      <c r="E3918">
        <v>1</v>
      </c>
      <c r="F3918">
        <f>_xlfn.XLOOKUP(Table1[[#This Row],[ProductID]],Products!A:A,Products!D:D,,0)</f>
        <v>150</v>
      </c>
      <c r="I3918">
        <v>499</v>
      </c>
      <c r="J3918">
        <v>424</v>
      </c>
      <c r="K3918" t="s">
        <v>1092</v>
      </c>
      <c r="L3918">
        <v>424</v>
      </c>
      <c r="M3918" t="s">
        <v>1093</v>
      </c>
      <c r="N3918" t="s">
        <v>1099</v>
      </c>
      <c r="O3918">
        <f>Table1[[#This Row],[Unit_Price]]*Table1[[#This Row],[Quantity]]</f>
        <v>150</v>
      </c>
    </row>
    <row r="3919" spans="1:15" x14ac:dyDescent="0.3">
      <c r="A3919" t="s">
        <v>5741</v>
      </c>
      <c r="B3919" t="s">
        <v>1811</v>
      </c>
      <c r="C3919" t="s">
        <v>387</v>
      </c>
      <c r="D3919" t="s">
        <v>1062</v>
      </c>
      <c r="E3919">
        <v>1</v>
      </c>
      <c r="F3919">
        <f>_xlfn.XLOOKUP(Table1[[#This Row],[ProductID]],Products!A:A,Products!D:D,,0)</f>
        <v>95</v>
      </c>
      <c r="I3919">
        <v>349</v>
      </c>
      <c r="J3919">
        <v>314</v>
      </c>
      <c r="K3919" t="s">
        <v>1107</v>
      </c>
      <c r="L3919">
        <v>314</v>
      </c>
      <c r="M3919" t="s">
        <v>1098</v>
      </c>
      <c r="N3919" t="s">
        <v>1099</v>
      </c>
      <c r="O3919">
        <f>Table1[[#This Row],[Unit_Price]]*Table1[[#This Row],[Quantity]]</f>
        <v>95</v>
      </c>
    </row>
    <row r="3920" spans="1:15" x14ac:dyDescent="0.3">
      <c r="A3920" t="s">
        <v>5742</v>
      </c>
      <c r="B3920" t="s">
        <v>1679</v>
      </c>
      <c r="C3920" t="s">
        <v>187</v>
      </c>
      <c r="D3920" t="s">
        <v>1051</v>
      </c>
      <c r="E3920">
        <v>1</v>
      </c>
      <c r="F3920">
        <f>_xlfn.XLOOKUP(Table1[[#This Row],[ProductID]],Products!A:A,Products!D:D,,0)</f>
        <v>150</v>
      </c>
      <c r="I3920">
        <v>499</v>
      </c>
      <c r="J3920">
        <v>449</v>
      </c>
      <c r="K3920" t="s">
        <v>1107</v>
      </c>
      <c r="L3920">
        <v>449</v>
      </c>
      <c r="M3920" t="s">
        <v>1098</v>
      </c>
      <c r="N3920" t="s">
        <v>1099</v>
      </c>
      <c r="O3920">
        <f>Table1[[#This Row],[Unit_Price]]*Table1[[#This Row],[Quantity]]</f>
        <v>150</v>
      </c>
    </row>
    <row r="3921" spans="1:15" x14ac:dyDescent="0.3">
      <c r="A3921" t="s">
        <v>5743</v>
      </c>
      <c r="B3921" t="s">
        <v>2896</v>
      </c>
      <c r="C3921" t="s">
        <v>647</v>
      </c>
      <c r="D3921" t="s">
        <v>1051</v>
      </c>
      <c r="E3921">
        <v>2</v>
      </c>
      <c r="F3921">
        <f>_xlfn.XLOOKUP(Table1[[#This Row],[ProductID]],Products!A:A,Products!D:D,,0)</f>
        <v>150</v>
      </c>
      <c r="I3921">
        <v>499</v>
      </c>
      <c r="J3921">
        <v>449</v>
      </c>
      <c r="K3921" t="s">
        <v>1107</v>
      </c>
      <c r="L3921">
        <v>898</v>
      </c>
      <c r="M3921" t="s">
        <v>1118</v>
      </c>
      <c r="N3921" t="s">
        <v>1099</v>
      </c>
      <c r="O3921">
        <f>Table1[[#This Row],[Unit_Price]]*Table1[[#This Row],[Quantity]]</f>
        <v>300</v>
      </c>
    </row>
    <row r="3922" spans="1:15" x14ac:dyDescent="0.3">
      <c r="A3922" t="s">
        <v>5744</v>
      </c>
      <c r="B3922" t="s">
        <v>2075</v>
      </c>
      <c r="C3922" t="s">
        <v>931</v>
      </c>
      <c r="D3922" t="s">
        <v>1071</v>
      </c>
      <c r="E3922">
        <v>1</v>
      </c>
      <c r="F3922">
        <f>_xlfn.XLOOKUP(Table1[[#This Row],[ProductID]],Products!A:A,Products!D:D,,0)</f>
        <v>125</v>
      </c>
      <c r="I3922">
        <v>399</v>
      </c>
      <c r="J3922">
        <v>319</v>
      </c>
      <c r="K3922" t="s">
        <v>1097</v>
      </c>
      <c r="L3922">
        <v>319</v>
      </c>
      <c r="M3922" t="s">
        <v>1098</v>
      </c>
      <c r="N3922" t="s">
        <v>1099</v>
      </c>
      <c r="O3922">
        <f>Table1[[#This Row],[Unit_Price]]*Table1[[#This Row],[Quantity]]</f>
        <v>125</v>
      </c>
    </row>
    <row r="3923" spans="1:15" x14ac:dyDescent="0.3">
      <c r="A3923" t="s">
        <v>5745</v>
      </c>
      <c r="B3923" t="s">
        <v>3677</v>
      </c>
      <c r="C3923" t="s">
        <v>713</v>
      </c>
      <c r="D3923" t="s">
        <v>1053</v>
      </c>
      <c r="E3923">
        <v>1</v>
      </c>
      <c r="F3923">
        <f>_xlfn.XLOOKUP(Table1[[#This Row],[ProductID]],Products!A:A,Products!D:D,,0)</f>
        <v>200</v>
      </c>
      <c r="I3923">
        <v>899</v>
      </c>
      <c r="J3923">
        <v>809</v>
      </c>
      <c r="K3923" t="s">
        <v>1107</v>
      </c>
      <c r="L3923">
        <v>809</v>
      </c>
      <c r="M3923" t="s">
        <v>1098</v>
      </c>
      <c r="N3923" t="s">
        <v>1099</v>
      </c>
      <c r="O3923">
        <f>Table1[[#This Row],[Unit_Price]]*Table1[[#This Row],[Quantity]]</f>
        <v>200</v>
      </c>
    </row>
    <row r="3924" spans="1:15" x14ac:dyDescent="0.3">
      <c r="A3924" t="s">
        <v>5746</v>
      </c>
      <c r="B3924" t="s">
        <v>3135</v>
      </c>
      <c r="C3924" t="s">
        <v>907</v>
      </c>
      <c r="D3924" t="s">
        <v>1059</v>
      </c>
      <c r="E3924">
        <v>1</v>
      </c>
      <c r="F3924">
        <f>_xlfn.XLOOKUP(Table1[[#This Row],[ProductID]],Products!A:A,Products!D:D,,0)</f>
        <v>110</v>
      </c>
      <c r="I3924">
        <v>399</v>
      </c>
      <c r="J3924">
        <v>399</v>
      </c>
      <c r="K3924" t="s">
        <v>1102</v>
      </c>
      <c r="L3924">
        <v>399</v>
      </c>
      <c r="M3924" t="s">
        <v>1098</v>
      </c>
      <c r="N3924" t="s">
        <v>1099</v>
      </c>
      <c r="O3924">
        <f>Table1[[#This Row],[Unit_Price]]*Table1[[#This Row],[Quantity]]</f>
        <v>110</v>
      </c>
    </row>
    <row r="3925" spans="1:15" x14ac:dyDescent="0.3">
      <c r="A3925" t="s">
        <v>5747</v>
      </c>
      <c r="B3925" t="s">
        <v>1785</v>
      </c>
      <c r="C3925" t="s">
        <v>152</v>
      </c>
      <c r="D3925" t="s">
        <v>1078</v>
      </c>
      <c r="E3925">
        <v>2</v>
      </c>
      <c r="F3925">
        <f>_xlfn.XLOOKUP(Table1[[#This Row],[ProductID]],Products!A:A,Products!D:D,,0)</f>
        <v>80</v>
      </c>
      <c r="I3925">
        <v>499</v>
      </c>
      <c r="J3925">
        <v>399</v>
      </c>
      <c r="K3925" t="s">
        <v>1097</v>
      </c>
      <c r="L3925">
        <v>798</v>
      </c>
      <c r="M3925" t="s">
        <v>1098</v>
      </c>
      <c r="N3925" t="s">
        <v>1099</v>
      </c>
      <c r="O3925">
        <f>Table1[[#This Row],[Unit_Price]]*Table1[[#This Row],[Quantity]]</f>
        <v>160</v>
      </c>
    </row>
    <row r="3926" spans="1:15" x14ac:dyDescent="0.3">
      <c r="A3926" t="s">
        <v>5748</v>
      </c>
      <c r="B3926" t="s">
        <v>3650</v>
      </c>
      <c r="C3926" t="s">
        <v>757</v>
      </c>
      <c r="D3926" t="s">
        <v>1053</v>
      </c>
      <c r="E3926">
        <v>1</v>
      </c>
      <c r="F3926">
        <f>_xlfn.XLOOKUP(Table1[[#This Row],[ProductID]],Products!A:A,Products!D:D,,0)</f>
        <v>200</v>
      </c>
      <c r="I3926">
        <v>899</v>
      </c>
      <c r="J3926">
        <v>719</v>
      </c>
      <c r="K3926" t="s">
        <v>1097</v>
      </c>
      <c r="L3926">
        <v>719</v>
      </c>
      <c r="M3926" t="s">
        <v>1126</v>
      </c>
      <c r="N3926" t="s">
        <v>1123</v>
      </c>
      <c r="O3926">
        <f>Table1[[#This Row],[Unit_Price]]*Table1[[#This Row],[Quantity]]</f>
        <v>200</v>
      </c>
    </row>
    <row r="3927" spans="1:15" x14ac:dyDescent="0.3">
      <c r="A3927" t="s">
        <v>5749</v>
      </c>
      <c r="B3927" t="s">
        <v>1709</v>
      </c>
      <c r="C3927" t="s">
        <v>599</v>
      </c>
      <c r="D3927" t="s">
        <v>1078</v>
      </c>
      <c r="E3927">
        <v>1</v>
      </c>
      <c r="F3927">
        <f>_xlfn.XLOOKUP(Table1[[#This Row],[ProductID]],Products!A:A,Products!D:D,,0)</f>
        <v>80</v>
      </c>
      <c r="I3927">
        <v>499</v>
      </c>
      <c r="J3927">
        <v>449</v>
      </c>
      <c r="K3927" t="s">
        <v>1107</v>
      </c>
      <c r="L3927">
        <v>449</v>
      </c>
      <c r="M3927" t="s">
        <v>1093</v>
      </c>
      <c r="N3927" t="s">
        <v>1094</v>
      </c>
      <c r="O3927">
        <f>Table1[[#This Row],[Unit_Price]]*Table1[[#This Row],[Quantity]]</f>
        <v>80</v>
      </c>
    </row>
    <row r="3928" spans="1:15" x14ac:dyDescent="0.3">
      <c r="A3928" t="s">
        <v>5750</v>
      </c>
      <c r="B3928" t="s">
        <v>1709</v>
      </c>
      <c r="C3928" t="s">
        <v>365</v>
      </c>
      <c r="D3928" t="s">
        <v>1048</v>
      </c>
      <c r="E3928">
        <v>3</v>
      </c>
      <c r="F3928">
        <f>_xlfn.XLOOKUP(Table1[[#This Row],[ProductID]],Products!A:A,Products!D:D,,0)</f>
        <v>120</v>
      </c>
      <c r="I3928">
        <v>599</v>
      </c>
      <c r="J3928">
        <v>599</v>
      </c>
      <c r="K3928" t="s">
        <v>1102</v>
      </c>
      <c r="L3928">
        <v>1797</v>
      </c>
      <c r="M3928" t="s">
        <v>1093</v>
      </c>
      <c r="N3928" t="s">
        <v>1099</v>
      </c>
      <c r="O3928">
        <f>Table1[[#This Row],[Unit_Price]]*Table1[[#This Row],[Quantity]]</f>
        <v>360</v>
      </c>
    </row>
    <row r="3929" spans="1:15" x14ac:dyDescent="0.3">
      <c r="A3929" t="s">
        <v>5751</v>
      </c>
      <c r="B3929" t="s">
        <v>3206</v>
      </c>
      <c r="C3929" t="s">
        <v>112</v>
      </c>
      <c r="D3929" t="s">
        <v>1064</v>
      </c>
      <c r="E3929">
        <v>1</v>
      </c>
      <c r="F3929">
        <f>_xlfn.XLOOKUP(Table1[[#This Row],[ProductID]],Products!A:A,Products!D:D,,0)</f>
        <v>160</v>
      </c>
      <c r="I3929">
        <v>699</v>
      </c>
      <c r="J3929">
        <v>629</v>
      </c>
      <c r="K3929" t="s">
        <v>1107</v>
      </c>
      <c r="L3929">
        <v>629</v>
      </c>
      <c r="M3929" t="s">
        <v>1098</v>
      </c>
      <c r="N3929" t="s">
        <v>1099</v>
      </c>
      <c r="O3929">
        <f>Table1[[#This Row],[Unit_Price]]*Table1[[#This Row],[Quantity]]</f>
        <v>160</v>
      </c>
    </row>
    <row r="3930" spans="1:15" x14ac:dyDescent="0.3">
      <c r="A3930" t="s">
        <v>5752</v>
      </c>
      <c r="B3930" t="s">
        <v>1335</v>
      </c>
      <c r="C3930" t="s">
        <v>749</v>
      </c>
      <c r="D3930" t="s">
        <v>1062</v>
      </c>
      <c r="E3930">
        <v>1</v>
      </c>
      <c r="F3930">
        <f>_xlfn.XLOOKUP(Table1[[#This Row],[ProductID]],Products!A:A,Products!D:D,,0)</f>
        <v>95</v>
      </c>
      <c r="I3930">
        <v>349</v>
      </c>
      <c r="J3930">
        <v>279</v>
      </c>
      <c r="K3930" t="s">
        <v>1097</v>
      </c>
      <c r="L3930">
        <v>279</v>
      </c>
      <c r="M3930" t="s">
        <v>1093</v>
      </c>
      <c r="N3930" t="s">
        <v>1099</v>
      </c>
      <c r="O3930">
        <f>Table1[[#This Row],[Unit_Price]]*Table1[[#This Row],[Quantity]]</f>
        <v>95</v>
      </c>
    </row>
    <row r="3931" spans="1:15" x14ac:dyDescent="0.3">
      <c r="A3931" t="s">
        <v>5753</v>
      </c>
      <c r="B3931" t="s">
        <v>2945</v>
      </c>
      <c r="C3931" t="s">
        <v>927</v>
      </c>
      <c r="D3931" t="s">
        <v>1064</v>
      </c>
      <c r="E3931">
        <v>1</v>
      </c>
      <c r="F3931">
        <f>_xlfn.XLOOKUP(Table1[[#This Row],[ProductID]],Products!A:A,Products!D:D,,0)</f>
        <v>160</v>
      </c>
      <c r="I3931">
        <v>699</v>
      </c>
      <c r="J3931">
        <v>699</v>
      </c>
      <c r="K3931" t="s">
        <v>1102</v>
      </c>
      <c r="L3931">
        <v>699</v>
      </c>
      <c r="M3931" t="s">
        <v>1098</v>
      </c>
      <c r="N3931" t="s">
        <v>1099</v>
      </c>
      <c r="O3931">
        <f>Table1[[#This Row],[Unit_Price]]*Table1[[#This Row],[Quantity]]</f>
        <v>160</v>
      </c>
    </row>
    <row r="3932" spans="1:15" x14ac:dyDescent="0.3">
      <c r="A3932" t="s">
        <v>5754</v>
      </c>
      <c r="B3932" t="s">
        <v>1432</v>
      </c>
      <c r="C3932" t="s">
        <v>309</v>
      </c>
      <c r="D3932" t="s">
        <v>1080</v>
      </c>
      <c r="E3932">
        <v>1</v>
      </c>
      <c r="F3932">
        <f>_xlfn.XLOOKUP(Table1[[#This Row],[ProductID]],Products!A:A,Products!D:D,,0)</f>
        <v>45</v>
      </c>
      <c r="I3932">
        <v>249</v>
      </c>
      <c r="J3932">
        <v>199</v>
      </c>
      <c r="K3932" t="s">
        <v>1097</v>
      </c>
      <c r="L3932">
        <v>199</v>
      </c>
      <c r="M3932" t="s">
        <v>1093</v>
      </c>
      <c r="N3932" t="s">
        <v>1099</v>
      </c>
      <c r="O3932">
        <f>Table1[[#This Row],[Unit_Price]]*Table1[[#This Row],[Quantity]]</f>
        <v>45</v>
      </c>
    </row>
    <row r="3933" spans="1:15" x14ac:dyDescent="0.3">
      <c r="A3933" t="s">
        <v>5755</v>
      </c>
      <c r="B3933" t="s">
        <v>1551</v>
      </c>
      <c r="C3933" t="s">
        <v>843</v>
      </c>
      <c r="D3933" t="s">
        <v>1055</v>
      </c>
      <c r="E3933">
        <v>1</v>
      </c>
      <c r="F3933">
        <f>_xlfn.XLOOKUP(Table1[[#This Row],[ProductID]],Products!A:A,Products!D:D,,0)</f>
        <v>75</v>
      </c>
      <c r="I3933">
        <v>299</v>
      </c>
      <c r="J3933">
        <v>299</v>
      </c>
      <c r="K3933" t="s">
        <v>1102</v>
      </c>
      <c r="L3933">
        <v>299</v>
      </c>
      <c r="M3933" t="s">
        <v>1093</v>
      </c>
      <c r="N3933" t="s">
        <v>1094</v>
      </c>
      <c r="O3933">
        <f>Table1[[#This Row],[Unit_Price]]*Table1[[#This Row],[Quantity]]</f>
        <v>75</v>
      </c>
    </row>
    <row r="3934" spans="1:15" x14ac:dyDescent="0.3">
      <c r="A3934" t="s">
        <v>5756</v>
      </c>
      <c r="B3934" t="s">
        <v>2391</v>
      </c>
      <c r="C3934" t="s">
        <v>627</v>
      </c>
      <c r="D3934" t="s">
        <v>1073</v>
      </c>
      <c r="E3934">
        <v>3</v>
      </c>
      <c r="F3934">
        <f>_xlfn.XLOOKUP(Table1[[#This Row],[ProductID]],Products!A:A,Products!D:D,,0)</f>
        <v>100</v>
      </c>
      <c r="I3934">
        <v>349</v>
      </c>
      <c r="J3934">
        <v>314</v>
      </c>
      <c r="K3934" t="s">
        <v>1107</v>
      </c>
      <c r="L3934">
        <v>942</v>
      </c>
      <c r="M3934" t="s">
        <v>1126</v>
      </c>
      <c r="N3934" t="s">
        <v>1099</v>
      </c>
      <c r="O3934">
        <f>Table1[[#This Row],[Unit_Price]]*Table1[[#This Row],[Quantity]]</f>
        <v>300</v>
      </c>
    </row>
    <row r="3935" spans="1:15" x14ac:dyDescent="0.3">
      <c r="A3935" t="s">
        <v>5757</v>
      </c>
      <c r="B3935" t="s">
        <v>3930</v>
      </c>
      <c r="C3935" t="s">
        <v>197</v>
      </c>
      <c r="D3935" t="s">
        <v>1066</v>
      </c>
      <c r="E3935">
        <v>2</v>
      </c>
      <c r="F3935">
        <f>_xlfn.XLOOKUP(Table1[[#This Row],[ProductID]],Products!A:A,Products!D:D,,0)</f>
        <v>140</v>
      </c>
      <c r="I3935">
        <v>499</v>
      </c>
      <c r="J3935">
        <v>499</v>
      </c>
      <c r="K3935" t="s">
        <v>1102</v>
      </c>
      <c r="L3935">
        <v>998</v>
      </c>
      <c r="M3935" t="s">
        <v>1098</v>
      </c>
      <c r="N3935" t="s">
        <v>1099</v>
      </c>
      <c r="O3935">
        <f>Table1[[#This Row],[Unit_Price]]*Table1[[#This Row],[Quantity]]</f>
        <v>280</v>
      </c>
    </row>
    <row r="3936" spans="1:15" x14ac:dyDescent="0.3">
      <c r="A3936" t="s">
        <v>5758</v>
      </c>
      <c r="B3936" t="s">
        <v>3470</v>
      </c>
      <c r="C3936" t="s">
        <v>923</v>
      </c>
      <c r="D3936" t="s">
        <v>1062</v>
      </c>
      <c r="E3936">
        <v>1</v>
      </c>
      <c r="F3936">
        <f>_xlfn.XLOOKUP(Table1[[#This Row],[ProductID]],Products!A:A,Products!D:D,,0)</f>
        <v>95</v>
      </c>
      <c r="I3936">
        <v>349</v>
      </c>
      <c r="J3936">
        <v>314</v>
      </c>
      <c r="K3936" t="s">
        <v>1107</v>
      </c>
      <c r="L3936">
        <v>314</v>
      </c>
      <c r="M3936" t="s">
        <v>1098</v>
      </c>
      <c r="N3936" t="s">
        <v>1099</v>
      </c>
      <c r="O3936">
        <f>Table1[[#This Row],[Unit_Price]]*Table1[[#This Row],[Quantity]]</f>
        <v>95</v>
      </c>
    </row>
    <row r="3937" spans="1:15" x14ac:dyDescent="0.3">
      <c r="A3937" t="s">
        <v>5759</v>
      </c>
      <c r="B3937" t="s">
        <v>2085</v>
      </c>
      <c r="C3937" t="s">
        <v>911</v>
      </c>
      <c r="D3937" t="s">
        <v>1080</v>
      </c>
      <c r="E3937">
        <v>1</v>
      </c>
      <c r="F3937">
        <f>_xlfn.XLOOKUP(Table1[[#This Row],[ProductID]],Products!A:A,Products!D:D,,0)</f>
        <v>45</v>
      </c>
      <c r="I3937">
        <v>249</v>
      </c>
      <c r="J3937">
        <v>212</v>
      </c>
      <c r="K3937" t="s">
        <v>1092</v>
      </c>
      <c r="L3937">
        <v>212</v>
      </c>
      <c r="M3937" t="s">
        <v>1093</v>
      </c>
      <c r="N3937" t="s">
        <v>1094</v>
      </c>
      <c r="O3937">
        <f>Table1[[#This Row],[Unit_Price]]*Table1[[#This Row],[Quantity]]</f>
        <v>45</v>
      </c>
    </row>
    <row r="3938" spans="1:15" x14ac:dyDescent="0.3">
      <c r="A3938" t="s">
        <v>5760</v>
      </c>
      <c r="B3938" t="s">
        <v>3135</v>
      </c>
      <c r="C3938" t="s">
        <v>273</v>
      </c>
      <c r="D3938" t="s">
        <v>1053</v>
      </c>
      <c r="E3938">
        <v>1</v>
      </c>
      <c r="F3938">
        <f>_xlfn.XLOOKUP(Table1[[#This Row],[ProductID]],Products!A:A,Products!D:D,,0)</f>
        <v>200</v>
      </c>
      <c r="I3938">
        <v>899</v>
      </c>
      <c r="J3938">
        <v>719</v>
      </c>
      <c r="K3938" t="s">
        <v>1097</v>
      </c>
      <c r="L3938">
        <v>719</v>
      </c>
      <c r="M3938" t="s">
        <v>1093</v>
      </c>
      <c r="N3938" t="s">
        <v>1123</v>
      </c>
      <c r="O3938">
        <f>Table1[[#This Row],[Unit_Price]]*Table1[[#This Row],[Quantity]]</f>
        <v>200</v>
      </c>
    </row>
    <row r="3939" spans="1:15" x14ac:dyDescent="0.3">
      <c r="A3939" t="s">
        <v>5761</v>
      </c>
      <c r="B3939" t="s">
        <v>2853</v>
      </c>
      <c r="C3939" t="s">
        <v>199</v>
      </c>
      <c r="D3939" t="s">
        <v>1053</v>
      </c>
      <c r="E3939">
        <v>1</v>
      </c>
      <c r="F3939">
        <f>_xlfn.XLOOKUP(Table1[[#This Row],[ProductID]],Products!A:A,Products!D:D,,0)</f>
        <v>200</v>
      </c>
      <c r="I3939">
        <v>899</v>
      </c>
      <c r="J3939">
        <v>899</v>
      </c>
      <c r="K3939" t="s">
        <v>1102</v>
      </c>
      <c r="L3939">
        <v>899</v>
      </c>
      <c r="M3939" t="s">
        <v>1098</v>
      </c>
      <c r="N3939" t="s">
        <v>1099</v>
      </c>
      <c r="O3939">
        <f>Table1[[#This Row],[Unit_Price]]*Table1[[#This Row],[Quantity]]</f>
        <v>200</v>
      </c>
    </row>
    <row r="3940" spans="1:15" x14ac:dyDescent="0.3">
      <c r="A3940" t="s">
        <v>5762</v>
      </c>
      <c r="B3940" t="s">
        <v>4690</v>
      </c>
      <c r="C3940" t="s">
        <v>1023</v>
      </c>
      <c r="D3940" t="s">
        <v>1080</v>
      </c>
      <c r="E3940">
        <v>2</v>
      </c>
      <c r="F3940">
        <f>_xlfn.XLOOKUP(Table1[[#This Row],[ProductID]],Products!A:A,Products!D:D,,0)</f>
        <v>45</v>
      </c>
      <c r="I3940">
        <v>249</v>
      </c>
      <c r="J3940">
        <v>249</v>
      </c>
      <c r="K3940" t="s">
        <v>1102</v>
      </c>
      <c r="L3940">
        <v>498</v>
      </c>
      <c r="M3940" t="s">
        <v>1098</v>
      </c>
      <c r="N3940" t="s">
        <v>1123</v>
      </c>
      <c r="O3940">
        <f>Table1[[#This Row],[Unit_Price]]*Table1[[#This Row],[Quantity]]</f>
        <v>90</v>
      </c>
    </row>
    <row r="3941" spans="1:15" x14ac:dyDescent="0.3">
      <c r="A3941" t="s">
        <v>5763</v>
      </c>
      <c r="B3941" t="s">
        <v>1738</v>
      </c>
      <c r="C3941" t="s">
        <v>275</v>
      </c>
      <c r="D3941" t="s">
        <v>1048</v>
      </c>
      <c r="E3941">
        <v>1</v>
      </c>
      <c r="F3941">
        <f>_xlfn.XLOOKUP(Table1[[#This Row],[ProductID]],Products!A:A,Products!D:D,,0)</f>
        <v>120</v>
      </c>
      <c r="I3941">
        <v>599</v>
      </c>
      <c r="J3941">
        <v>539</v>
      </c>
      <c r="K3941" t="s">
        <v>1107</v>
      </c>
      <c r="L3941">
        <v>539</v>
      </c>
      <c r="M3941" t="s">
        <v>1118</v>
      </c>
      <c r="N3941" t="s">
        <v>1099</v>
      </c>
      <c r="O3941">
        <f>Table1[[#This Row],[Unit_Price]]*Table1[[#This Row],[Quantity]]</f>
        <v>120</v>
      </c>
    </row>
    <row r="3942" spans="1:15" x14ac:dyDescent="0.3">
      <c r="A3942" t="s">
        <v>5764</v>
      </c>
      <c r="B3942" t="s">
        <v>2098</v>
      </c>
      <c r="C3942" t="s">
        <v>619</v>
      </c>
      <c r="D3942" t="s">
        <v>1066</v>
      </c>
      <c r="E3942">
        <v>4</v>
      </c>
      <c r="F3942">
        <f>_xlfn.XLOOKUP(Table1[[#This Row],[ProductID]],Products!A:A,Products!D:D,,0)</f>
        <v>140</v>
      </c>
      <c r="I3942">
        <v>499</v>
      </c>
      <c r="J3942">
        <v>449</v>
      </c>
      <c r="K3942" t="s">
        <v>1107</v>
      </c>
      <c r="L3942">
        <v>1796</v>
      </c>
      <c r="M3942" t="s">
        <v>1098</v>
      </c>
      <c r="N3942" t="s">
        <v>1099</v>
      </c>
      <c r="O3942">
        <f>Table1[[#This Row],[Unit_Price]]*Table1[[#This Row],[Quantity]]</f>
        <v>560</v>
      </c>
    </row>
    <row r="3943" spans="1:15" x14ac:dyDescent="0.3">
      <c r="A3943" t="s">
        <v>5765</v>
      </c>
      <c r="B3943" t="s">
        <v>1947</v>
      </c>
      <c r="C3943" t="s">
        <v>365</v>
      </c>
      <c r="D3943" t="s">
        <v>1048</v>
      </c>
      <c r="E3943">
        <v>2</v>
      </c>
      <c r="F3943">
        <f>_xlfn.XLOOKUP(Table1[[#This Row],[ProductID]],Products!A:A,Products!D:D,,0)</f>
        <v>120</v>
      </c>
      <c r="I3943">
        <v>599</v>
      </c>
      <c r="J3943">
        <v>599</v>
      </c>
      <c r="K3943" t="s">
        <v>1102</v>
      </c>
      <c r="L3943">
        <v>1198</v>
      </c>
      <c r="M3943" t="s">
        <v>1098</v>
      </c>
      <c r="N3943" t="s">
        <v>1099</v>
      </c>
      <c r="O3943">
        <f>Table1[[#This Row],[Unit_Price]]*Table1[[#This Row],[Quantity]]</f>
        <v>240</v>
      </c>
    </row>
    <row r="3944" spans="1:15" x14ac:dyDescent="0.3">
      <c r="A3944" t="s">
        <v>5766</v>
      </c>
      <c r="B3944" t="s">
        <v>1701</v>
      </c>
      <c r="C3944" t="s">
        <v>691</v>
      </c>
      <c r="D3944" t="s">
        <v>1068</v>
      </c>
      <c r="E3944">
        <v>1</v>
      </c>
      <c r="F3944">
        <f>_xlfn.XLOOKUP(Table1[[#This Row],[ProductID]],Products!A:A,Products!D:D,,0)</f>
        <v>180</v>
      </c>
      <c r="I3944">
        <v>449</v>
      </c>
      <c r="J3944">
        <v>404</v>
      </c>
      <c r="K3944" t="s">
        <v>1107</v>
      </c>
      <c r="L3944">
        <v>404</v>
      </c>
      <c r="M3944" t="s">
        <v>1098</v>
      </c>
      <c r="N3944" t="s">
        <v>1099</v>
      </c>
      <c r="O3944">
        <f>Table1[[#This Row],[Unit_Price]]*Table1[[#This Row],[Quantity]]</f>
        <v>180</v>
      </c>
    </row>
    <row r="3945" spans="1:15" x14ac:dyDescent="0.3">
      <c r="A3945" t="s">
        <v>5767</v>
      </c>
      <c r="B3945" t="s">
        <v>1895</v>
      </c>
      <c r="C3945" t="s">
        <v>181</v>
      </c>
      <c r="D3945" t="s">
        <v>1075</v>
      </c>
      <c r="E3945">
        <v>2</v>
      </c>
      <c r="F3945">
        <f>_xlfn.XLOOKUP(Table1[[#This Row],[ProductID]],Products!A:A,Products!D:D,,0)</f>
        <v>80</v>
      </c>
      <c r="I3945">
        <v>499</v>
      </c>
      <c r="J3945">
        <v>399</v>
      </c>
      <c r="K3945" t="s">
        <v>1097</v>
      </c>
      <c r="L3945">
        <v>798</v>
      </c>
      <c r="M3945" t="s">
        <v>1126</v>
      </c>
      <c r="N3945" t="s">
        <v>1123</v>
      </c>
      <c r="O3945">
        <f>Table1[[#This Row],[Unit_Price]]*Table1[[#This Row],[Quantity]]</f>
        <v>160</v>
      </c>
    </row>
    <row r="3946" spans="1:15" x14ac:dyDescent="0.3">
      <c r="A3946" t="s">
        <v>5768</v>
      </c>
      <c r="B3946" t="s">
        <v>1366</v>
      </c>
      <c r="C3946" t="s">
        <v>459</v>
      </c>
      <c r="D3946" t="s">
        <v>1066</v>
      </c>
      <c r="E3946">
        <v>2</v>
      </c>
      <c r="F3946">
        <f>_xlfn.XLOOKUP(Table1[[#This Row],[ProductID]],Products!A:A,Products!D:D,,0)</f>
        <v>140</v>
      </c>
      <c r="I3946">
        <v>499</v>
      </c>
      <c r="J3946">
        <v>449</v>
      </c>
      <c r="K3946" t="s">
        <v>1107</v>
      </c>
      <c r="L3946">
        <v>898</v>
      </c>
      <c r="M3946" t="s">
        <v>1093</v>
      </c>
      <c r="N3946" t="s">
        <v>1094</v>
      </c>
      <c r="O3946">
        <f>Table1[[#This Row],[Unit_Price]]*Table1[[#This Row],[Quantity]]</f>
        <v>280</v>
      </c>
    </row>
    <row r="3947" spans="1:15" x14ac:dyDescent="0.3">
      <c r="A3947" t="s">
        <v>5769</v>
      </c>
      <c r="B3947" t="s">
        <v>1828</v>
      </c>
      <c r="C3947" t="s">
        <v>451</v>
      </c>
      <c r="D3947" t="s">
        <v>1071</v>
      </c>
      <c r="E3947">
        <v>1</v>
      </c>
      <c r="F3947">
        <f>_xlfn.XLOOKUP(Table1[[#This Row],[ProductID]],Products!A:A,Products!D:D,,0)</f>
        <v>125</v>
      </c>
      <c r="I3947">
        <v>399</v>
      </c>
      <c r="J3947">
        <v>359</v>
      </c>
      <c r="K3947" t="s">
        <v>1107</v>
      </c>
      <c r="L3947">
        <v>359</v>
      </c>
      <c r="M3947" t="s">
        <v>1093</v>
      </c>
      <c r="N3947" t="s">
        <v>1099</v>
      </c>
      <c r="O3947">
        <f>Table1[[#This Row],[Unit_Price]]*Table1[[#This Row],[Quantity]]</f>
        <v>125</v>
      </c>
    </row>
    <row r="3948" spans="1:15" x14ac:dyDescent="0.3">
      <c r="A3948" t="s">
        <v>5770</v>
      </c>
      <c r="B3948" t="s">
        <v>2350</v>
      </c>
      <c r="C3948" t="s">
        <v>525</v>
      </c>
      <c r="D3948" t="s">
        <v>1051</v>
      </c>
      <c r="E3948">
        <v>1</v>
      </c>
      <c r="F3948">
        <f>_xlfn.XLOOKUP(Table1[[#This Row],[ProductID]],Products!A:A,Products!D:D,,0)</f>
        <v>150</v>
      </c>
      <c r="I3948">
        <v>499</v>
      </c>
      <c r="J3948">
        <v>399</v>
      </c>
      <c r="K3948" t="s">
        <v>1097</v>
      </c>
      <c r="L3948">
        <v>399</v>
      </c>
      <c r="M3948" t="s">
        <v>1118</v>
      </c>
      <c r="N3948" t="s">
        <v>1099</v>
      </c>
      <c r="O3948">
        <f>Table1[[#This Row],[Unit_Price]]*Table1[[#This Row],[Quantity]]</f>
        <v>150</v>
      </c>
    </row>
    <row r="3949" spans="1:15" x14ac:dyDescent="0.3">
      <c r="A3949" t="s">
        <v>5771</v>
      </c>
      <c r="B3949" t="s">
        <v>1659</v>
      </c>
      <c r="C3949" t="s">
        <v>699</v>
      </c>
      <c r="D3949" t="s">
        <v>1062</v>
      </c>
      <c r="E3949">
        <v>1</v>
      </c>
      <c r="F3949">
        <f>_xlfn.XLOOKUP(Table1[[#This Row],[ProductID]],Products!A:A,Products!D:D,,0)</f>
        <v>95</v>
      </c>
      <c r="I3949">
        <v>349</v>
      </c>
      <c r="J3949">
        <v>297</v>
      </c>
      <c r="K3949" t="s">
        <v>1092</v>
      </c>
      <c r="L3949">
        <v>297</v>
      </c>
      <c r="M3949" t="s">
        <v>1098</v>
      </c>
      <c r="N3949" t="s">
        <v>1099</v>
      </c>
      <c r="O3949">
        <f>Table1[[#This Row],[Unit_Price]]*Table1[[#This Row],[Quantity]]</f>
        <v>95</v>
      </c>
    </row>
    <row r="3950" spans="1:15" x14ac:dyDescent="0.3">
      <c r="A3950" t="s">
        <v>5772</v>
      </c>
      <c r="B3950" t="s">
        <v>1712</v>
      </c>
      <c r="C3950" t="s">
        <v>917</v>
      </c>
      <c r="D3950" t="s">
        <v>1080</v>
      </c>
      <c r="E3950">
        <v>1</v>
      </c>
      <c r="F3950">
        <f>_xlfn.XLOOKUP(Table1[[#This Row],[ProductID]],Products!A:A,Products!D:D,,0)</f>
        <v>45</v>
      </c>
      <c r="I3950">
        <v>249</v>
      </c>
      <c r="J3950">
        <v>212</v>
      </c>
      <c r="K3950" t="s">
        <v>1092</v>
      </c>
      <c r="L3950">
        <v>212</v>
      </c>
      <c r="M3950" t="s">
        <v>1093</v>
      </c>
      <c r="N3950" t="s">
        <v>1099</v>
      </c>
      <c r="O3950">
        <f>Table1[[#This Row],[Unit_Price]]*Table1[[#This Row],[Quantity]]</f>
        <v>45</v>
      </c>
    </row>
    <row r="3951" spans="1:15" x14ac:dyDescent="0.3">
      <c r="A3951" t="s">
        <v>5773</v>
      </c>
      <c r="B3951" t="s">
        <v>2927</v>
      </c>
      <c r="C3951" t="s">
        <v>335</v>
      </c>
      <c r="D3951" t="s">
        <v>1053</v>
      </c>
      <c r="E3951">
        <v>2</v>
      </c>
      <c r="F3951">
        <f>_xlfn.XLOOKUP(Table1[[#This Row],[ProductID]],Products!A:A,Products!D:D,,0)</f>
        <v>200</v>
      </c>
      <c r="I3951">
        <v>899</v>
      </c>
      <c r="J3951">
        <v>809</v>
      </c>
      <c r="K3951" t="s">
        <v>1107</v>
      </c>
      <c r="L3951">
        <v>1618</v>
      </c>
      <c r="M3951" t="s">
        <v>1098</v>
      </c>
      <c r="N3951" t="s">
        <v>1099</v>
      </c>
      <c r="O3951">
        <f>Table1[[#This Row],[Unit_Price]]*Table1[[#This Row],[Quantity]]</f>
        <v>400</v>
      </c>
    </row>
    <row r="3952" spans="1:15" x14ac:dyDescent="0.3">
      <c r="A3952" t="s">
        <v>5774</v>
      </c>
      <c r="B3952" t="s">
        <v>1572</v>
      </c>
      <c r="C3952" t="s">
        <v>399</v>
      </c>
      <c r="D3952" t="s">
        <v>1057</v>
      </c>
      <c r="E3952">
        <v>4</v>
      </c>
      <c r="F3952">
        <f>_xlfn.XLOOKUP(Table1[[#This Row],[ProductID]],Products!A:A,Products!D:D,,0)</f>
        <v>130</v>
      </c>
      <c r="I3952">
        <v>549</v>
      </c>
      <c r="J3952">
        <v>494</v>
      </c>
      <c r="K3952" t="s">
        <v>1107</v>
      </c>
      <c r="L3952">
        <v>1976</v>
      </c>
      <c r="M3952" t="s">
        <v>1126</v>
      </c>
      <c r="N3952" t="s">
        <v>1099</v>
      </c>
      <c r="O3952">
        <f>Table1[[#This Row],[Unit_Price]]*Table1[[#This Row],[Quantity]]</f>
        <v>520</v>
      </c>
    </row>
    <row r="3953" spans="1:15" x14ac:dyDescent="0.3">
      <c r="A3953" t="s">
        <v>5775</v>
      </c>
      <c r="B3953" t="s">
        <v>2477</v>
      </c>
      <c r="C3953" t="s">
        <v>457</v>
      </c>
      <c r="D3953" t="s">
        <v>1073</v>
      </c>
      <c r="E3953">
        <v>2</v>
      </c>
      <c r="F3953">
        <f>_xlfn.XLOOKUP(Table1[[#This Row],[ProductID]],Products!A:A,Products!D:D,,0)</f>
        <v>100</v>
      </c>
      <c r="I3953">
        <v>349</v>
      </c>
      <c r="J3953">
        <v>279</v>
      </c>
      <c r="K3953" t="s">
        <v>1097</v>
      </c>
      <c r="L3953">
        <v>558</v>
      </c>
      <c r="M3953" t="s">
        <v>1093</v>
      </c>
      <c r="N3953" t="s">
        <v>1123</v>
      </c>
      <c r="O3953">
        <f>Table1[[#This Row],[Unit_Price]]*Table1[[#This Row],[Quantity]]</f>
        <v>200</v>
      </c>
    </row>
    <row r="3954" spans="1:15" x14ac:dyDescent="0.3">
      <c r="A3954" t="s">
        <v>5776</v>
      </c>
      <c r="B3954" t="s">
        <v>3265</v>
      </c>
      <c r="C3954" t="s">
        <v>559</v>
      </c>
      <c r="D3954" t="s">
        <v>1053</v>
      </c>
      <c r="E3954">
        <v>3</v>
      </c>
      <c r="F3954">
        <f>_xlfn.XLOOKUP(Table1[[#This Row],[ProductID]],Products!A:A,Products!D:D,,0)</f>
        <v>200</v>
      </c>
      <c r="I3954">
        <v>899</v>
      </c>
      <c r="J3954">
        <v>809</v>
      </c>
      <c r="K3954" t="s">
        <v>1107</v>
      </c>
      <c r="L3954">
        <v>2427</v>
      </c>
      <c r="M3954" t="s">
        <v>1093</v>
      </c>
      <c r="N3954" t="s">
        <v>1099</v>
      </c>
      <c r="O3954">
        <f>Table1[[#This Row],[Unit_Price]]*Table1[[#This Row],[Quantity]]</f>
        <v>600</v>
      </c>
    </row>
    <row r="3955" spans="1:15" x14ac:dyDescent="0.3">
      <c r="A3955" t="s">
        <v>5777</v>
      </c>
      <c r="B3955" t="s">
        <v>3591</v>
      </c>
      <c r="C3955" t="s">
        <v>347</v>
      </c>
      <c r="D3955" t="s">
        <v>1055</v>
      </c>
      <c r="E3955">
        <v>2</v>
      </c>
      <c r="F3955">
        <f>_xlfn.XLOOKUP(Table1[[#This Row],[ProductID]],Products!A:A,Products!D:D,,0)</f>
        <v>75</v>
      </c>
      <c r="I3955">
        <v>299</v>
      </c>
      <c r="J3955">
        <v>299</v>
      </c>
      <c r="K3955" t="s">
        <v>1102</v>
      </c>
      <c r="L3955">
        <v>598</v>
      </c>
      <c r="M3955" t="s">
        <v>1126</v>
      </c>
      <c r="N3955" t="s">
        <v>1099</v>
      </c>
      <c r="O3955">
        <f>Table1[[#This Row],[Unit_Price]]*Table1[[#This Row],[Quantity]]</f>
        <v>150</v>
      </c>
    </row>
    <row r="3956" spans="1:15" x14ac:dyDescent="0.3">
      <c r="A3956" t="s">
        <v>5778</v>
      </c>
      <c r="B3956" t="s">
        <v>1434</v>
      </c>
      <c r="C3956" t="s">
        <v>851</v>
      </c>
      <c r="D3956" t="s">
        <v>1066</v>
      </c>
      <c r="E3956">
        <v>3</v>
      </c>
      <c r="F3956">
        <f>_xlfn.XLOOKUP(Table1[[#This Row],[ProductID]],Products!A:A,Products!D:D,,0)</f>
        <v>140</v>
      </c>
      <c r="I3956">
        <v>499</v>
      </c>
      <c r="J3956">
        <v>499</v>
      </c>
      <c r="K3956" t="s">
        <v>1102</v>
      </c>
      <c r="L3956">
        <v>1497</v>
      </c>
      <c r="M3956" t="s">
        <v>1093</v>
      </c>
      <c r="N3956" t="s">
        <v>1099</v>
      </c>
      <c r="O3956">
        <f>Table1[[#This Row],[Unit_Price]]*Table1[[#This Row],[Quantity]]</f>
        <v>420</v>
      </c>
    </row>
    <row r="3957" spans="1:15" x14ac:dyDescent="0.3">
      <c r="A3957" t="s">
        <v>5779</v>
      </c>
      <c r="B3957" t="s">
        <v>2035</v>
      </c>
      <c r="C3957" t="s">
        <v>217</v>
      </c>
      <c r="D3957" t="s">
        <v>1053</v>
      </c>
      <c r="E3957">
        <v>1</v>
      </c>
      <c r="F3957">
        <f>_xlfn.XLOOKUP(Table1[[#This Row],[ProductID]],Products!A:A,Products!D:D,,0)</f>
        <v>200</v>
      </c>
      <c r="I3957">
        <v>899</v>
      </c>
      <c r="J3957">
        <v>764</v>
      </c>
      <c r="K3957" t="s">
        <v>1092</v>
      </c>
      <c r="L3957">
        <v>764</v>
      </c>
      <c r="M3957" t="s">
        <v>1098</v>
      </c>
      <c r="N3957" t="s">
        <v>1099</v>
      </c>
      <c r="O3957">
        <f>Table1[[#This Row],[Unit_Price]]*Table1[[#This Row],[Quantity]]</f>
        <v>200</v>
      </c>
    </row>
    <row r="3958" spans="1:15" x14ac:dyDescent="0.3">
      <c r="A3958" t="s">
        <v>5780</v>
      </c>
      <c r="B3958" t="s">
        <v>1202</v>
      </c>
      <c r="C3958" t="s">
        <v>817</v>
      </c>
      <c r="D3958" t="s">
        <v>1080</v>
      </c>
      <c r="E3958">
        <v>1</v>
      </c>
      <c r="F3958">
        <f>_xlfn.XLOOKUP(Table1[[#This Row],[ProductID]],Products!A:A,Products!D:D,,0)</f>
        <v>45</v>
      </c>
      <c r="I3958">
        <v>249</v>
      </c>
      <c r="J3958">
        <v>224</v>
      </c>
      <c r="K3958" t="s">
        <v>1107</v>
      </c>
      <c r="L3958">
        <v>224</v>
      </c>
      <c r="M3958" t="s">
        <v>1098</v>
      </c>
      <c r="N3958" t="s">
        <v>1099</v>
      </c>
      <c r="O3958">
        <f>Table1[[#This Row],[Unit_Price]]*Table1[[#This Row],[Quantity]]</f>
        <v>45</v>
      </c>
    </row>
    <row r="3959" spans="1:15" x14ac:dyDescent="0.3">
      <c r="A3959" t="s">
        <v>5781</v>
      </c>
      <c r="B3959" t="s">
        <v>2461</v>
      </c>
      <c r="C3959" t="s">
        <v>813</v>
      </c>
      <c r="D3959" t="s">
        <v>1062</v>
      </c>
      <c r="E3959">
        <v>2</v>
      </c>
      <c r="F3959">
        <f>_xlfn.XLOOKUP(Table1[[#This Row],[ProductID]],Products!A:A,Products!D:D,,0)</f>
        <v>95</v>
      </c>
      <c r="I3959">
        <v>349</v>
      </c>
      <c r="J3959">
        <v>314</v>
      </c>
      <c r="K3959" t="s">
        <v>1107</v>
      </c>
      <c r="L3959">
        <v>628</v>
      </c>
      <c r="M3959" t="s">
        <v>1098</v>
      </c>
      <c r="N3959" t="s">
        <v>1099</v>
      </c>
      <c r="O3959">
        <f>Table1[[#This Row],[Unit_Price]]*Table1[[#This Row],[Quantity]]</f>
        <v>190</v>
      </c>
    </row>
    <row r="3960" spans="1:15" x14ac:dyDescent="0.3">
      <c r="A3960" t="s">
        <v>5782</v>
      </c>
      <c r="B3960" t="s">
        <v>1688</v>
      </c>
      <c r="C3960" t="s">
        <v>767</v>
      </c>
      <c r="D3960" t="s">
        <v>1068</v>
      </c>
      <c r="E3960">
        <v>1</v>
      </c>
      <c r="F3960">
        <f>_xlfn.XLOOKUP(Table1[[#This Row],[ProductID]],Products!A:A,Products!D:D,,0)</f>
        <v>180</v>
      </c>
      <c r="I3960">
        <v>449</v>
      </c>
      <c r="J3960">
        <v>359</v>
      </c>
      <c r="K3960" t="s">
        <v>1097</v>
      </c>
      <c r="L3960">
        <v>359</v>
      </c>
      <c r="M3960" t="s">
        <v>1126</v>
      </c>
      <c r="N3960" t="s">
        <v>1099</v>
      </c>
      <c r="O3960">
        <f>Table1[[#This Row],[Unit_Price]]*Table1[[#This Row],[Quantity]]</f>
        <v>180</v>
      </c>
    </row>
    <row r="3961" spans="1:15" x14ac:dyDescent="0.3">
      <c r="A3961" t="s">
        <v>5783</v>
      </c>
      <c r="B3961" t="s">
        <v>1457</v>
      </c>
      <c r="C3961" t="s">
        <v>617</v>
      </c>
      <c r="D3961" t="s">
        <v>1073</v>
      </c>
      <c r="E3961">
        <v>3</v>
      </c>
      <c r="F3961">
        <f>_xlfn.XLOOKUP(Table1[[#This Row],[ProductID]],Products!A:A,Products!D:D,,0)</f>
        <v>100</v>
      </c>
      <c r="I3961">
        <v>349</v>
      </c>
      <c r="J3961">
        <v>314</v>
      </c>
      <c r="K3961" t="s">
        <v>1107</v>
      </c>
      <c r="L3961">
        <v>942</v>
      </c>
      <c r="M3961" t="s">
        <v>1098</v>
      </c>
      <c r="N3961" t="s">
        <v>1099</v>
      </c>
      <c r="O3961">
        <f>Table1[[#This Row],[Unit_Price]]*Table1[[#This Row],[Quantity]]</f>
        <v>300</v>
      </c>
    </row>
    <row r="3962" spans="1:15" x14ac:dyDescent="0.3">
      <c r="A3962" t="s">
        <v>5784</v>
      </c>
      <c r="B3962" t="s">
        <v>2754</v>
      </c>
      <c r="C3962" t="s">
        <v>531</v>
      </c>
      <c r="D3962" t="s">
        <v>1051</v>
      </c>
      <c r="E3962">
        <v>1</v>
      </c>
      <c r="F3962">
        <f>_xlfn.XLOOKUP(Table1[[#This Row],[ProductID]],Products!A:A,Products!D:D,,0)</f>
        <v>150</v>
      </c>
      <c r="I3962">
        <v>499</v>
      </c>
      <c r="J3962">
        <v>499</v>
      </c>
      <c r="K3962" t="s">
        <v>1102</v>
      </c>
      <c r="L3962">
        <v>499</v>
      </c>
      <c r="M3962" t="s">
        <v>1098</v>
      </c>
      <c r="N3962" t="s">
        <v>1099</v>
      </c>
      <c r="O3962">
        <f>Table1[[#This Row],[Unit_Price]]*Table1[[#This Row],[Quantity]]</f>
        <v>150</v>
      </c>
    </row>
    <row r="3963" spans="1:15" x14ac:dyDescent="0.3">
      <c r="A3963" t="s">
        <v>5785</v>
      </c>
      <c r="B3963" t="s">
        <v>1614</v>
      </c>
      <c r="C3963" t="s">
        <v>465</v>
      </c>
      <c r="D3963" t="s">
        <v>1048</v>
      </c>
      <c r="E3963">
        <v>1</v>
      </c>
      <c r="F3963">
        <f>_xlfn.XLOOKUP(Table1[[#This Row],[ProductID]],Products!A:A,Products!D:D,,0)</f>
        <v>120</v>
      </c>
      <c r="I3963">
        <v>599</v>
      </c>
      <c r="J3963">
        <v>479</v>
      </c>
      <c r="K3963" t="s">
        <v>1097</v>
      </c>
      <c r="L3963">
        <v>479</v>
      </c>
      <c r="M3963" t="s">
        <v>1118</v>
      </c>
      <c r="N3963" t="s">
        <v>1099</v>
      </c>
      <c r="O3963">
        <f>Table1[[#This Row],[Unit_Price]]*Table1[[#This Row],[Quantity]]</f>
        <v>120</v>
      </c>
    </row>
    <row r="3964" spans="1:15" x14ac:dyDescent="0.3">
      <c r="A3964" t="s">
        <v>5786</v>
      </c>
      <c r="B3964" t="s">
        <v>1741</v>
      </c>
      <c r="C3964" t="s">
        <v>453</v>
      </c>
      <c r="D3964" t="s">
        <v>1057</v>
      </c>
      <c r="E3964">
        <v>3</v>
      </c>
      <c r="F3964">
        <f>_xlfn.XLOOKUP(Table1[[#This Row],[ProductID]],Products!A:A,Products!D:D,,0)</f>
        <v>130</v>
      </c>
      <c r="I3964">
        <v>549</v>
      </c>
      <c r="J3964">
        <v>494</v>
      </c>
      <c r="K3964" t="s">
        <v>1107</v>
      </c>
      <c r="L3964">
        <v>1482</v>
      </c>
      <c r="M3964" t="s">
        <v>1098</v>
      </c>
      <c r="N3964" t="s">
        <v>1099</v>
      </c>
      <c r="O3964">
        <f>Table1[[#This Row],[Unit_Price]]*Table1[[#This Row],[Quantity]]</f>
        <v>390</v>
      </c>
    </row>
    <row r="3965" spans="1:15" x14ac:dyDescent="0.3">
      <c r="A3965" t="s">
        <v>5787</v>
      </c>
      <c r="B3965" t="s">
        <v>2695</v>
      </c>
      <c r="C3965" t="s">
        <v>943</v>
      </c>
      <c r="D3965" t="s">
        <v>1048</v>
      </c>
      <c r="E3965">
        <v>1</v>
      </c>
      <c r="F3965">
        <f>_xlfn.XLOOKUP(Table1[[#This Row],[ProductID]],Products!A:A,Products!D:D,,0)</f>
        <v>120</v>
      </c>
      <c r="I3965">
        <v>599</v>
      </c>
      <c r="J3965">
        <v>479</v>
      </c>
      <c r="K3965" t="s">
        <v>1097</v>
      </c>
      <c r="L3965">
        <v>479</v>
      </c>
      <c r="M3965" t="s">
        <v>1093</v>
      </c>
      <c r="N3965" t="s">
        <v>1099</v>
      </c>
      <c r="O3965">
        <f>Table1[[#This Row],[Unit_Price]]*Table1[[#This Row],[Quantity]]</f>
        <v>120</v>
      </c>
    </row>
    <row r="3966" spans="1:15" x14ac:dyDescent="0.3">
      <c r="A3966" t="s">
        <v>5788</v>
      </c>
      <c r="B3966" t="s">
        <v>2862</v>
      </c>
      <c r="C3966" t="s">
        <v>863</v>
      </c>
      <c r="D3966" t="s">
        <v>1062</v>
      </c>
      <c r="E3966">
        <v>2</v>
      </c>
      <c r="F3966">
        <f>_xlfn.XLOOKUP(Table1[[#This Row],[ProductID]],Products!A:A,Products!D:D,,0)</f>
        <v>95</v>
      </c>
      <c r="I3966">
        <v>349</v>
      </c>
      <c r="J3966">
        <v>314</v>
      </c>
      <c r="K3966" t="s">
        <v>1107</v>
      </c>
      <c r="L3966">
        <v>628</v>
      </c>
      <c r="M3966" t="s">
        <v>1098</v>
      </c>
      <c r="N3966" t="s">
        <v>1099</v>
      </c>
      <c r="O3966">
        <f>Table1[[#This Row],[Unit_Price]]*Table1[[#This Row],[Quantity]]</f>
        <v>190</v>
      </c>
    </row>
    <row r="3967" spans="1:15" x14ac:dyDescent="0.3">
      <c r="A3967" t="s">
        <v>5789</v>
      </c>
      <c r="B3967" t="s">
        <v>2819</v>
      </c>
      <c r="C3967" t="s">
        <v>367</v>
      </c>
      <c r="D3967" t="s">
        <v>1051</v>
      </c>
      <c r="E3967">
        <v>3</v>
      </c>
      <c r="F3967">
        <f>_xlfn.XLOOKUP(Table1[[#This Row],[ProductID]],Products!A:A,Products!D:D,,0)</f>
        <v>150</v>
      </c>
      <c r="I3967">
        <v>499</v>
      </c>
      <c r="J3967">
        <v>424</v>
      </c>
      <c r="K3967" t="s">
        <v>1092</v>
      </c>
      <c r="L3967">
        <v>1272</v>
      </c>
      <c r="M3967" t="s">
        <v>1098</v>
      </c>
      <c r="N3967" t="s">
        <v>1099</v>
      </c>
      <c r="O3967">
        <f>Table1[[#This Row],[Unit_Price]]*Table1[[#This Row],[Quantity]]</f>
        <v>450</v>
      </c>
    </row>
    <row r="3968" spans="1:15" x14ac:dyDescent="0.3">
      <c r="A3968" t="s">
        <v>5790</v>
      </c>
      <c r="B3968" t="s">
        <v>1198</v>
      </c>
      <c r="C3968" t="s">
        <v>381</v>
      </c>
      <c r="D3968" t="s">
        <v>1053</v>
      </c>
      <c r="E3968">
        <v>1</v>
      </c>
      <c r="F3968">
        <f>_xlfn.XLOOKUP(Table1[[#This Row],[ProductID]],Products!A:A,Products!D:D,,0)</f>
        <v>200</v>
      </c>
      <c r="I3968">
        <v>899</v>
      </c>
      <c r="J3968">
        <v>899</v>
      </c>
      <c r="K3968" t="s">
        <v>1102</v>
      </c>
      <c r="L3968">
        <v>899</v>
      </c>
      <c r="M3968" t="s">
        <v>1126</v>
      </c>
      <c r="N3968" t="s">
        <v>1099</v>
      </c>
      <c r="O3968">
        <f>Table1[[#This Row],[Unit_Price]]*Table1[[#This Row],[Quantity]]</f>
        <v>200</v>
      </c>
    </row>
    <row r="3969" spans="1:15" x14ac:dyDescent="0.3">
      <c r="A3969" t="s">
        <v>5791</v>
      </c>
      <c r="B3969" t="s">
        <v>1977</v>
      </c>
      <c r="C3969" t="s">
        <v>343</v>
      </c>
      <c r="D3969" t="s">
        <v>1066</v>
      </c>
      <c r="E3969">
        <v>1</v>
      </c>
      <c r="F3969">
        <f>_xlfn.XLOOKUP(Table1[[#This Row],[ProductID]],Products!A:A,Products!D:D,,0)</f>
        <v>140</v>
      </c>
      <c r="I3969">
        <v>499</v>
      </c>
      <c r="J3969">
        <v>449</v>
      </c>
      <c r="K3969" t="s">
        <v>1107</v>
      </c>
      <c r="L3969">
        <v>449</v>
      </c>
      <c r="M3969" t="s">
        <v>1098</v>
      </c>
      <c r="N3969" t="s">
        <v>1099</v>
      </c>
      <c r="O3969">
        <f>Table1[[#This Row],[Unit_Price]]*Table1[[#This Row],[Quantity]]</f>
        <v>140</v>
      </c>
    </row>
    <row r="3970" spans="1:15" x14ac:dyDescent="0.3">
      <c r="A3970" t="s">
        <v>5792</v>
      </c>
      <c r="B3970" t="s">
        <v>1359</v>
      </c>
      <c r="C3970" t="s">
        <v>201</v>
      </c>
      <c r="D3970" t="s">
        <v>1064</v>
      </c>
      <c r="E3970">
        <v>2</v>
      </c>
      <c r="F3970">
        <f>_xlfn.XLOOKUP(Table1[[#This Row],[ProductID]],Products!A:A,Products!D:D,,0)</f>
        <v>160</v>
      </c>
      <c r="I3970">
        <v>699</v>
      </c>
      <c r="J3970">
        <v>699</v>
      </c>
      <c r="K3970" t="s">
        <v>1102</v>
      </c>
      <c r="L3970">
        <v>1398</v>
      </c>
      <c r="M3970" t="s">
        <v>1093</v>
      </c>
      <c r="N3970" t="s">
        <v>1094</v>
      </c>
      <c r="O3970">
        <f>Table1[[#This Row],[Unit_Price]]*Table1[[#This Row],[Quantity]]</f>
        <v>320</v>
      </c>
    </row>
    <row r="3971" spans="1:15" x14ac:dyDescent="0.3">
      <c r="A3971" t="s">
        <v>5793</v>
      </c>
      <c r="B3971" t="s">
        <v>2727</v>
      </c>
      <c r="C3971" t="s">
        <v>665</v>
      </c>
      <c r="D3971" t="s">
        <v>1071</v>
      </c>
      <c r="E3971">
        <v>4</v>
      </c>
      <c r="F3971">
        <f>_xlfn.XLOOKUP(Table1[[#This Row],[ProductID]],Products!A:A,Products!D:D,,0)</f>
        <v>125</v>
      </c>
      <c r="I3971">
        <v>399</v>
      </c>
      <c r="J3971">
        <v>339</v>
      </c>
      <c r="K3971" t="s">
        <v>1092</v>
      </c>
      <c r="L3971">
        <v>1356</v>
      </c>
      <c r="M3971" t="s">
        <v>1098</v>
      </c>
      <c r="N3971" t="s">
        <v>1099</v>
      </c>
      <c r="O3971">
        <f>Table1[[#This Row],[Unit_Price]]*Table1[[#This Row],[Quantity]]</f>
        <v>500</v>
      </c>
    </row>
    <row r="3972" spans="1:15" x14ac:dyDescent="0.3">
      <c r="A3972" t="s">
        <v>5794</v>
      </c>
      <c r="B3972" t="s">
        <v>1690</v>
      </c>
      <c r="C3972" t="s">
        <v>643</v>
      </c>
      <c r="D3972" t="s">
        <v>1066</v>
      </c>
      <c r="E3972">
        <v>1</v>
      </c>
      <c r="F3972">
        <f>_xlfn.XLOOKUP(Table1[[#This Row],[ProductID]],Products!A:A,Products!D:D,,0)</f>
        <v>140</v>
      </c>
      <c r="I3972">
        <v>499</v>
      </c>
      <c r="J3972">
        <v>499</v>
      </c>
      <c r="K3972" t="s">
        <v>1102</v>
      </c>
      <c r="L3972">
        <v>499</v>
      </c>
      <c r="M3972" t="s">
        <v>1093</v>
      </c>
      <c r="N3972" t="s">
        <v>1099</v>
      </c>
      <c r="O3972">
        <f>Table1[[#This Row],[Unit_Price]]*Table1[[#This Row],[Quantity]]</f>
        <v>140</v>
      </c>
    </row>
    <row r="3973" spans="1:15" x14ac:dyDescent="0.3">
      <c r="A3973" t="s">
        <v>5795</v>
      </c>
      <c r="B3973" t="s">
        <v>2132</v>
      </c>
      <c r="C3973" t="s">
        <v>193</v>
      </c>
      <c r="D3973" t="s">
        <v>1053</v>
      </c>
      <c r="E3973">
        <v>1</v>
      </c>
      <c r="F3973">
        <f>_xlfn.XLOOKUP(Table1[[#This Row],[ProductID]],Products!A:A,Products!D:D,,0)</f>
        <v>200</v>
      </c>
      <c r="I3973">
        <v>899</v>
      </c>
      <c r="J3973">
        <v>764</v>
      </c>
      <c r="K3973" t="s">
        <v>1092</v>
      </c>
      <c r="L3973">
        <v>764</v>
      </c>
      <c r="M3973" t="s">
        <v>1098</v>
      </c>
      <c r="N3973" t="s">
        <v>1099</v>
      </c>
      <c r="O3973">
        <f>Table1[[#This Row],[Unit_Price]]*Table1[[#This Row],[Quantity]]</f>
        <v>200</v>
      </c>
    </row>
    <row r="3974" spans="1:15" x14ac:dyDescent="0.3">
      <c r="A3974" t="s">
        <v>5796</v>
      </c>
      <c r="B3974" t="s">
        <v>2012</v>
      </c>
      <c r="C3974" t="s">
        <v>971</v>
      </c>
      <c r="D3974" t="s">
        <v>1066</v>
      </c>
      <c r="E3974">
        <v>1</v>
      </c>
      <c r="F3974">
        <f>_xlfn.XLOOKUP(Table1[[#This Row],[ProductID]],Products!A:A,Products!D:D,,0)</f>
        <v>140</v>
      </c>
      <c r="I3974">
        <v>499</v>
      </c>
      <c r="J3974">
        <v>424</v>
      </c>
      <c r="K3974" t="s">
        <v>1092</v>
      </c>
      <c r="L3974">
        <v>424</v>
      </c>
      <c r="M3974" t="s">
        <v>1093</v>
      </c>
      <c r="N3974" t="s">
        <v>1099</v>
      </c>
      <c r="O3974">
        <f>Table1[[#This Row],[Unit_Price]]*Table1[[#This Row],[Quantity]]</f>
        <v>140</v>
      </c>
    </row>
    <row r="3975" spans="1:15" x14ac:dyDescent="0.3">
      <c r="A3975" t="s">
        <v>5797</v>
      </c>
      <c r="B3975" t="s">
        <v>1845</v>
      </c>
      <c r="C3975" t="s">
        <v>275</v>
      </c>
      <c r="D3975" t="s">
        <v>1059</v>
      </c>
      <c r="E3975">
        <v>1</v>
      </c>
      <c r="F3975">
        <f>_xlfn.XLOOKUP(Table1[[#This Row],[ProductID]],Products!A:A,Products!D:D,,0)</f>
        <v>110</v>
      </c>
      <c r="I3975">
        <v>399</v>
      </c>
      <c r="J3975">
        <v>339</v>
      </c>
      <c r="K3975" t="s">
        <v>1092</v>
      </c>
      <c r="L3975">
        <v>339</v>
      </c>
      <c r="M3975" t="s">
        <v>1098</v>
      </c>
      <c r="N3975" t="s">
        <v>1099</v>
      </c>
      <c r="O3975">
        <f>Table1[[#This Row],[Unit_Price]]*Table1[[#This Row],[Quantity]]</f>
        <v>110</v>
      </c>
    </row>
    <row r="3976" spans="1:15" x14ac:dyDescent="0.3">
      <c r="A3976" t="s">
        <v>5798</v>
      </c>
      <c r="B3976" t="s">
        <v>3179</v>
      </c>
      <c r="C3976" t="s">
        <v>273</v>
      </c>
      <c r="D3976" t="s">
        <v>1080</v>
      </c>
      <c r="E3976">
        <v>1</v>
      </c>
      <c r="F3976">
        <f>_xlfn.XLOOKUP(Table1[[#This Row],[ProductID]],Products!A:A,Products!D:D,,0)</f>
        <v>45</v>
      </c>
      <c r="I3976">
        <v>249</v>
      </c>
      <c r="J3976">
        <v>199</v>
      </c>
      <c r="K3976" t="s">
        <v>1097</v>
      </c>
      <c r="L3976">
        <v>199</v>
      </c>
      <c r="M3976" t="s">
        <v>1098</v>
      </c>
      <c r="N3976" t="s">
        <v>1099</v>
      </c>
      <c r="O3976">
        <f>Table1[[#This Row],[Unit_Price]]*Table1[[#This Row],[Quantity]]</f>
        <v>45</v>
      </c>
    </row>
    <row r="3977" spans="1:15" x14ac:dyDescent="0.3">
      <c r="A3977" t="s">
        <v>5799</v>
      </c>
      <c r="B3977" t="s">
        <v>1715</v>
      </c>
      <c r="C3977" t="s">
        <v>20</v>
      </c>
      <c r="D3977" t="s">
        <v>1066</v>
      </c>
      <c r="E3977">
        <v>3</v>
      </c>
      <c r="F3977">
        <f>_xlfn.XLOOKUP(Table1[[#This Row],[ProductID]],Products!A:A,Products!D:D,,0)</f>
        <v>140</v>
      </c>
      <c r="I3977">
        <v>499</v>
      </c>
      <c r="J3977">
        <v>449</v>
      </c>
      <c r="K3977" t="s">
        <v>1107</v>
      </c>
      <c r="L3977">
        <v>1347</v>
      </c>
      <c r="M3977" t="s">
        <v>1098</v>
      </c>
      <c r="N3977" t="s">
        <v>1099</v>
      </c>
      <c r="O3977">
        <f>Table1[[#This Row],[Unit_Price]]*Table1[[#This Row],[Quantity]]</f>
        <v>420</v>
      </c>
    </row>
    <row r="3978" spans="1:15" x14ac:dyDescent="0.3">
      <c r="A3978" t="s">
        <v>5800</v>
      </c>
      <c r="B3978" t="s">
        <v>1730</v>
      </c>
      <c r="C3978" t="s">
        <v>409</v>
      </c>
      <c r="D3978" t="s">
        <v>1073</v>
      </c>
      <c r="E3978">
        <v>1</v>
      </c>
      <c r="F3978">
        <f>_xlfn.XLOOKUP(Table1[[#This Row],[ProductID]],Products!A:A,Products!D:D,,0)</f>
        <v>100</v>
      </c>
      <c r="I3978">
        <v>349</v>
      </c>
      <c r="J3978">
        <v>279</v>
      </c>
      <c r="K3978" t="s">
        <v>1097</v>
      </c>
      <c r="L3978">
        <v>279</v>
      </c>
      <c r="M3978" t="s">
        <v>1093</v>
      </c>
      <c r="N3978" t="s">
        <v>1099</v>
      </c>
      <c r="O3978">
        <f>Table1[[#This Row],[Unit_Price]]*Table1[[#This Row],[Quantity]]</f>
        <v>100</v>
      </c>
    </row>
    <row r="3979" spans="1:15" x14ac:dyDescent="0.3">
      <c r="A3979" t="s">
        <v>5801</v>
      </c>
      <c r="B3979" t="s">
        <v>3415</v>
      </c>
      <c r="C3979" t="s">
        <v>93</v>
      </c>
      <c r="D3979" t="s">
        <v>1071</v>
      </c>
      <c r="E3979">
        <v>1</v>
      </c>
      <c r="F3979">
        <f>_xlfn.XLOOKUP(Table1[[#This Row],[ProductID]],Products!A:A,Products!D:D,,0)</f>
        <v>125</v>
      </c>
      <c r="I3979">
        <v>399</v>
      </c>
      <c r="J3979">
        <v>359</v>
      </c>
      <c r="K3979" t="s">
        <v>1107</v>
      </c>
      <c r="L3979">
        <v>359</v>
      </c>
      <c r="M3979" t="s">
        <v>1098</v>
      </c>
      <c r="N3979" t="s">
        <v>1099</v>
      </c>
      <c r="O3979">
        <f>Table1[[#This Row],[Unit_Price]]*Table1[[#This Row],[Quantity]]</f>
        <v>125</v>
      </c>
    </row>
    <row r="3980" spans="1:15" x14ac:dyDescent="0.3">
      <c r="A3980" t="s">
        <v>5802</v>
      </c>
      <c r="B3980" t="s">
        <v>1400</v>
      </c>
      <c r="C3980" t="s">
        <v>579</v>
      </c>
      <c r="D3980" t="s">
        <v>1053</v>
      </c>
      <c r="E3980">
        <v>1</v>
      </c>
      <c r="F3980">
        <f>_xlfn.XLOOKUP(Table1[[#This Row],[ProductID]],Products!A:A,Products!D:D,,0)</f>
        <v>200</v>
      </c>
      <c r="I3980">
        <v>899</v>
      </c>
      <c r="J3980">
        <v>809</v>
      </c>
      <c r="K3980" t="s">
        <v>1107</v>
      </c>
      <c r="L3980">
        <v>809</v>
      </c>
      <c r="M3980" t="s">
        <v>1093</v>
      </c>
      <c r="N3980" t="s">
        <v>1094</v>
      </c>
      <c r="O3980">
        <f>Table1[[#This Row],[Unit_Price]]*Table1[[#This Row],[Quantity]]</f>
        <v>200</v>
      </c>
    </row>
    <row r="3981" spans="1:15" x14ac:dyDescent="0.3">
      <c r="A3981" t="s">
        <v>5803</v>
      </c>
      <c r="B3981" t="s">
        <v>1707</v>
      </c>
      <c r="C3981" t="s">
        <v>315</v>
      </c>
      <c r="D3981" t="s">
        <v>1055</v>
      </c>
      <c r="E3981">
        <v>1</v>
      </c>
      <c r="F3981">
        <f>_xlfn.XLOOKUP(Table1[[#This Row],[ProductID]],Products!A:A,Products!D:D,,0)</f>
        <v>75</v>
      </c>
      <c r="I3981">
        <v>299</v>
      </c>
      <c r="J3981">
        <v>299</v>
      </c>
      <c r="K3981" t="s">
        <v>1102</v>
      </c>
      <c r="L3981">
        <v>299</v>
      </c>
      <c r="M3981" t="s">
        <v>1093</v>
      </c>
      <c r="N3981" t="s">
        <v>1099</v>
      </c>
      <c r="O3981">
        <f>Table1[[#This Row],[Unit_Price]]*Table1[[#This Row],[Quantity]]</f>
        <v>75</v>
      </c>
    </row>
    <row r="3982" spans="1:15" x14ac:dyDescent="0.3">
      <c r="A3982" t="s">
        <v>5804</v>
      </c>
      <c r="B3982" t="s">
        <v>1455</v>
      </c>
      <c r="C3982" t="s">
        <v>67</v>
      </c>
      <c r="D3982" t="s">
        <v>1059</v>
      </c>
      <c r="E3982">
        <v>4</v>
      </c>
      <c r="F3982">
        <f>_xlfn.XLOOKUP(Table1[[#This Row],[ProductID]],Products!A:A,Products!D:D,,0)</f>
        <v>110</v>
      </c>
      <c r="I3982">
        <v>399</v>
      </c>
      <c r="J3982">
        <v>359</v>
      </c>
      <c r="K3982" t="s">
        <v>1107</v>
      </c>
      <c r="L3982">
        <v>1436</v>
      </c>
      <c r="M3982" t="s">
        <v>1093</v>
      </c>
      <c r="N3982" t="s">
        <v>1099</v>
      </c>
      <c r="O3982">
        <f>Table1[[#This Row],[Unit_Price]]*Table1[[#This Row],[Quantity]]</f>
        <v>440</v>
      </c>
    </row>
    <row r="3983" spans="1:15" x14ac:dyDescent="0.3">
      <c r="A3983" t="s">
        <v>5805</v>
      </c>
      <c r="B3983" t="s">
        <v>2819</v>
      </c>
      <c r="C3983" t="s">
        <v>769</v>
      </c>
      <c r="D3983" t="s">
        <v>1075</v>
      </c>
      <c r="E3983">
        <v>2</v>
      </c>
      <c r="F3983">
        <f>_xlfn.XLOOKUP(Table1[[#This Row],[ProductID]],Products!A:A,Products!D:D,,0)</f>
        <v>80</v>
      </c>
      <c r="I3983">
        <v>499</v>
      </c>
      <c r="J3983">
        <v>424</v>
      </c>
      <c r="K3983" t="s">
        <v>1092</v>
      </c>
      <c r="L3983">
        <v>848</v>
      </c>
      <c r="M3983" t="s">
        <v>1098</v>
      </c>
      <c r="N3983" t="s">
        <v>1099</v>
      </c>
      <c r="O3983">
        <f>Table1[[#This Row],[Unit_Price]]*Table1[[#This Row],[Quantity]]</f>
        <v>160</v>
      </c>
    </row>
    <row r="3984" spans="1:15" x14ac:dyDescent="0.3">
      <c r="A3984" t="s">
        <v>5806</v>
      </c>
      <c r="B3984" t="s">
        <v>2709</v>
      </c>
      <c r="C3984" t="s">
        <v>1003</v>
      </c>
      <c r="D3984" t="s">
        <v>1059</v>
      </c>
      <c r="E3984">
        <v>1</v>
      </c>
      <c r="F3984">
        <f>_xlfn.XLOOKUP(Table1[[#This Row],[ProductID]],Products!A:A,Products!D:D,,0)</f>
        <v>110</v>
      </c>
      <c r="I3984">
        <v>399</v>
      </c>
      <c r="J3984">
        <v>399</v>
      </c>
      <c r="K3984" t="s">
        <v>1102</v>
      </c>
      <c r="L3984">
        <v>399</v>
      </c>
      <c r="M3984" t="s">
        <v>1093</v>
      </c>
      <c r="N3984" t="s">
        <v>1099</v>
      </c>
      <c r="O3984">
        <f>Table1[[#This Row],[Unit_Price]]*Table1[[#This Row],[Quantity]]</f>
        <v>110</v>
      </c>
    </row>
    <row r="3985" spans="1:15" x14ac:dyDescent="0.3">
      <c r="A3985" t="s">
        <v>5807</v>
      </c>
      <c r="B3985" t="s">
        <v>3847</v>
      </c>
      <c r="C3985" t="s">
        <v>823</v>
      </c>
      <c r="D3985" t="s">
        <v>1078</v>
      </c>
      <c r="E3985">
        <v>1</v>
      </c>
      <c r="F3985">
        <f>_xlfn.XLOOKUP(Table1[[#This Row],[ProductID]],Products!A:A,Products!D:D,,0)</f>
        <v>80</v>
      </c>
      <c r="I3985">
        <v>499</v>
      </c>
      <c r="J3985">
        <v>449</v>
      </c>
      <c r="K3985" t="s">
        <v>1107</v>
      </c>
      <c r="L3985">
        <v>449</v>
      </c>
      <c r="M3985" t="s">
        <v>1098</v>
      </c>
      <c r="N3985" t="s">
        <v>1099</v>
      </c>
      <c r="O3985">
        <f>Table1[[#This Row],[Unit_Price]]*Table1[[#This Row],[Quantity]]</f>
        <v>80</v>
      </c>
    </row>
    <row r="3986" spans="1:15" x14ac:dyDescent="0.3">
      <c r="A3986" t="s">
        <v>5808</v>
      </c>
      <c r="B3986" t="s">
        <v>1298</v>
      </c>
      <c r="C3986" t="s">
        <v>763</v>
      </c>
      <c r="D3986" t="s">
        <v>1066</v>
      </c>
      <c r="E3986">
        <v>1</v>
      </c>
      <c r="F3986">
        <f>_xlfn.XLOOKUP(Table1[[#This Row],[ProductID]],Products!A:A,Products!D:D,,0)</f>
        <v>140</v>
      </c>
      <c r="I3986">
        <v>499</v>
      </c>
      <c r="J3986">
        <v>449</v>
      </c>
      <c r="K3986" t="s">
        <v>1107</v>
      </c>
      <c r="L3986">
        <v>449</v>
      </c>
      <c r="M3986" t="s">
        <v>1098</v>
      </c>
      <c r="N3986" t="s">
        <v>1099</v>
      </c>
      <c r="O3986">
        <f>Table1[[#This Row],[Unit_Price]]*Table1[[#This Row],[Quantity]]</f>
        <v>140</v>
      </c>
    </row>
    <row r="3987" spans="1:15" x14ac:dyDescent="0.3">
      <c r="A3987" t="s">
        <v>5809</v>
      </c>
      <c r="B3987" t="s">
        <v>1799</v>
      </c>
      <c r="C3987" t="s">
        <v>619</v>
      </c>
      <c r="D3987" t="s">
        <v>1062</v>
      </c>
      <c r="E3987">
        <v>1</v>
      </c>
      <c r="F3987">
        <f>_xlfn.XLOOKUP(Table1[[#This Row],[ProductID]],Products!A:A,Products!D:D,,0)</f>
        <v>95</v>
      </c>
      <c r="I3987">
        <v>349</v>
      </c>
      <c r="J3987">
        <v>314</v>
      </c>
      <c r="K3987" t="s">
        <v>1107</v>
      </c>
      <c r="L3987">
        <v>314</v>
      </c>
      <c r="M3987" t="s">
        <v>1098</v>
      </c>
      <c r="N3987" t="s">
        <v>1099</v>
      </c>
      <c r="O3987">
        <f>Table1[[#This Row],[Unit_Price]]*Table1[[#This Row],[Quantity]]</f>
        <v>95</v>
      </c>
    </row>
    <row r="3988" spans="1:15" x14ac:dyDescent="0.3">
      <c r="A3988" t="s">
        <v>5810</v>
      </c>
      <c r="B3988" t="s">
        <v>1386</v>
      </c>
      <c r="C3988" t="s">
        <v>359</v>
      </c>
      <c r="D3988" t="s">
        <v>1066</v>
      </c>
      <c r="E3988">
        <v>1</v>
      </c>
      <c r="F3988">
        <f>_xlfn.XLOOKUP(Table1[[#This Row],[ProductID]],Products!A:A,Products!D:D,,0)</f>
        <v>140</v>
      </c>
      <c r="I3988">
        <v>499</v>
      </c>
      <c r="J3988">
        <v>449</v>
      </c>
      <c r="K3988" t="s">
        <v>1107</v>
      </c>
      <c r="L3988">
        <v>449</v>
      </c>
      <c r="M3988" t="s">
        <v>1118</v>
      </c>
      <c r="N3988" t="s">
        <v>1099</v>
      </c>
      <c r="O3988">
        <f>Table1[[#This Row],[Unit_Price]]*Table1[[#This Row],[Quantity]]</f>
        <v>140</v>
      </c>
    </row>
    <row r="3989" spans="1:15" x14ac:dyDescent="0.3">
      <c r="A3989" t="s">
        <v>5811</v>
      </c>
      <c r="B3989" t="s">
        <v>1496</v>
      </c>
      <c r="C3989" t="s">
        <v>387</v>
      </c>
      <c r="D3989" t="s">
        <v>1075</v>
      </c>
      <c r="E3989">
        <v>4</v>
      </c>
      <c r="F3989">
        <f>_xlfn.XLOOKUP(Table1[[#This Row],[ProductID]],Products!A:A,Products!D:D,,0)</f>
        <v>80</v>
      </c>
      <c r="I3989">
        <v>499</v>
      </c>
      <c r="J3989">
        <v>449</v>
      </c>
      <c r="K3989" t="s">
        <v>1107</v>
      </c>
      <c r="L3989">
        <v>1796</v>
      </c>
      <c r="M3989" t="s">
        <v>1098</v>
      </c>
      <c r="N3989" t="s">
        <v>1099</v>
      </c>
      <c r="O3989">
        <f>Table1[[#This Row],[Unit_Price]]*Table1[[#This Row],[Quantity]]</f>
        <v>320</v>
      </c>
    </row>
    <row r="3990" spans="1:15" x14ac:dyDescent="0.3">
      <c r="A3990" t="s">
        <v>5812</v>
      </c>
      <c r="B3990" t="s">
        <v>4090</v>
      </c>
      <c r="C3990" t="s">
        <v>325</v>
      </c>
      <c r="D3990" t="s">
        <v>1057</v>
      </c>
      <c r="E3990">
        <v>2</v>
      </c>
      <c r="F3990">
        <f>_xlfn.XLOOKUP(Table1[[#This Row],[ProductID]],Products!A:A,Products!D:D,,0)</f>
        <v>130</v>
      </c>
      <c r="I3990">
        <v>549</v>
      </c>
      <c r="J3990">
        <v>549</v>
      </c>
      <c r="K3990" t="s">
        <v>1102</v>
      </c>
      <c r="L3990">
        <v>1098</v>
      </c>
      <c r="M3990" t="s">
        <v>1093</v>
      </c>
      <c r="N3990" t="s">
        <v>1099</v>
      </c>
      <c r="O3990">
        <f>Table1[[#This Row],[Unit_Price]]*Table1[[#This Row],[Quantity]]</f>
        <v>260</v>
      </c>
    </row>
    <row r="3991" spans="1:15" x14ac:dyDescent="0.3">
      <c r="A3991" t="s">
        <v>5813</v>
      </c>
      <c r="B3991" t="s">
        <v>1408</v>
      </c>
      <c r="C3991" t="s">
        <v>977</v>
      </c>
      <c r="D3991" t="s">
        <v>1068</v>
      </c>
      <c r="E3991">
        <v>1</v>
      </c>
      <c r="F3991">
        <f>_xlfn.XLOOKUP(Table1[[#This Row],[ProductID]],Products!A:A,Products!D:D,,0)</f>
        <v>180</v>
      </c>
      <c r="I3991">
        <v>449</v>
      </c>
      <c r="J3991">
        <v>359</v>
      </c>
      <c r="K3991" t="s">
        <v>1097</v>
      </c>
      <c r="L3991">
        <v>359</v>
      </c>
      <c r="M3991" t="s">
        <v>1118</v>
      </c>
      <c r="N3991" t="s">
        <v>1099</v>
      </c>
      <c r="O3991">
        <f>Table1[[#This Row],[Unit_Price]]*Table1[[#This Row],[Quantity]]</f>
        <v>180</v>
      </c>
    </row>
    <row r="3992" spans="1:15" x14ac:dyDescent="0.3">
      <c r="A3992" t="s">
        <v>5814</v>
      </c>
      <c r="B3992" t="s">
        <v>1799</v>
      </c>
      <c r="C3992" t="s">
        <v>637</v>
      </c>
      <c r="D3992" t="s">
        <v>1053</v>
      </c>
      <c r="E3992">
        <v>1</v>
      </c>
      <c r="F3992">
        <f>_xlfn.XLOOKUP(Table1[[#This Row],[ProductID]],Products!A:A,Products!D:D,,0)</f>
        <v>200</v>
      </c>
      <c r="I3992">
        <v>899</v>
      </c>
      <c r="J3992">
        <v>809</v>
      </c>
      <c r="K3992" t="s">
        <v>1107</v>
      </c>
      <c r="L3992">
        <v>809</v>
      </c>
      <c r="M3992" t="s">
        <v>1098</v>
      </c>
      <c r="N3992" t="s">
        <v>1099</v>
      </c>
      <c r="O3992">
        <f>Table1[[#This Row],[Unit_Price]]*Table1[[#This Row],[Quantity]]</f>
        <v>200</v>
      </c>
    </row>
    <row r="3993" spans="1:15" x14ac:dyDescent="0.3">
      <c r="A3993" t="s">
        <v>5815</v>
      </c>
      <c r="B3993" t="s">
        <v>2583</v>
      </c>
      <c r="C3993" t="s">
        <v>237</v>
      </c>
      <c r="D3993" t="s">
        <v>1051</v>
      </c>
      <c r="E3993">
        <v>1</v>
      </c>
      <c r="F3993">
        <f>_xlfn.XLOOKUP(Table1[[#This Row],[ProductID]],Products!A:A,Products!D:D,,0)</f>
        <v>150</v>
      </c>
      <c r="I3993">
        <v>499</v>
      </c>
      <c r="J3993">
        <v>399</v>
      </c>
      <c r="K3993" t="s">
        <v>1097</v>
      </c>
      <c r="L3993">
        <v>399</v>
      </c>
      <c r="M3993" t="s">
        <v>1126</v>
      </c>
      <c r="N3993" t="s">
        <v>1099</v>
      </c>
      <c r="O3993">
        <f>Table1[[#This Row],[Unit_Price]]*Table1[[#This Row],[Quantity]]</f>
        <v>150</v>
      </c>
    </row>
    <row r="3994" spans="1:15" x14ac:dyDescent="0.3">
      <c r="A3994" t="s">
        <v>5816</v>
      </c>
      <c r="B3994" t="s">
        <v>1728</v>
      </c>
      <c r="C3994" t="s">
        <v>413</v>
      </c>
      <c r="D3994" t="s">
        <v>1068</v>
      </c>
      <c r="E3994">
        <v>3</v>
      </c>
      <c r="F3994">
        <f>_xlfn.XLOOKUP(Table1[[#This Row],[ProductID]],Products!A:A,Products!D:D,,0)</f>
        <v>180</v>
      </c>
      <c r="I3994">
        <v>449</v>
      </c>
      <c r="J3994">
        <v>382</v>
      </c>
      <c r="K3994" t="s">
        <v>1092</v>
      </c>
      <c r="L3994">
        <v>1146</v>
      </c>
      <c r="M3994" t="s">
        <v>1126</v>
      </c>
      <c r="N3994" t="s">
        <v>1099</v>
      </c>
      <c r="O3994">
        <f>Table1[[#This Row],[Unit_Price]]*Table1[[#This Row],[Quantity]]</f>
        <v>540</v>
      </c>
    </row>
    <row r="3995" spans="1:15" x14ac:dyDescent="0.3">
      <c r="A3995" t="s">
        <v>5817</v>
      </c>
      <c r="B3995" t="s">
        <v>1570</v>
      </c>
      <c r="C3995" t="s">
        <v>429</v>
      </c>
      <c r="D3995" t="s">
        <v>1051</v>
      </c>
      <c r="E3995">
        <v>1</v>
      </c>
      <c r="F3995">
        <f>_xlfn.XLOOKUP(Table1[[#This Row],[ProductID]],Products!A:A,Products!D:D,,0)</f>
        <v>150</v>
      </c>
      <c r="I3995">
        <v>499</v>
      </c>
      <c r="J3995">
        <v>424</v>
      </c>
      <c r="K3995" t="s">
        <v>1092</v>
      </c>
      <c r="L3995">
        <v>424</v>
      </c>
      <c r="M3995" t="s">
        <v>1098</v>
      </c>
      <c r="N3995" t="s">
        <v>1099</v>
      </c>
      <c r="O3995">
        <f>Table1[[#This Row],[Unit_Price]]*Table1[[#This Row],[Quantity]]</f>
        <v>150</v>
      </c>
    </row>
    <row r="3996" spans="1:15" x14ac:dyDescent="0.3">
      <c r="A3996" t="s">
        <v>5818</v>
      </c>
      <c r="B3996" t="s">
        <v>2810</v>
      </c>
      <c r="C3996" t="s">
        <v>803</v>
      </c>
      <c r="D3996" t="s">
        <v>1059</v>
      </c>
      <c r="E3996">
        <v>1</v>
      </c>
      <c r="F3996">
        <f>_xlfn.XLOOKUP(Table1[[#This Row],[ProductID]],Products!A:A,Products!D:D,,0)</f>
        <v>110</v>
      </c>
      <c r="I3996">
        <v>399</v>
      </c>
      <c r="J3996">
        <v>339</v>
      </c>
      <c r="K3996" t="s">
        <v>1092</v>
      </c>
      <c r="L3996">
        <v>339</v>
      </c>
      <c r="M3996" t="s">
        <v>1093</v>
      </c>
      <c r="N3996" t="s">
        <v>1099</v>
      </c>
      <c r="O3996">
        <f>Table1[[#This Row],[Unit_Price]]*Table1[[#This Row],[Quantity]]</f>
        <v>110</v>
      </c>
    </row>
    <row r="3997" spans="1:15" x14ac:dyDescent="0.3">
      <c r="A3997" t="s">
        <v>5819</v>
      </c>
      <c r="B3997" t="s">
        <v>1801</v>
      </c>
      <c r="C3997" t="s">
        <v>435</v>
      </c>
      <c r="D3997" t="s">
        <v>1048</v>
      </c>
      <c r="E3997">
        <v>1</v>
      </c>
      <c r="F3997">
        <f>_xlfn.XLOOKUP(Table1[[#This Row],[ProductID]],Products!A:A,Products!D:D,,0)</f>
        <v>120</v>
      </c>
      <c r="I3997">
        <v>599</v>
      </c>
      <c r="J3997">
        <v>539</v>
      </c>
      <c r="K3997" t="s">
        <v>1107</v>
      </c>
      <c r="L3997">
        <v>539</v>
      </c>
      <c r="M3997" t="s">
        <v>1093</v>
      </c>
      <c r="N3997" t="s">
        <v>1099</v>
      </c>
      <c r="O3997">
        <f>Table1[[#This Row],[Unit_Price]]*Table1[[#This Row],[Quantity]]</f>
        <v>120</v>
      </c>
    </row>
    <row r="3998" spans="1:15" x14ac:dyDescent="0.3">
      <c r="A3998" t="s">
        <v>5820</v>
      </c>
      <c r="B3998" t="s">
        <v>2792</v>
      </c>
      <c r="C3998" t="s">
        <v>875</v>
      </c>
      <c r="D3998" t="s">
        <v>1066</v>
      </c>
      <c r="E3998">
        <v>1</v>
      </c>
      <c r="F3998">
        <f>_xlfn.XLOOKUP(Table1[[#This Row],[ProductID]],Products!A:A,Products!D:D,,0)</f>
        <v>140</v>
      </c>
      <c r="I3998">
        <v>499</v>
      </c>
      <c r="J3998">
        <v>424</v>
      </c>
      <c r="K3998" t="s">
        <v>1092</v>
      </c>
      <c r="L3998">
        <v>424</v>
      </c>
      <c r="M3998" t="s">
        <v>1093</v>
      </c>
      <c r="N3998" t="s">
        <v>1099</v>
      </c>
      <c r="O3998">
        <f>Table1[[#This Row],[Unit_Price]]*Table1[[#This Row],[Quantity]]</f>
        <v>140</v>
      </c>
    </row>
    <row r="3999" spans="1:15" x14ac:dyDescent="0.3">
      <c r="A3999" t="s">
        <v>5821</v>
      </c>
      <c r="B3999" t="s">
        <v>1432</v>
      </c>
      <c r="C3999" t="s">
        <v>541</v>
      </c>
      <c r="D3999" t="s">
        <v>1068</v>
      </c>
      <c r="E3999">
        <v>1</v>
      </c>
      <c r="F3999">
        <f>_xlfn.XLOOKUP(Table1[[#This Row],[ProductID]],Products!A:A,Products!D:D,,0)</f>
        <v>180</v>
      </c>
      <c r="I3999">
        <v>449</v>
      </c>
      <c r="J3999">
        <v>449</v>
      </c>
      <c r="K3999" t="s">
        <v>1102</v>
      </c>
      <c r="L3999">
        <v>449</v>
      </c>
      <c r="M3999" t="s">
        <v>1098</v>
      </c>
      <c r="N3999" t="s">
        <v>1099</v>
      </c>
      <c r="O3999">
        <f>Table1[[#This Row],[Unit_Price]]*Table1[[#This Row],[Quantity]]</f>
        <v>180</v>
      </c>
    </row>
    <row r="4000" spans="1:15" x14ac:dyDescent="0.3">
      <c r="A4000" t="s">
        <v>5822</v>
      </c>
      <c r="B4000" t="s">
        <v>2539</v>
      </c>
      <c r="C4000" t="s">
        <v>759</v>
      </c>
      <c r="D4000" t="s">
        <v>1062</v>
      </c>
      <c r="E4000">
        <v>1</v>
      </c>
      <c r="F4000">
        <f>_xlfn.XLOOKUP(Table1[[#This Row],[ProductID]],Products!A:A,Products!D:D,,0)</f>
        <v>95</v>
      </c>
      <c r="I4000">
        <v>349</v>
      </c>
      <c r="J4000">
        <v>349</v>
      </c>
      <c r="K4000" t="s">
        <v>1102</v>
      </c>
      <c r="L4000">
        <v>349</v>
      </c>
      <c r="M4000" t="s">
        <v>1093</v>
      </c>
      <c r="N4000" t="s">
        <v>1094</v>
      </c>
      <c r="O4000">
        <f>Table1[[#This Row],[Unit_Price]]*Table1[[#This Row],[Quantity]]</f>
        <v>95</v>
      </c>
    </row>
    <row r="4001" spans="1:15" x14ac:dyDescent="0.3">
      <c r="A4001" t="s">
        <v>5823</v>
      </c>
      <c r="B4001" t="s">
        <v>1182</v>
      </c>
      <c r="C4001" t="s">
        <v>69</v>
      </c>
      <c r="D4001" t="s">
        <v>1071</v>
      </c>
      <c r="E4001">
        <v>2</v>
      </c>
      <c r="F4001">
        <f>_xlfn.XLOOKUP(Table1[[#This Row],[ProductID]],Products!A:A,Products!D:D,,0)</f>
        <v>125</v>
      </c>
      <c r="I4001">
        <v>399</v>
      </c>
      <c r="J4001">
        <v>319</v>
      </c>
      <c r="K4001" t="s">
        <v>1097</v>
      </c>
      <c r="L4001">
        <v>638</v>
      </c>
      <c r="M4001" t="s">
        <v>1093</v>
      </c>
      <c r="N4001" t="s">
        <v>1099</v>
      </c>
      <c r="O4001">
        <f>Table1[[#This Row],[Unit_Price]]*Table1[[#This Row],[Quantity]]</f>
        <v>250</v>
      </c>
    </row>
    <row r="4002" spans="1:15" x14ac:dyDescent="0.3">
      <c r="A4002" t="s">
        <v>5824</v>
      </c>
      <c r="B4002" t="s">
        <v>3314</v>
      </c>
      <c r="C4002" t="s">
        <v>112</v>
      </c>
      <c r="D4002" t="s">
        <v>1051</v>
      </c>
      <c r="E4002">
        <v>2</v>
      </c>
      <c r="F4002">
        <f>_xlfn.XLOOKUP(Table1[[#This Row],[ProductID]],Products!A:A,Products!D:D,,0)</f>
        <v>150</v>
      </c>
      <c r="I4002">
        <v>499</v>
      </c>
      <c r="J4002">
        <v>499</v>
      </c>
      <c r="K4002" t="s">
        <v>1102</v>
      </c>
      <c r="L4002">
        <v>998</v>
      </c>
      <c r="M4002" t="s">
        <v>1098</v>
      </c>
      <c r="N4002" t="s">
        <v>1123</v>
      </c>
      <c r="O4002">
        <f>Table1[[#This Row],[Unit_Price]]*Table1[[#This Row],[Quantity]]</f>
        <v>300</v>
      </c>
    </row>
    <row r="4003" spans="1:15" x14ac:dyDescent="0.3">
      <c r="A4003" t="s">
        <v>5825</v>
      </c>
      <c r="B4003" t="s">
        <v>4565</v>
      </c>
      <c r="C4003" t="s">
        <v>359</v>
      </c>
      <c r="D4003" t="s">
        <v>1059</v>
      </c>
      <c r="E4003">
        <v>1</v>
      </c>
      <c r="F4003">
        <f>_xlfn.XLOOKUP(Table1[[#This Row],[ProductID]],Products!A:A,Products!D:D,,0)</f>
        <v>110</v>
      </c>
      <c r="I4003">
        <v>399</v>
      </c>
      <c r="J4003">
        <v>359</v>
      </c>
      <c r="K4003" t="s">
        <v>1107</v>
      </c>
      <c r="L4003">
        <v>359</v>
      </c>
      <c r="M4003" t="s">
        <v>1093</v>
      </c>
      <c r="N4003" t="s">
        <v>1099</v>
      </c>
      <c r="O4003">
        <f>Table1[[#This Row],[Unit_Price]]*Table1[[#This Row],[Quantity]]</f>
        <v>110</v>
      </c>
    </row>
    <row r="4004" spans="1:15" x14ac:dyDescent="0.3">
      <c r="A4004" t="s">
        <v>5826</v>
      </c>
      <c r="B4004" t="s">
        <v>2639</v>
      </c>
      <c r="C4004" t="s">
        <v>609</v>
      </c>
      <c r="D4004" t="s">
        <v>1066</v>
      </c>
      <c r="E4004">
        <v>1</v>
      </c>
      <c r="F4004">
        <f>_xlfn.XLOOKUP(Table1[[#This Row],[ProductID]],Products!A:A,Products!D:D,,0)</f>
        <v>140</v>
      </c>
      <c r="I4004">
        <v>499</v>
      </c>
      <c r="J4004">
        <v>399</v>
      </c>
      <c r="K4004" t="s">
        <v>1097</v>
      </c>
      <c r="L4004">
        <v>399</v>
      </c>
      <c r="M4004" t="s">
        <v>1093</v>
      </c>
      <c r="N4004" t="s">
        <v>1099</v>
      </c>
      <c r="O4004">
        <f>Table1[[#This Row],[Unit_Price]]*Table1[[#This Row],[Quantity]]</f>
        <v>140</v>
      </c>
    </row>
    <row r="4005" spans="1:15" x14ac:dyDescent="0.3">
      <c r="A4005" t="s">
        <v>5827</v>
      </c>
      <c r="B4005" t="s">
        <v>2112</v>
      </c>
      <c r="C4005" t="s">
        <v>633</v>
      </c>
      <c r="D4005" t="s">
        <v>1062</v>
      </c>
      <c r="E4005">
        <v>1</v>
      </c>
      <c r="F4005">
        <f>_xlfn.XLOOKUP(Table1[[#This Row],[ProductID]],Products!A:A,Products!D:D,,0)</f>
        <v>95</v>
      </c>
      <c r="I4005">
        <v>349</v>
      </c>
      <c r="J4005">
        <v>349</v>
      </c>
      <c r="K4005" t="s">
        <v>1102</v>
      </c>
      <c r="L4005">
        <v>349</v>
      </c>
      <c r="M4005" t="s">
        <v>1093</v>
      </c>
      <c r="N4005" t="s">
        <v>1099</v>
      </c>
      <c r="O4005">
        <f>Table1[[#This Row],[Unit_Price]]*Table1[[#This Row],[Quantity]]</f>
        <v>95</v>
      </c>
    </row>
    <row r="4006" spans="1:15" x14ac:dyDescent="0.3">
      <c r="A4006" t="s">
        <v>5828</v>
      </c>
      <c r="B4006" t="s">
        <v>2757</v>
      </c>
      <c r="C4006" t="s">
        <v>695</v>
      </c>
      <c r="D4006" t="s">
        <v>1071</v>
      </c>
      <c r="E4006">
        <v>1</v>
      </c>
      <c r="F4006">
        <f>_xlfn.XLOOKUP(Table1[[#This Row],[ProductID]],Products!A:A,Products!D:D,,0)</f>
        <v>125</v>
      </c>
      <c r="I4006">
        <v>399</v>
      </c>
      <c r="J4006">
        <v>359</v>
      </c>
      <c r="K4006" t="s">
        <v>1107</v>
      </c>
      <c r="L4006">
        <v>359</v>
      </c>
      <c r="M4006" t="s">
        <v>1098</v>
      </c>
      <c r="N4006" t="s">
        <v>1099</v>
      </c>
      <c r="O4006">
        <f>Table1[[#This Row],[Unit_Price]]*Table1[[#This Row],[Quantity]]</f>
        <v>125</v>
      </c>
    </row>
    <row r="4007" spans="1:15" x14ac:dyDescent="0.3">
      <c r="A4007" t="s">
        <v>5829</v>
      </c>
      <c r="B4007" t="s">
        <v>3109</v>
      </c>
      <c r="C4007" t="s">
        <v>727</v>
      </c>
      <c r="D4007" t="s">
        <v>1068</v>
      </c>
      <c r="E4007">
        <v>1</v>
      </c>
      <c r="F4007">
        <f>_xlfn.XLOOKUP(Table1[[#This Row],[ProductID]],Products!A:A,Products!D:D,,0)</f>
        <v>180</v>
      </c>
      <c r="I4007">
        <v>449</v>
      </c>
      <c r="J4007">
        <v>449</v>
      </c>
      <c r="K4007" t="s">
        <v>1102</v>
      </c>
      <c r="L4007">
        <v>449</v>
      </c>
      <c r="M4007" t="s">
        <v>1098</v>
      </c>
      <c r="N4007" t="s">
        <v>1099</v>
      </c>
      <c r="O4007">
        <f>Table1[[#This Row],[Unit_Price]]*Table1[[#This Row],[Quantity]]</f>
        <v>180</v>
      </c>
    </row>
    <row r="4008" spans="1:15" x14ac:dyDescent="0.3">
      <c r="A4008" t="s">
        <v>5830</v>
      </c>
      <c r="B4008" t="s">
        <v>3493</v>
      </c>
      <c r="C4008" t="s">
        <v>661</v>
      </c>
      <c r="D4008" t="s">
        <v>1078</v>
      </c>
      <c r="E4008">
        <v>2</v>
      </c>
      <c r="F4008">
        <f>_xlfn.XLOOKUP(Table1[[#This Row],[ProductID]],Products!A:A,Products!D:D,,0)</f>
        <v>80</v>
      </c>
      <c r="I4008">
        <v>499</v>
      </c>
      <c r="J4008">
        <v>449</v>
      </c>
      <c r="K4008" t="s">
        <v>1107</v>
      </c>
      <c r="L4008">
        <v>898</v>
      </c>
      <c r="M4008" t="s">
        <v>1098</v>
      </c>
      <c r="N4008" t="s">
        <v>1099</v>
      </c>
      <c r="O4008">
        <f>Table1[[#This Row],[Unit_Price]]*Table1[[#This Row],[Quantity]]</f>
        <v>160</v>
      </c>
    </row>
    <row r="4009" spans="1:15" x14ac:dyDescent="0.3">
      <c r="A4009" t="s">
        <v>5831</v>
      </c>
      <c r="B4009" t="s">
        <v>2772</v>
      </c>
      <c r="C4009" t="s">
        <v>110</v>
      </c>
      <c r="D4009" t="s">
        <v>1062</v>
      </c>
      <c r="E4009">
        <v>1</v>
      </c>
      <c r="F4009">
        <f>_xlfn.XLOOKUP(Table1[[#This Row],[ProductID]],Products!A:A,Products!D:D,,0)</f>
        <v>95</v>
      </c>
      <c r="I4009">
        <v>349</v>
      </c>
      <c r="J4009">
        <v>349</v>
      </c>
      <c r="K4009" t="s">
        <v>1102</v>
      </c>
      <c r="L4009">
        <v>349</v>
      </c>
      <c r="M4009" t="s">
        <v>1098</v>
      </c>
      <c r="N4009" t="s">
        <v>1099</v>
      </c>
      <c r="O4009">
        <f>Table1[[#This Row],[Unit_Price]]*Table1[[#This Row],[Quantity]]</f>
        <v>95</v>
      </c>
    </row>
    <row r="4010" spans="1:15" x14ac:dyDescent="0.3">
      <c r="A4010" t="s">
        <v>5832</v>
      </c>
      <c r="B4010" t="s">
        <v>1839</v>
      </c>
      <c r="C4010" t="s">
        <v>377</v>
      </c>
      <c r="D4010" t="s">
        <v>1064</v>
      </c>
      <c r="E4010">
        <v>1</v>
      </c>
      <c r="F4010">
        <f>_xlfn.XLOOKUP(Table1[[#This Row],[ProductID]],Products!A:A,Products!D:D,,0)</f>
        <v>160</v>
      </c>
      <c r="I4010">
        <v>699</v>
      </c>
      <c r="J4010">
        <v>629</v>
      </c>
      <c r="K4010" t="s">
        <v>1107</v>
      </c>
      <c r="L4010">
        <v>629</v>
      </c>
      <c r="M4010" t="s">
        <v>1098</v>
      </c>
      <c r="N4010" t="s">
        <v>1099</v>
      </c>
      <c r="O4010">
        <f>Table1[[#This Row],[Unit_Price]]*Table1[[#This Row],[Quantity]]</f>
        <v>160</v>
      </c>
    </row>
    <row r="4011" spans="1:15" x14ac:dyDescent="0.3">
      <c r="A4011" t="s">
        <v>5833</v>
      </c>
      <c r="B4011" t="s">
        <v>2778</v>
      </c>
      <c r="C4011" t="s">
        <v>535</v>
      </c>
      <c r="D4011" t="s">
        <v>1057</v>
      </c>
      <c r="E4011">
        <v>2</v>
      </c>
      <c r="F4011">
        <f>_xlfn.XLOOKUP(Table1[[#This Row],[ProductID]],Products!A:A,Products!D:D,,0)</f>
        <v>130</v>
      </c>
      <c r="I4011">
        <v>549</v>
      </c>
      <c r="J4011">
        <v>549</v>
      </c>
      <c r="K4011" t="s">
        <v>1102</v>
      </c>
      <c r="L4011">
        <v>1098</v>
      </c>
      <c r="M4011" t="s">
        <v>1098</v>
      </c>
      <c r="N4011" t="s">
        <v>1099</v>
      </c>
      <c r="O4011">
        <f>Table1[[#This Row],[Unit_Price]]*Table1[[#This Row],[Quantity]]</f>
        <v>260</v>
      </c>
    </row>
    <row r="4012" spans="1:15" x14ac:dyDescent="0.3">
      <c r="A4012" t="s">
        <v>5834</v>
      </c>
      <c r="B4012" t="s">
        <v>1366</v>
      </c>
      <c r="C4012" t="s">
        <v>331</v>
      </c>
      <c r="D4012" t="s">
        <v>1048</v>
      </c>
      <c r="E4012">
        <v>1</v>
      </c>
      <c r="F4012">
        <f>_xlfn.XLOOKUP(Table1[[#This Row],[ProductID]],Products!A:A,Products!D:D,,0)</f>
        <v>120</v>
      </c>
      <c r="I4012">
        <v>599</v>
      </c>
      <c r="J4012">
        <v>539</v>
      </c>
      <c r="K4012" t="s">
        <v>1107</v>
      </c>
      <c r="L4012">
        <v>539</v>
      </c>
      <c r="M4012" t="s">
        <v>1093</v>
      </c>
      <c r="N4012" t="s">
        <v>1099</v>
      </c>
      <c r="O4012">
        <f>Table1[[#This Row],[Unit_Price]]*Table1[[#This Row],[Quantity]]</f>
        <v>120</v>
      </c>
    </row>
    <row r="4013" spans="1:15" x14ac:dyDescent="0.3">
      <c r="A4013" t="s">
        <v>5835</v>
      </c>
      <c r="B4013" t="s">
        <v>2589</v>
      </c>
      <c r="C4013" t="s">
        <v>1011</v>
      </c>
      <c r="D4013" t="s">
        <v>1053</v>
      </c>
      <c r="E4013">
        <v>2</v>
      </c>
      <c r="F4013">
        <f>_xlfn.XLOOKUP(Table1[[#This Row],[ProductID]],Products!A:A,Products!D:D,,0)</f>
        <v>200</v>
      </c>
      <c r="I4013">
        <v>899</v>
      </c>
      <c r="J4013">
        <v>899</v>
      </c>
      <c r="K4013" t="s">
        <v>1102</v>
      </c>
      <c r="L4013">
        <v>1798</v>
      </c>
      <c r="M4013" t="s">
        <v>1093</v>
      </c>
      <c r="N4013" t="s">
        <v>1099</v>
      </c>
      <c r="O4013">
        <f>Table1[[#This Row],[Unit_Price]]*Table1[[#This Row],[Quantity]]</f>
        <v>400</v>
      </c>
    </row>
    <row r="4014" spans="1:15" x14ac:dyDescent="0.3">
      <c r="A4014" t="s">
        <v>5836</v>
      </c>
      <c r="B4014" t="s">
        <v>2139</v>
      </c>
      <c r="C4014" t="s">
        <v>165</v>
      </c>
      <c r="D4014" t="s">
        <v>1068</v>
      </c>
      <c r="E4014">
        <v>1</v>
      </c>
      <c r="F4014">
        <f>_xlfn.XLOOKUP(Table1[[#This Row],[ProductID]],Products!A:A,Products!D:D,,0)</f>
        <v>180</v>
      </c>
      <c r="I4014">
        <v>449</v>
      </c>
      <c r="J4014">
        <v>404</v>
      </c>
      <c r="K4014" t="s">
        <v>1107</v>
      </c>
      <c r="L4014">
        <v>404</v>
      </c>
      <c r="M4014" t="s">
        <v>1098</v>
      </c>
      <c r="N4014" t="s">
        <v>1099</v>
      </c>
      <c r="O4014">
        <f>Table1[[#This Row],[Unit_Price]]*Table1[[#This Row],[Quantity]]</f>
        <v>180</v>
      </c>
    </row>
    <row r="4015" spans="1:15" x14ac:dyDescent="0.3">
      <c r="A4015" t="s">
        <v>5837</v>
      </c>
      <c r="B4015" t="s">
        <v>2391</v>
      </c>
      <c r="C4015" t="s">
        <v>42</v>
      </c>
      <c r="D4015" t="s">
        <v>1080</v>
      </c>
      <c r="E4015">
        <v>1</v>
      </c>
      <c r="F4015">
        <f>_xlfn.XLOOKUP(Table1[[#This Row],[ProductID]],Products!A:A,Products!D:D,,0)</f>
        <v>45</v>
      </c>
      <c r="I4015">
        <v>249</v>
      </c>
      <c r="J4015">
        <v>212</v>
      </c>
      <c r="K4015" t="s">
        <v>1092</v>
      </c>
      <c r="L4015">
        <v>212</v>
      </c>
      <c r="M4015" t="s">
        <v>1093</v>
      </c>
      <c r="N4015" t="s">
        <v>1099</v>
      </c>
      <c r="O4015">
        <f>Table1[[#This Row],[Unit_Price]]*Table1[[#This Row],[Quantity]]</f>
        <v>45</v>
      </c>
    </row>
    <row r="4016" spans="1:15" x14ac:dyDescent="0.3">
      <c r="A4016" t="s">
        <v>5838</v>
      </c>
      <c r="B4016" t="s">
        <v>2102</v>
      </c>
      <c r="C4016" t="s">
        <v>154</v>
      </c>
      <c r="D4016" t="s">
        <v>1064</v>
      </c>
      <c r="E4016">
        <v>1</v>
      </c>
      <c r="F4016">
        <f>_xlfn.XLOOKUP(Table1[[#This Row],[ProductID]],Products!A:A,Products!D:D,,0)</f>
        <v>160</v>
      </c>
      <c r="I4016">
        <v>699</v>
      </c>
      <c r="J4016">
        <v>699</v>
      </c>
      <c r="K4016" t="s">
        <v>1102</v>
      </c>
      <c r="L4016">
        <v>699</v>
      </c>
      <c r="M4016" t="s">
        <v>1098</v>
      </c>
      <c r="N4016" t="s">
        <v>1099</v>
      </c>
      <c r="O4016">
        <f>Table1[[#This Row],[Unit_Price]]*Table1[[#This Row],[Quantity]]</f>
        <v>160</v>
      </c>
    </row>
    <row r="4017" spans="1:15" x14ac:dyDescent="0.3">
      <c r="A4017" t="s">
        <v>5839</v>
      </c>
      <c r="B4017" t="s">
        <v>3952</v>
      </c>
      <c r="C4017" t="s">
        <v>249</v>
      </c>
      <c r="D4017" t="s">
        <v>1073</v>
      </c>
      <c r="E4017">
        <v>1</v>
      </c>
      <c r="F4017">
        <f>_xlfn.XLOOKUP(Table1[[#This Row],[ProductID]],Products!A:A,Products!D:D,,0)</f>
        <v>100</v>
      </c>
      <c r="I4017">
        <v>349</v>
      </c>
      <c r="J4017">
        <v>297</v>
      </c>
      <c r="K4017" t="s">
        <v>1092</v>
      </c>
      <c r="L4017">
        <v>297</v>
      </c>
      <c r="M4017" t="s">
        <v>1098</v>
      </c>
      <c r="N4017" t="s">
        <v>1099</v>
      </c>
      <c r="O4017">
        <f>Table1[[#This Row],[Unit_Price]]*Table1[[#This Row],[Quantity]]</f>
        <v>100</v>
      </c>
    </row>
    <row r="4018" spans="1:15" x14ac:dyDescent="0.3">
      <c r="A4018" t="s">
        <v>5840</v>
      </c>
      <c r="B4018" t="s">
        <v>3113</v>
      </c>
      <c r="C4018" t="s">
        <v>879</v>
      </c>
      <c r="D4018" t="s">
        <v>1051</v>
      </c>
      <c r="E4018">
        <v>1</v>
      </c>
      <c r="F4018">
        <f>_xlfn.XLOOKUP(Table1[[#This Row],[ProductID]],Products!A:A,Products!D:D,,0)</f>
        <v>150</v>
      </c>
      <c r="I4018">
        <v>499</v>
      </c>
      <c r="J4018">
        <v>424</v>
      </c>
      <c r="K4018" t="s">
        <v>1092</v>
      </c>
      <c r="L4018">
        <v>424</v>
      </c>
      <c r="M4018" t="s">
        <v>1093</v>
      </c>
      <c r="N4018" t="s">
        <v>1094</v>
      </c>
      <c r="O4018">
        <f>Table1[[#This Row],[Unit_Price]]*Table1[[#This Row],[Quantity]]</f>
        <v>150</v>
      </c>
    </row>
    <row r="4019" spans="1:15" x14ac:dyDescent="0.3">
      <c r="A4019" t="s">
        <v>5841</v>
      </c>
      <c r="B4019" t="s">
        <v>1709</v>
      </c>
      <c r="C4019" t="s">
        <v>219</v>
      </c>
      <c r="D4019" t="s">
        <v>1075</v>
      </c>
      <c r="E4019">
        <v>1</v>
      </c>
      <c r="F4019">
        <f>_xlfn.XLOOKUP(Table1[[#This Row],[ProductID]],Products!A:A,Products!D:D,,0)</f>
        <v>80</v>
      </c>
      <c r="I4019">
        <v>499</v>
      </c>
      <c r="J4019">
        <v>499</v>
      </c>
      <c r="K4019" t="s">
        <v>1102</v>
      </c>
      <c r="L4019">
        <v>499</v>
      </c>
      <c r="M4019" t="s">
        <v>1126</v>
      </c>
      <c r="N4019" t="s">
        <v>1099</v>
      </c>
      <c r="O4019">
        <f>Table1[[#This Row],[Unit_Price]]*Table1[[#This Row],[Quantity]]</f>
        <v>80</v>
      </c>
    </row>
    <row r="4020" spans="1:15" x14ac:dyDescent="0.3">
      <c r="A4020" t="s">
        <v>5842</v>
      </c>
      <c r="B4020" t="s">
        <v>1472</v>
      </c>
      <c r="C4020" t="s">
        <v>893</v>
      </c>
      <c r="D4020" t="s">
        <v>1075</v>
      </c>
      <c r="E4020">
        <v>2</v>
      </c>
      <c r="F4020">
        <f>_xlfn.XLOOKUP(Table1[[#This Row],[ProductID]],Products!A:A,Products!D:D,,0)</f>
        <v>80</v>
      </c>
      <c r="I4020">
        <v>499</v>
      </c>
      <c r="J4020">
        <v>449</v>
      </c>
      <c r="K4020" t="s">
        <v>1107</v>
      </c>
      <c r="L4020">
        <v>898</v>
      </c>
      <c r="M4020" t="s">
        <v>1118</v>
      </c>
      <c r="N4020" t="s">
        <v>1099</v>
      </c>
      <c r="O4020">
        <f>Table1[[#This Row],[Unit_Price]]*Table1[[#This Row],[Quantity]]</f>
        <v>160</v>
      </c>
    </row>
    <row r="4021" spans="1:15" x14ac:dyDescent="0.3">
      <c r="A4021" t="s">
        <v>5843</v>
      </c>
      <c r="B4021" t="s">
        <v>1286</v>
      </c>
      <c r="C4021" t="s">
        <v>783</v>
      </c>
      <c r="D4021" t="s">
        <v>1059</v>
      </c>
      <c r="E4021">
        <v>1</v>
      </c>
      <c r="F4021">
        <f>_xlfn.XLOOKUP(Table1[[#This Row],[ProductID]],Products!A:A,Products!D:D,,0)</f>
        <v>110</v>
      </c>
      <c r="I4021">
        <v>399</v>
      </c>
      <c r="J4021">
        <v>339</v>
      </c>
      <c r="K4021" t="s">
        <v>1092</v>
      </c>
      <c r="L4021">
        <v>339</v>
      </c>
      <c r="M4021" t="s">
        <v>1093</v>
      </c>
      <c r="N4021" t="s">
        <v>1094</v>
      </c>
      <c r="O4021">
        <f>Table1[[#This Row],[Unit_Price]]*Table1[[#This Row],[Quantity]]</f>
        <v>110</v>
      </c>
    </row>
    <row r="4022" spans="1:15" x14ac:dyDescent="0.3">
      <c r="A4022" t="s">
        <v>5844</v>
      </c>
      <c r="B4022" t="s">
        <v>3206</v>
      </c>
      <c r="C4022" t="s">
        <v>879</v>
      </c>
      <c r="D4022" t="s">
        <v>1080</v>
      </c>
      <c r="E4022">
        <v>2</v>
      </c>
      <c r="F4022">
        <f>_xlfn.XLOOKUP(Table1[[#This Row],[ProductID]],Products!A:A,Products!D:D,,0)</f>
        <v>45</v>
      </c>
      <c r="I4022">
        <v>249</v>
      </c>
      <c r="J4022">
        <v>212</v>
      </c>
      <c r="K4022" t="s">
        <v>1092</v>
      </c>
      <c r="L4022">
        <v>424</v>
      </c>
      <c r="M4022" t="s">
        <v>1093</v>
      </c>
      <c r="N4022" t="s">
        <v>1099</v>
      </c>
      <c r="O4022">
        <f>Table1[[#This Row],[Unit_Price]]*Table1[[#This Row],[Quantity]]</f>
        <v>90</v>
      </c>
    </row>
    <row r="4023" spans="1:15" x14ac:dyDescent="0.3">
      <c r="A4023" t="s">
        <v>5845</v>
      </c>
      <c r="B4023" t="s">
        <v>4190</v>
      </c>
      <c r="C4023" t="s">
        <v>187</v>
      </c>
      <c r="D4023" t="s">
        <v>1051</v>
      </c>
      <c r="E4023">
        <v>1</v>
      </c>
      <c r="F4023">
        <f>_xlfn.XLOOKUP(Table1[[#This Row],[ProductID]],Products!A:A,Products!D:D,,0)</f>
        <v>150</v>
      </c>
      <c r="I4023">
        <v>499</v>
      </c>
      <c r="J4023">
        <v>499</v>
      </c>
      <c r="K4023" t="s">
        <v>1102</v>
      </c>
      <c r="L4023">
        <v>499</v>
      </c>
      <c r="M4023" t="s">
        <v>1118</v>
      </c>
      <c r="N4023" t="s">
        <v>1099</v>
      </c>
      <c r="O4023">
        <f>Table1[[#This Row],[Unit_Price]]*Table1[[#This Row],[Quantity]]</f>
        <v>150</v>
      </c>
    </row>
    <row r="4024" spans="1:15" x14ac:dyDescent="0.3">
      <c r="A4024" t="s">
        <v>5846</v>
      </c>
      <c r="B4024" t="s">
        <v>2267</v>
      </c>
      <c r="C4024" t="s">
        <v>1023</v>
      </c>
      <c r="D4024" t="s">
        <v>1078</v>
      </c>
      <c r="E4024">
        <v>2</v>
      </c>
      <c r="F4024">
        <f>_xlfn.XLOOKUP(Table1[[#This Row],[ProductID]],Products!A:A,Products!D:D,,0)</f>
        <v>80</v>
      </c>
      <c r="I4024">
        <v>499</v>
      </c>
      <c r="J4024">
        <v>449</v>
      </c>
      <c r="K4024" t="s">
        <v>1107</v>
      </c>
      <c r="L4024">
        <v>898</v>
      </c>
      <c r="M4024" t="s">
        <v>1126</v>
      </c>
      <c r="N4024" t="s">
        <v>1099</v>
      </c>
      <c r="O4024">
        <f>Table1[[#This Row],[Unit_Price]]*Table1[[#This Row],[Quantity]]</f>
        <v>160</v>
      </c>
    </row>
    <row r="4025" spans="1:15" x14ac:dyDescent="0.3">
      <c r="A4025" t="s">
        <v>5847</v>
      </c>
      <c r="B4025" t="s">
        <v>1555</v>
      </c>
      <c r="C4025" t="s">
        <v>1033</v>
      </c>
      <c r="D4025" t="s">
        <v>1057</v>
      </c>
      <c r="E4025">
        <v>1</v>
      </c>
      <c r="F4025">
        <f>_xlfn.XLOOKUP(Table1[[#This Row],[ProductID]],Products!A:A,Products!D:D,,0)</f>
        <v>130</v>
      </c>
      <c r="I4025">
        <v>549</v>
      </c>
      <c r="J4025">
        <v>549</v>
      </c>
      <c r="K4025" t="s">
        <v>1102</v>
      </c>
      <c r="L4025">
        <v>549</v>
      </c>
      <c r="M4025" t="s">
        <v>1093</v>
      </c>
      <c r="N4025" t="s">
        <v>1094</v>
      </c>
      <c r="O4025">
        <f>Table1[[#This Row],[Unit_Price]]*Table1[[#This Row],[Quantity]]</f>
        <v>130</v>
      </c>
    </row>
    <row r="4026" spans="1:15" x14ac:dyDescent="0.3">
      <c r="A4026" t="s">
        <v>5848</v>
      </c>
      <c r="B4026" t="s">
        <v>2132</v>
      </c>
      <c r="C4026" t="s">
        <v>887</v>
      </c>
      <c r="D4026" t="s">
        <v>1073</v>
      </c>
      <c r="E4026">
        <v>1</v>
      </c>
      <c r="F4026">
        <f>_xlfn.XLOOKUP(Table1[[#This Row],[ProductID]],Products!A:A,Products!D:D,,0)</f>
        <v>100</v>
      </c>
      <c r="I4026">
        <v>349</v>
      </c>
      <c r="J4026">
        <v>297</v>
      </c>
      <c r="K4026" t="s">
        <v>1092</v>
      </c>
      <c r="L4026">
        <v>297</v>
      </c>
      <c r="M4026" t="s">
        <v>1093</v>
      </c>
      <c r="N4026" t="s">
        <v>1099</v>
      </c>
      <c r="O4026">
        <f>Table1[[#This Row],[Unit_Price]]*Table1[[#This Row],[Quantity]]</f>
        <v>100</v>
      </c>
    </row>
    <row r="4027" spans="1:15" x14ac:dyDescent="0.3">
      <c r="A4027" t="s">
        <v>5849</v>
      </c>
      <c r="B4027" t="s">
        <v>1568</v>
      </c>
      <c r="C4027" t="s">
        <v>317</v>
      </c>
      <c r="D4027" t="s">
        <v>1057</v>
      </c>
      <c r="E4027">
        <v>1</v>
      </c>
      <c r="F4027">
        <f>_xlfn.XLOOKUP(Table1[[#This Row],[ProductID]],Products!A:A,Products!D:D,,0)</f>
        <v>130</v>
      </c>
      <c r="I4027">
        <v>549</v>
      </c>
      <c r="J4027">
        <v>549</v>
      </c>
      <c r="K4027" t="s">
        <v>1102</v>
      </c>
      <c r="L4027">
        <v>549</v>
      </c>
      <c r="M4027" t="s">
        <v>1098</v>
      </c>
      <c r="N4027" t="s">
        <v>1094</v>
      </c>
      <c r="O4027">
        <f>Table1[[#This Row],[Unit_Price]]*Table1[[#This Row],[Quantity]]</f>
        <v>130</v>
      </c>
    </row>
    <row r="4028" spans="1:15" x14ac:dyDescent="0.3">
      <c r="A4028" t="s">
        <v>5850</v>
      </c>
      <c r="B4028" t="s">
        <v>3677</v>
      </c>
      <c r="C4028" t="s">
        <v>443</v>
      </c>
      <c r="D4028" t="s">
        <v>1064</v>
      </c>
      <c r="E4028">
        <v>2</v>
      </c>
      <c r="F4028">
        <f>_xlfn.XLOOKUP(Table1[[#This Row],[ProductID]],Products!A:A,Products!D:D,,0)</f>
        <v>160</v>
      </c>
      <c r="I4028">
        <v>699</v>
      </c>
      <c r="J4028">
        <v>629</v>
      </c>
      <c r="K4028" t="s">
        <v>1107</v>
      </c>
      <c r="L4028">
        <v>1258</v>
      </c>
      <c r="M4028" t="s">
        <v>1098</v>
      </c>
      <c r="N4028" t="s">
        <v>1099</v>
      </c>
      <c r="O4028">
        <f>Table1[[#This Row],[Unit_Price]]*Table1[[#This Row],[Quantity]]</f>
        <v>320</v>
      </c>
    </row>
    <row r="4029" spans="1:15" x14ac:dyDescent="0.3">
      <c r="A4029" t="s">
        <v>5851</v>
      </c>
      <c r="B4029" t="s">
        <v>1304</v>
      </c>
      <c r="C4029" t="s">
        <v>553</v>
      </c>
      <c r="D4029" t="s">
        <v>1068</v>
      </c>
      <c r="E4029">
        <v>1</v>
      </c>
      <c r="F4029">
        <f>_xlfn.XLOOKUP(Table1[[#This Row],[ProductID]],Products!A:A,Products!D:D,,0)</f>
        <v>180</v>
      </c>
      <c r="I4029">
        <v>449</v>
      </c>
      <c r="J4029">
        <v>449</v>
      </c>
      <c r="K4029" t="s">
        <v>1102</v>
      </c>
      <c r="L4029">
        <v>449</v>
      </c>
      <c r="M4029" t="s">
        <v>1093</v>
      </c>
      <c r="N4029" t="s">
        <v>1123</v>
      </c>
      <c r="O4029">
        <f>Table1[[#This Row],[Unit_Price]]*Table1[[#This Row],[Quantity]]</f>
        <v>180</v>
      </c>
    </row>
    <row r="4030" spans="1:15" x14ac:dyDescent="0.3">
      <c r="A4030" t="s">
        <v>5852</v>
      </c>
      <c r="B4030" t="s">
        <v>1406</v>
      </c>
      <c r="C4030" t="s">
        <v>431</v>
      </c>
      <c r="D4030" t="s">
        <v>1080</v>
      </c>
      <c r="E4030">
        <v>2</v>
      </c>
      <c r="F4030">
        <f>_xlfn.XLOOKUP(Table1[[#This Row],[ProductID]],Products!A:A,Products!D:D,,0)</f>
        <v>45</v>
      </c>
      <c r="I4030">
        <v>249</v>
      </c>
      <c r="J4030">
        <v>212</v>
      </c>
      <c r="K4030" t="s">
        <v>1092</v>
      </c>
      <c r="L4030">
        <v>424</v>
      </c>
      <c r="M4030" t="s">
        <v>1098</v>
      </c>
      <c r="N4030" t="s">
        <v>1099</v>
      </c>
      <c r="O4030">
        <f>Table1[[#This Row],[Unit_Price]]*Table1[[#This Row],[Quantity]]</f>
        <v>90</v>
      </c>
    </row>
    <row r="4031" spans="1:15" x14ac:dyDescent="0.3">
      <c r="A4031" t="s">
        <v>5853</v>
      </c>
      <c r="B4031" t="s">
        <v>1963</v>
      </c>
      <c r="C4031" t="s">
        <v>253</v>
      </c>
      <c r="D4031" t="s">
        <v>1062</v>
      </c>
      <c r="E4031">
        <v>2</v>
      </c>
      <c r="F4031">
        <f>_xlfn.XLOOKUP(Table1[[#This Row],[ProductID]],Products!A:A,Products!D:D,,0)</f>
        <v>95</v>
      </c>
      <c r="I4031">
        <v>349</v>
      </c>
      <c r="J4031">
        <v>349</v>
      </c>
      <c r="K4031" t="s">
        <v>1102</v>
      </c>
      <c r="L4031">
        <v>698</v>
      </c>
      <c r="M4031" t="s">
        <v>1126</v>
      </c>
      <c r="N4031" t="s">
        <v>1099</v>
      </c>
      <c r="O4031">
        <f>Table1[[#This Row],[Unit_Price]]*Table1[[#This Row],[Quantity]]</f>
        <v>190</v>
      </c>
    </row>
    <row r="4032" spans="1:15" x14ac:dyDescent="0.3">
      <c r="A4032" t="s">
        <v>5854</v>
      </c>
      <c r="B4032" t="s">
        <v>1410</v>
      </c>
      <c r="C4032" t="s">
        <v>235</v>
      </c>
      <c r="D4032" t="s">
        <v>1053</v>
      </c>
      <c r="E4032">
        <v>4</v>
      </c>
      <c r="F4032">
        <f>_xlfn.XLOOKUP(Table1[[#This Row],[ProductID]],Products!A:A,Products!D:D,,0)</f>
        <v>200</v>
      </c>
      <c r="I4032">
        <v>899</v>
      </c>
      <c r="J4032">
        <v>899</v>
      </c>
      <c r="K4032" t="s">
        <v>1102</v>
      </c>
      <c r="L4032">
        <v>3596</v>
      </c>
      <c r="M4032" t="s">
        <v>1098</v>
      </c>
      <c r="N4032" t="s">
        <v>1099</v>
      </c>
      <c r="O4032">
        <f>Table1[[#This Row],[Unit_Price]]*Table1[[#This Row],[Quantity]]</f>
        <v>800</v>
      </c>
    </row>
    <row r="4033" spans="1:15" x14ac:dyDescent="0.3">
      <c r="A4033" t="s">
        <v>5855</v>
      </c>
      <c r="B4033" t="s">
        <v>1958</v>
      </c>
      <c r="C4033" t="s">
        <v>140</v>
      </c>
      <c r="D4033" t="s">
        <v>1071</v>
      </c>
      <c r="E4033">
        <v>1</v>
      </c>
      <c r="F4033">
        <f>_xlfn.XLOOKUP(Table1[[#This Row],[ProductID]],Products!A:A,Products!D:D,,0)</f>
        <v>125</v>
      </c>
      <c r="I4033">
        <v>399</v>
      </c>
      <c r="J4033">
        <v>319</v>
      </c>
      <c r="K4033" t="s">
        <v>1097</v>
      </c>
      <c r="L4033">
        <v>319</v>
      </c>
      <c r="M4033" t="s">
        <v>1093</v>
      </c>
      <c r="N4033" t="s">
        <v>1099</v>
      </c>
      <c r="O4033">
        <f>Table1[[#This Row],[Unit_Price]]*Table1[[#This Row],[Quantity]]</f>
        <v>125</v>
      </c>
    </row>
    <row r="4034" spans="1:15" x14ac:dyDescent="0.3">
      <c r="A4034" t="s">
        <v>5856</v>
      </c>
      <c r="B4034" t="s">
        <v>2516</v>
      </c>
      <c r="C4034" t="s">
        <v>525</v>
      </c>
      <c r="D4034" t="s">
        <v>1062</v>
      </c>
      <c r="E4034">
        <v>4</v>
      </c>
      <c r="F4034">
        <f>_xlfn.XLOOKUP(Table1[[#This Row],[ProductID]],Products!A:A,Products!D:D,,0)</f>
        <v>95</v>
      </c>
      <c r="I4034">
        <v>349</v>
      </c>
      <c r="J4034">
        <v>314</v>
      </c>
      <c r="K4034" t="s">
        <v>1107</v>
      </c>
      <c r="L4034">
        <v>1256</v>
      </c>
      <c r="M4034" t="s">
        <v>1093</v>
      </c>
      <c r="N4034" t="s">
        <v>1099</v>
      </c>
      <c r="O4034">
        <f>Table1[[#This Row],[Unit_Price]]*Table1[[#This Row],[Quantity]]</f>
        <v>380</v>
      </c>
    </row>
    <row r="4035" spans="1:15" x14ac:dyDescent="0.3">
      <c r="A4035" t="s">
        <v>5857</v>
      </c>
      <c r="B4035" t="s">
        <v>1349</v>
      </c>
      <c r="C4035" t="s">
        <v>497</v>
      </c>
      <c r="D4035" t="s">
        <v>1064</v>
      </c>
      <c r="E4035">
        <v>2</v>
      </c>
      <c r="F4035">
        <f>_xlfn.XLOOKUP(Table1[[#This Row],[ProductID]],Products!A:A,Products!D:D,,0)</f>
        <v>160</v>
      </c>
      <c r="I4035">
        <v>699</v>
      </c>
      <c r="J4035">
        <v>559</v>
      </c>
      <c r="K4035" t="s">
        <v>1097</v>
      </c>
      <c r="L4035">
        <v>1118</v>
      </c>
      <c r="M4035" t="s">
        <v>1093</v>
      </c>
      <c r="N4035" t="s">
        <v>1099</v>
      </c>
      <c r="O4035">
        <f>Table1[[#This Row],[Unit_Price]]*Table1[[#This Row],[Quantity]]</f>
        <v>320</v>
      </c>
    </row>
    <row r="4036" spans="1:15" x14ac:dyDescent="0.3">
      <c r="A4036" t="s">
        <v>5858</v>
      </c>
      <c r="B4036" t="s">
        <v>2385</v>
      </c>
      <c r="C4036" t="s">
        <v>921</v>
      </c>
      <c r="D4036" t="s">
        <v>1048</v>
      </c>
      <c r="E4036">
        <v>1</v>
      </c>
      <c r="F4036">
        <f>_xlfn.XLOOKUP(Table1[[#This Row],[ProductID]],Products!A:A,Products!D:D,,0)</f>
        <v>120</v>
      </c>
      <c r="I4036">
        <v>599</v>
      </c>
      <c r="J4036">
        <v>599</v>
      </c>
      <c r="K4036" t="s">
        <v>1102</v>
      </c>
      <c r="L4036">
        <v>599</v>
      </c>
      <c r="M4036" t="s">
        <v>1098</v>
      </c>
      <c r="N4036" t="s">
        <v>1099</v>
      </c>
      <c r="O4036">
        <f>Table1[[#This Row],[Unit_Price]]*Table1[[#This Row],[Quantity]]</f>
        <v>120</v>
      </c>
    </row>
    <row r="4037" spans="1:15" x14ac:dyDescent="0.3">
      <c r="A4037" t="s">
        <v>5859</v>
      </c>
      <c r="B4037" t="s">
        <v>1256</v>
      </c>
      <c r="C4037" t="s">
        <v>821</v>
      </c>
      <c r="D4037" t="s">
        <v>1057</v>
      </c>
      <c r="E4037">
        <v>4</v>
      </c>
      <c r="F4037">
        <f>_xlfn.XLOOKUP(Table1[[#This Row],[ProductID]],Products!A:A,Products!D:D,,0)</f>
        <v>130</v>
      </c>
      <c r="I4037">
        <v>549</v>
      </c>
      <c r="J4037">
        <v>549</v>
      </c>
      <c r="K4037" t="s">
        <v>1102</v>
      </c>
      <c r="L4037">
        <v>2196</v>
      </c>
      <c r="M4037" t="s">
        <v>1093</v>
      </c>
      <c r="N4037" t="s">
        <v>1094</v>
      </c>
      <c r="O4037">
        <f>Table1[[#This Row],[Unit_Price]]*Table1[[#This Row],[Quantity]]</f>
        <v>520</v>
      </c>
    </row>
    <row r="4038" spans="1:15" x14ac:dyDescent="0.3">
      <c r="A4038" t="s">
        <v>5860</v>
      </c>
      <c r="B4038" t="s">
        <v>2576</v>
      </c>
      <c r="C4038" t="s">
        <v>537</v>
      </c>
      <c r="D4038" t="s">
        <v>1080</v>
      </c>
      <c r="E4038">
        <v>3</v>
      </c>
      <c r="F4038">
        <f>_xlfn.XLOOKUP(Table1[[#This Row],[ProductID]],Products!A:A,Products!D:D,,0)</f>
        <v>45</v>
      </c>
      <c r="I4038">
        <v>249</v>
      </c>
      <c r="J4038">
        <v>249</v>
      </c>
      <c r="K4038" t="s">
        <v>1102</v>
      </c>
      <c r="L4038">
        <v>747</v>
      </c>
      <c r="M4038" t="s">
        <v>1098</v>
      </c>
      <c r="N4038" t="s">
        <v>1099</v>
      </c>
      <c r="O4038">
        <f>Table1[[#This Row],[Unit_Price]]*Table1[[#This Row],[Quantity]]</f>
        <v>135</v>
      </c>
    </row>
    <row r="4039" spans="1:15" x14ac:dyDescent="0.3">
      <c r="A4039" t="s">
        <v>5861</v>
      </c>
      <c r="B4039" t="s">
        <v>2674</v>
      </c>
      <c r="C4039" t="s">
        <v>132</v>
      </c>
      <c r="D4039" t="s">
        <v>1057</v>
      </c>
      <c r="E4039">
        <v>1</v>
      </c>
      <c r="F4039">
        <f>_xlfn.XLOOKUP(Table1[[#This Row],[ProductID]],Products!A:A,Products!D:D,,0)</f>
        <v>130</v>
      </c>
      <c r="I4039">
        <v>549</v>
      </c>
      <c r="J4039">
        <v>549</v>
      </c>
      <c r="K4039" t="s">
        <v>1102</v>
      </c>
      <c r="L4039">
        <v>549</v>
      </c>
      <c r="M4039" t="s">
        <v>1098</v>
      </c>
      <c r="N4039" t="s">
        <v>1099</v>
      </c>
      <c r="O4039">
        <f>Table1[[#This Row],[Unit_Price]]*Table1[[#This Row],[Quantity]]</f>
        <v>130</v>
      </c>
    </row>
    <row r="4040" spans="1:15" x14ac:dyDescent="0.3">
      <c r="A4040" t="s">
        <v>5862</v>
      </c>
      <c r="B4040" t="s">
        <v>2539</v>
      </c>
      <c r="C4040" t="s">
        <v>811</v>
      </c>
      <c r="D4040" t="s">
        <v>1051</v>
      </c>
      <c r="E4040">
        <v>1</v>
      </c>
      <c r="F4040">
        <f>_xlfn.XLOOKUP(Table1[[#This Row],[ProductID]],Products!A:A,Products!D:D,,0)</f>
        <v>150</v>
      </c>
      <c r="I4040">
        <v>499</v>
      </c>
      <c r="J4040">
        <v>449</v>
      </c>
      <c r="K4040" t="s">
        <v>1107</v>
      </c>
      <c r="L4040">
        <v>449</v>
      </c>
      <c r="M4040" t="s">
        <v>1098</v>
      </c>
      <c r="N4040" t="s">
        <v>1099</v>
      </c>
      <c r="O4040">
        <f>Table1[[#This Row],[Unit_Price]]*Table1[[#This Row],[Quantity]]</f>
        <v>150</v>
      </c>
    </row>
    <row r="4041" spans="1:15" x14ac:dyDescent="0.3">
      <c r="A4041" t="s">
        <v>5863</v>
      </c>
      <c r="B4041" t="s">
        <v>1308</v>
      </c>
      <c r="C4041" t="s">
        <v>495</v>
      </c>
      <c r="D4041" t="s">
        <v>1068</v>
      </c>
      <c r="E4041">
        <v>2</v>
      </c>
      <c r="F4041">
        <f>_xlfn.XLOOKUP(Table1[[#This Row],[ProductID]],Products!A:A,Products!D:D,,0)</f>
        <v>180</v>
      </c>
      <c r="I4041">
        <v>449</v>
      </c>
      <c r="J4041">
        <v>404</v>
      </c>
      <c r="K4041" t="s">
        <v>1107</v>
      </c>
      <c r="L4041">
        <v>808</v>
      </c>
      <c r="M4041" t="s">
        <v>1093</v>
      </c>
      <c r="N4041" t="s">
        <v>1094</v>
      </c>
      <c r="O4041">
        <f>Table1[[#This Row],[Unit_Price]]*Table1[[#This Row],[Quantity]]</f>
        <v>360</v>
      </c>
    </row>
    <row r="4042" spans="1:15" x14ac:dyDescent="0.3">
      <c r="A4042" t="s">
        <v>5864</v>
      </c>
      <c r="B4042" t="s">
        <v>1406</v>
      </c>
      <c r="C4042" t="s">
        <v>815</v>
      </c>
      <c r="D4042" t="s">
        <v>1075</v>
      </c>
      <c r="E4042">
        <v>3</v>
      </c>
      <c r="F4042">
        <f>_xlfn.XLOOKUP(Table1[[#This Row],[ProductID]],Products!A:A,Products!D:D,,0)</f>
        <v>80</v>
      </c>
      <c r="I4042">
        <v>499</v>
      </c>
      <c r="J4042">
        <v>424</v>
      </c>
      <c r="K4042" t="s">
        <v>1092</v>
      </c>
      <c r="L4042">
        <v>1272</v>
      </c>
      <c r="M4042" t="s">
        <v>1093</v>
      </c>
      <c r="N4042" t="s">
        <v>1094</v>
      </c>
      <c r="O4042">
        <f>Table1[[#This Row],[Unit_Price]]*Table1[[#This Row],[Quantity]]</f>
        <v>240</v>
      </c>
    </row>
    <row r="4043" spans="1:15" x14ac:dyDescent="0.3">
      <c r="A4043" t="s">
        <v>5865</v>
      </c>
      <c r="B4043" t="s">
        <v>3865</v>
      </c>
      <c r="C4043" t="s">
        <v>679</v>
      </c>
      <c r="D4043" t="s">
        <v>1064</v>
      </c>
      <c r="E4043">
        <v>1</v>
      </c>
      <c r="F4043">
        <f>_xlfn.XLOOKUP(Table1[[#This Row],[ProductID]],Products!A:A,Products!D:D,,0)</f>
        <v>160</v>
      </c>
      <c r="I4043">
        <v>699</v>
      </c>
      <c r="J4043">
        <v>629</v>
      </c>
      <c r="K4043" t="s">
        <v>1107</v>
      </c>
      <c r="L4043">
        <v>629</v>
      </c>
      <c r="M4043" t="s">
        <v>1093</v>
      </c>
      <c r="N4043" t="s">
        <v>1099</v>
      </c>
      <c r="O4043">
        <f>Table1[[#This Row],[Unit_Price]]*Table1[[#This Row],[Quantity]]</f>
        <v>160</v>
      </c>
    </row>
    <row r="4044" spans="1:15" x14ac:dyDescent="0.3">
      <c r="A4044" t="s">
        <v>5866</v>
      </c>
      <c r="B4044" t="s">
        <v>1642</v>
      </c>
      <c r="C4044" t="s">
        <v>523</v>
      </c>
      <c r="D4044" t="s">
        <v>1057</v>
      </c>
      <c r="E4044">
        <v>1</v>
      </c>
      <c r="F4044">
        <f>_xlfn.XLOOKUP(Table1[[#This Row],[ProductID]],Products!A:A,Products!D:D,,0)</f>
        <v>130</v>
      </c>
      <c r="I4044">
        <v>549</v>
      </c>
      <c r="J4044">
        <v>439</v>
      </c>
      <c r="K4044" t="s">
        <v>1097</v>
      </c>
      <c r="L4044">
        <v>439</v>
      </c>
      <c r="M4044" t="s">
        <v>1098</v>
      </c>
      <c r="N4044" t="s">
        <v>1099</v>
      </c>
      <c r="O4044">
        <f>Table1[[#This Row],[Unit_Price]]*Table1[[#This Row],[Quantity]]</f>
        <v>130</v>
      </c>
    </row>
    <row r="4045" spans="1:15" x14ac:dyDescent="0.3">
      <c r="A4045" t="s">
        <v>5867</v>
      </c>
      <c r="B4045" t="s">
        <v>3448</v>
      </c>
      <c r="C4045" t="s">
        <v>437</v>
      </c>
      <c r="D4045" t="s">
        <v>1080</v>
      </c>
      <c r="E4045">
        <v>1</v>
      </c>
      <c r="F4045">
        <f>_xlfn.XLOOKUP(Table1[[#This Row],[ProductID]],Products!A:A,Products!D:D,,0)</f>
        <v>45</v>
      </c>
      <c r="I4045">
        <v>249</v>
      </c>
      <c r="J4045">
        <v>212</v>
      </c>
      <c r="K4045" t="s">
        <v>1092</v>
      </c>
      <c r="L4045">
        <v>212</v>
      </c>
      <c r="M4045" t="s">
        <v>1093</v>
      </c>
      <c r="N4045" t="s">
        <v>1099</v>
      </c>
      <c r="O4045">
        <f>Table1[[#This Row],[Unit_Price]]*Table1[[#This Row],[Quantity]]</f>
        <v>45</v>
      </c>
    </row>
    <row r="4046" spans="1:15" x14ac:dyDescent="0.3">
      <c r="A4046" t="s">
        <v>5868</v>
      </c>
      <c r="B4046" t="s">
        <v>1430</v>
      </c>
      <c r="C4046" t="s">
        <v>1033</v>
      </c>
      <c r="D4046" t="s">
        <v>1080</v>
      </c>
      <c r="E4046">
        <v>1</v>
      </c>
      <c r="F4046">
        <f>_xlfn.XLOOKUP(Table1[[#This Row],[ProductID]],Products!A:A,Products!D:D,,0)</f>
        <v>45</v>
      </c>
      <c r="I4046">
        <v>249</v>
      </c>
      <c r="J4046">
        <v>249</v>
      </c>
      <c r="K4046" t="s">
        <v>1102</v>
      </c>
      <c r="L4046">
        <v>249</v>
      </c>
      <c r="M4046" t="s">
        <v>1093</v>
      </c>
      <c r="N4046" t="s">
        <v>1094</v>
      </c>
      <c r="O4046">
        <f>Table1[[#This Row],[Unit_Price]]*Table1[[#This Row],[Quantity]]</f>
        <v>45</v>
      </c>
    </row>
    <row r="4047" spans="1:15" x14ac:dyDescent="0.3">
      <c r="A4047" t="s">
        <v>5869</v>
      </c>
      <c r="B4047" t="s">
        <v>1851</v>
      </c>
      <c r="C4047" t="s">
        <v>541</v>
      </c>
      <c r="D4047" t="s">
        <v>1073</v>
      </c>
      <c r="E4047">
        <v>1</v>
      </c>
      <c r="F4047">
        <f>_xlfn.XLOOKUP(Table1[[#This Row],[ProductID]],Products!A:A,Products!D:D,,0)</f>
        <v>100</v>
      </c>
      <c r="I4047">
        <v>349</v>
      </c>
      <c r="J4047">
        <v>349</v>
      </c>
      <c r="K4047" t="s">
        <v>1102</v>
      </c>
      <c r="L4047">
        <v>349</v>
      </c>
      <c r="M4047" t="s">
        <v>1093</v>
      </c>
      <c r="N4047" t="s">
        <v>1099</v>
      </c>
      <c r="O4047">
        <f>Table1[[#This Row],[Unit_Price]]*Table1[[#This Row],[Quantity]]</f>
        <v>100</v>
      </c>
    </row>
    <row r="4048" spans="1:15" x14ac:dyDescent="0.3">
      <c r="A4048" t="s">
        <v>5870</v>
      </c>
      <c r="B4048" t="s">
        <v>2391</v>
      </c>
      <c r="C4048" t="s">
        <v>355</v>
      </c>
      <c r="D4048" t="s">
        <v>1051</v>
      </c>
      <c r="E4048">
        <v>2</v>
      </c>
      <c r="F4048">
        <f>_xlfn.XLOOKUP(Table1[[#This Row],[ProductID]],Products!A:A,Products!D:D,,0)</f>
        <v>150</v>
      </c>
      <c r="I4048">
        <v>499</v>
      </c>
      <c r="J4048">
        <v>424</v>
      </c>
      <c r="K4048" t="s">
        <v>1092</v>
      </c>
      <c r="L4048">
        <v>848</v>
      </c>
      <c r="M4048" t="s">
        <v>1098</v>
      </c>
      <c r="N4048" t="s">
        <v>1099</v>
      </c>
      <c r="O4048">
        <f>Table1[[#This Row],[Unit_Price]]*Table1[[#This Row],[Quantity]]</f>
        <v>300</v>
      </c>
    </row>
    <row r="4049" spans="1:15" x14ac:dyDescent="0.3">
      <c r="A4049" t="s">
        <v>5871</v>
      </c>
      <c r="B4049" t="s">
        <v>1565</v>
      </c>
      <c r="C4049" t="s">
        <v>827</v>
      </c>
      <c r="D4049" t="s">
        <v>1059</v>
      </c>
      <c r="E4049">
        <v>4</v>
      </c>
      <c r="F4049">
        <f>_xlfn.XLOOKUP(Table1[[#This Row],[ProductID]],Products!A:A,Products!D:D,,0)</f>
        <v>110</v>
      </c>
      <c r="I4049">
        <v>399</v>
      </c>
      <c r="J4049">
        <v>339</v>
      </c>
      <c r="K4049" t="s">
        <v>1092</v>
      </c>
      <c r="L4049">
        <v>1356</v>
      </c>
      <c r="M4049" t="s">
        <v>1093</v>
      </c>
      <c r="N4049" t="s">
        <v>1099</v>
      </c>
      <c r="O4049">
        <f>Table1[[#This Row],[Unit_Price]]*Table1[[#This Row],[Quantity]]</f>
        <v>440</v>
      </c>
    </row>
    <row r="4050" spans="1:15" x14ac:dyDescent="0.3">
      <c r="A4050" t="s">
        <v>5872</v>
      </c>
      <c r="B4050" t="s">
        <v>5141</v>
      </c>
      <c r="C4050" t="s">
        <v>391</v>
      </c>
      <c r="D4050" t="s">
        <v>1062</v>
      </c>
      <c r="E4050">
        <v>3</v>
      </c>
      <c r="F4050">
        <f>_xlfn.XLOOKUP(Table1[[#This Row],[ProductID]],Products!A:A,Products!D:D,,0)</f>
        <v>95</v>
      </c>
      <c r="I4050">
        <v>349</v>
      </c>
      <c r="J4050">
        <v>297</v>
      </c>
      <c r="K4050" t="s">
        <v>1092</v>
      </c>
      <c r="L4050">
        <v>891</v>
      </c>
      <c r="M4050" t="s">
        <v>1126</v>
      </c>
      <c r="N4050" t="s">
        <v>1099</v>
      </c>
      <c r="O4050">
        <f>Table1[[#This Row],[Unit_Price]]*Table1[[#This Row],[Quantity]]</f>
        <v>285</v>
      </c>
    </row>
    <row r="4051" spans="1:15" x14ac:dyDescent="0.3">
      <c r="A4051" t="s">
        <v>5873</v>
      </c>
      <c r="B4051" t="s">
        <v>1457</v>
      </c>
      <c r="C4051" t="s">
        <v>569</v>
      </c>
      <c r="D4051" t="s">
        <v>1064</v>
      </c>
      <c r="E4051">
        <v>1</v>
      </c>
      <c r="F4051">
        <f>_xlfn.XLOOKUP(Table1[[#This Row],[ProductID]],Products!A:A,Products!D:D,,0)</f>
        <v>160</v>
      </c>
      <c r="I4051">
        <v>699</v>
      </c>
      <c r="J4051">
        <v>594</v>
      </c>
      <c r="K4051" t="s">
        <v>1092</v>
      </c>
      <c r="L4051">
        <v>594</v>
      </c>
      <c r="M4051" t="s">
        <v>1098</v>
      </c>
      <c r="N4051" t="s">
        <v>1099</v>
      </c>
      <c r="O4051">
        <f>Table1[[#This Row],[Unit_Price]]*Table1[[#This Row],[Quantity]]</f>
        <v>160</v>
      </c>
    </row>
    <row r="4052" spans="1:15" x14ac:dyDescent="0.3">
      <c r="A4052" t="s">
        <v>5874</v>
      </c>
      <c r="B4052" t="s">
        <v>1482</v>
      </c>
      <c r="C4052" t="s">
        <v>891</v>
      </c>
      <c r="D4052" t="s">
        <v>1051</v>
      </c>
      <c r="E4052">
        <v>2</v>
      </c>
      <c r="F4052">
        <f>_xlfn.XLOOKUP(Table1[[#This Row],[ProductID]],Products!A:A,Products!D:D,,0)</f>
        <v>150</v>
      </c>
      <c r="I4052">
        <v>499</v>
      </c>
      <c r="J4052">
        <v>449</v>
      </c>
      <c r="K4052" t="s">
        <v>1107</v>
      </c>
      <c r="L4052">
        <v>898</v>
      </c>
      <c r="M4052" t="s">
        <v>1093</v>
      </c>
      <c r="N4052" t="s">
        <v>1099</v>
      </c>
      <c r="O4052">
        <f>Table1[[#This Row],[Unit_Price]]*Table1[[#This Row],[Quantity]]</f>
        <v>300</v>
      </c>
    </row>
    <row r="4053" spans="1:15" x14ac:dyDescent="0.3">
      <c r="A4053" t="s">
        <v>5875</v>
      </c>
      <c r="B4053" t="s">
        <v>2559</v>
      </c>
      <c r="C4053" t="s">
        <v>765</v>
      </c>
      <c r="D4053" t="s">
        <v>1071</v>
      </c>
      <c r="E4053">
        <v>2</v>
      </c>
      <c r="F4053">
        <f>_xlfn.XLOOKUP(Table1[[#This Row],[ProductID]],Products!A:A,Products!D:D,,0)</f>
        <v>125</v>
      </c>
      <c r="I4053">
        <v>399</v>
      </c>
      <c r="J4053">
        <v>319</v>
      </c>
      <c r="K4053" t="s">
        <v>1097</v>
      </c>
      <c r="L4053">
        <v>638</v>
      </c>
      <c r="M4053" t="s">
        <v>1098</v>
      </c>
      <c r="N4053" t="s">
        <v>1099</v>
      </c>
      <c r="O4053">
        <f>Table1[[#This Row],[Unit_Price]]*Table1[[#This Row],[Quantity]]</f>
        <v>250</v>
      </c>
    </row>
    <row r="4054" spans="1:15" x14ac:dyDescent="0.3">
      <c r="A4054" t="s">
        <v>5876</v>
      </c>
      <c r="B4054" t="s">
        <v>3220</v>
      </c>
      <c r="C4054" t="s">
        <v>707</v>
      </c>
      <c r="D4054" t="s">
        <v>1068</v>
      </c>
      <c r="E4054">
        <v>3</v>
      </c>
      <c r="F4054">
        <f>_xlfn.XLOOKUP(Table1[[#This Row],[ProductID]],Products!A:A,Products!D:D,,0)</f>
        <v>180</v>
      </c>
      <c r="I4054">
        <v>449</v>
      </c>
      <c r="J4054">
        <v>359</v>
      </c>
      <c r="K4054" t="s">
        <v>1097</v>
      </c>
      <c r="L4054">
        <v>1077</v>
      </c>
      <c r="M4054" t="s">
        <v>1093</v>
      </c>
      <c r="N4054" t="s">
        <v>1094</v>
      </c>
      <c r="O4054">
        <f>Table1[[#This Row],[Unit_Price]]*Table1[[#This Row],[Quantity]]</f>
        <v>540</v>
      </c>
    </row>
    <row r="4055" spans="1:15" x14ac:dyDescent="0.3">
      <c r="A4055" t="s">
        <v>5877</v>
      </c>
      <c r="B4055" t="s">
        <v>2760</v>
      </c>
      <c r="C4055" t="s">
        <v>609</v>
      </c>
      <c r="D4055" t="s">
        <v>1064</v>
      </c>
      <c r="E4055">
        <v>3</v>
      </c>
      <c r="F4055">
        <f>_xlfn.XLOOKUP(Table1[[#This Row],[ProductID]],Products!A:A,Products!D:D,,0)</f>
        <v>160</v>
      </c>
      <c r="I4055">
        <v>699</v>
      </c>
      <c r="J4055">
        <v>699</v>
      </c>
      <c r="K4055" t="s">
        <v>1102</v>
      </c>
      <c r="L4055">
        <v>2097</v>
      </c>
      <c r="M4055" t="s">
        <v>1093</v>
      </c>
      <c r="N4055" t="s">
        <v>1094</v>
      </c>
      <c r="O4055">
        <f>Table1[[#This Row],[Unit_Price]]*Table1[[#This Row],[Quantity]]</f>
        <v>480</v>
      </c>
    </row>
    <row r="4056" spans="1:15" x14ac:dyDescent="0.3">
      <c r="A4056" t="s">
        <v>5878</v>
      </c>
      <c r="B4056" t="s">
        <v>5684</v>
      </c>
      <c r="C4056" t="s">
        <v>733</v>
      </c>
      <c r="D4056" t="s">
        <v>1064</v>
      </c>
      <c r="E4056">
        <v>1</v>
      </c>
      <c r="F4056">
        <f>_xlfn.XLOOKUP(Table1[[#This Row],[ProductID]],Products!A:A,Products!D:D,,0)</f>
        <v>160</v>
      </c>
      <c r="I4056">
        <v>699</v>
      </c>
      <c r="J4056">
        <v>629</v>
      </c>
      <c r="K4056" t="s">
        <v>1107</v>
      </c>
      <c r="L4056">
        <v>629</v>
      </c>
      <c r="M4056" t="s">
        <v>1093</v>
      </c>
      <c r="N4056" t="s">
        <v>1099</v>
      </c>
      <c r="O4056">
        <f>Table1[[#This Row],[Unit_Price]]*Table1[[#This Row],[Quantity]]</f>
        <v>160</v>
      </c>
    </row>
    <row r="4057" spans="1:15" x14ac:dyDescent="0.3">
      <c r="A4057" t="s">
        <v>5879</v>
      </c>
      <c r="B4057" t="s">
        <v>3145</v>
      </c>
      <c r="C4057" t="s">
        <v>229</v>
      </c>
      <c r="D4057" t="s">
        <v>1064</v>
      </c>
      <c r="E4057">
        <v>2</v>
      </c>
      <c r="F4057">
        <f>_xlfn.XLOOKUP(Table1[[#This Row],[ProductID]],Products!A:A,Products!D:D,,0)</f>
        <v>160</v>
      </c>
      <c r="I4057">
        <v>699</v>
      </c>
      <c r="J4057">
        <v>699</v>
      </c>
      <c r="K4057" t="s">
        <v>1102</v>
      </c>
      <c r="L4057">
        <v>1398</v>
      </c>
      <c r="M4057" t="s">
        <v>1098</v>
      </c>
      <c r="N4057" t="s">
        <v>1099</v>
      </c>
      <c r="O4057">
        <f>Table1[[#This Row],[Unit_Price]]*Table1[[#This Row],[Quantity]]</f>
        <v>320</v>
      </c>
    </row>
    <row r="4058" spans="1:15" x14ac:dyDescent="0.3">
      <c r="A4058" t="s">
        <v>5880</v>
      </c>
      <c r="B4058" t="s">
        <v>1839</v>
      </c>
      <c r="C4058" t="s">
        <v>203</v>
      </c>
      <c r="D4058" t="s">
        <v>1059</v>
      </c>
      <c r="E4058">
        <v>2</v>
      </c>
      <c r="F4058">
        <f>_xlfn.XLOOKUP(Table1[[#This Row],[ProductID]],Products!A:A,Products!D:D,,0)</f>
        <v>110</v>
      </c>
      <c r="I4058">
        <v>399</v>
      </c>
      <c r="J4058">
        <v>319</v>
      </c>
      <c r="K4058" t="s">
        <v>1097</v>
      </c>
      <c r="L4058">
        <v>638</v>
      </c>
      <c r="M4058" t="s">
        <v>1093</v>
      </c>
      <c r="N4058" t="s">
        <v>1099</v>
      </c>
      <c r="O4058">
        <f>Table1[[#This Row],[Unit_Price]]*Table1[[#This Row],[Quantity]]</f>
        <v>220</v>
      </c>
    </row>
    <row r="4059" spans="1:15" x14ac:dyDescent="0.3">
      <c r="A4059" t="s">
        <v>5881</v>
      </c>
      <c r="B4059" t="s">
        <v>4260</v>
      </c>
      <c r="C4059" t="s">
        <v>731</v>
      </c>
      <c r="D4059" t="s">
        <v>1064</v>
      </c>
      <c r="E4059">
        <v>1</v>
      </c>
      <c r="F4059">
        <f>_xlfn.XLOOKUP(Table1[[#This Row],[ProductID]],Products!A:A,Products!D:D,,0)</f>
        <v>160</v>
      </c>
      <c r="I4059">
        <v>699</v>
      </c>
      <c r="J4059">
        <v>699</v>
      </c>
      <c r="K4059" t="s">
        <v>1102</v>
      </c>
      <c r="L4059">
        <v>699</v>
      </c>
      <c r="M4059" t="s">
        <v>1098</v>
      </c>
      <c r="N4059" t="s">
        <v>1099</v>
      </c>
      <c r="O4059">
        <f>Table1[[#This Row],[Unit_Price]]*Table1[[#This Row],[Quantity]]</f>
        <v>160</v>
      </c>
    </row>
    <row r="4060" spans="1:15" x14ac:dyDescent="0.3">
      <c r="A4060" t="s">
        <v>5882</v>
      </c>
      <c r="B4060" t="s">
        <v>3713</v>
      </c>
      <c r="C4060" t="s">
        <v>815</v>
      </c>
      <c r="D4060" t="s">
        <v>1053</v>
      </c>
      <c r="E4060">
        <v>1</v>
      </c>
      <c r="F4060">
        <f>_xlfn.XLOOKUP(Table1[[#This Row],[ProductID]],Products!A:A,Products!D:D,,0)</f>
        <v>200</v>
      </c>
      <c r="I4060">
        <v>899</v>
      </c>
      <c r="J4060">
        <v>764</v>
      </c>
      <c r="K4060" t="s">
        <v>1092</v>
      </c>
      <c r="L4060">
        <v>764</v>
      </c>
      <c r="M4060" t="s">
        <v>1098</v>
      </c>
      <c r="N4060" t="s">
        <v>1099</v>
      </c>
      <c r="O4060">
        <f>Table1[[#This Row],[Unit_Price]]*Table1[[#This Row],[Quantity]]</f>
        <v>200</v>
      </c>
    </row>
    <row r="4061" spans="1:15" x14ac:dyDescent="0.3">
      <c r="A4061" t="s">
        <v>5883</v>
      </c>
      <c r="B4061" t="s">
        <v>2102</v>
      </c>
      <c r="C4061" t="s">
        <v>199</v>
      </c>
      <c r="D4061" t="s">
        <v>1059</v>
      </c>
      <c r="E4061">
        <v>1</v>
      </c>
      <c r="F4061">
        <f>_xlfn.XLOOKUP(Table1[[#This Row],[ProductID]],Products!A:A,Products!D:D,,0)</f>
        <v>110</v>
      </c>
      <c r="I4061">
        <v>399</v>
      </c>
      <c r="J4061">
        <v>399</v>
      </c>
      <c r="K4061" t="s">
        <v>1102</v>
      </c>
      <c r="L4061">
        <v>399</v>
      </c>
      <c r="M4061" t="s">
        <v>1126</v>
      </c>
      <c r="N4061" t="s">
        <v>1099</v>
      </c>
      <c r="O4061">
        <f>Table1[[#This Row],[Unit_Price]]*Table1[[#This Row],[Quantity]]</f>
        <v>110</v>
      </c>
    </row>
    <row r="4062" spans="1:15" x14ac:dyDescent="0.3">
      <c r="A4062" t="s">
        <v>5884</v>
      </c>
      <c r="B4062" t="s">
        <v>2581</v>
      </c>
      <c r="C4062" t="s">
        <v>271</v>
      </c>
      <c r="D4062" t="s">
        <v>1057</v>
      </c>
      <c r="E4062">
        <v>1</v>
      </c>
      <c r="F4062">
        <f>_xlfn.XLOOKUP(Table1[[#This Row],[ProductID]],Products!A:A,Products!D:D,,0)</f>
        <v>130</v>
      </c>
      <c r="I4062">
        <v>549</v>
      </c>
      <c r="J4062">
        <v>439</v>
      </c>
      <c r="K4062" t="s">
        <v>1097</v>
      </c>
      <c r="L4062">
        <v>439</v>
      </c>
      <c r="M4062" t="s">
        <v>1093</v>
      </c>
      <c r="N4062" t="s">
        <v>1099</v>
      </c>
      <c r="O4062">
        <f>Table1[[#This Row],[Unit_Price]]*Table1[[#This Row],[Quantity]]</f>
        <v>130</v>
      </c>
    </row>
    <row r="4063" spans="1:15" x14ac:dyDescent="0.3">
      <c r="A4063" t="s">
        <v>5885</v>
      </c>
      <c r="B4063" t="s">
        <v>1679</v>
      </c>
      <c r="C4063" t="s">
        <v>895</v>
      </c>
      <c r="D4063" t="s">
        <v>1071</v>
      </c>
      <c r="E4063">
        <v>2</v>
      </c>
      <c r="F4063">
        <f>_xlfn.XLOOKUP(Table1[[#This Row],[ProductID]],Products!A:A,Products!D:D,,0)</f>
        <v>125</v>
      </c>
      <c r="I4063">
        <v>399</v>
      </c>
      <c r="J4063">
        <v>399</v>
      </c>
      <c r="K4063" t="s">
        <v>1102</v>
      </c>
      <c r="L4063">
        <v>798</v>
      </c>
      <c r="M4063" t="s">
        <v>1093</v>
      </c>
      <c r="N4063" t="s">
        <v>1099</v>
      </c>
      <c r="O4063">
        <f>Table1[[#This Row],[Unit_Price]]*Table1[[#This Row],[Quantity]]</f>
        <v>250</v>
      </c>
    </row>
    <row r="4064" spans="1:15" x14ac:dyDescent="0.3">
      <c r="A4064" t="s">
        <v>5886</v>
      </c>
      <c r="B4064" t="s">
        <v>1712</v>
      </c>
      <c r="C4064" t="s">
        <v>325</v>
      </c>
      <c r="D4064" t="s">
        <v>1078</v>
      </c>
      <c r="E4064">
        <v>1</v>
      </c>
      <c r="F4064">
        <f>_xlfn.XLOOKUP(Table1[[#This Row],[ProductID]],Products!A:A,Products!D:D,,0)</f>
        <v>80</v>
      </c>
      <c r="I4064">
        <v>499</v>
      </c>
      <c r="J4064">
        <v>449</v>
      </c>
      <c r="K4064" t="s">
        <v>1107</v>
      </c>
      <c r="L4064">
        <v>449</v>
      </c>
      <c r="M4064" t="s">
        <v>1098</v>
      </c>
      <c r="N4064" t="s">
        <v>1099</v>
      </c>
      <c r="O4064">
        <f>Table1[[#This Row],[Unit_Price]]*Table1[[#This Row],[Quantity]]</f>
        <v>80</v>
      </c>
    </row>
    <row r="4065" spans="1:15" x14ac:dyDescent="0.3">
      <c r="A4065" t="s">
        <v>5887</v>
      </c>
      <c r="B4065" t="s">
        <v>1375</v>
      </c>
      <c r="C4065" t="s">
        <v>895</v>
      </c>
      <c r="D4065" t="s">
        <v>1064</v>
      </c>
      <c r="E4065">
        <v>1</v>
      </c>
      <c r="F4065">
        <f>_xlfn.XLOOKUP(Table1[[#This Row],[ProductID]],Products!A:A,Products!D:D,,0)</f>
        <v>160</v>
      </c>
      <c r="I4065">
        <v>699</v>
      </c>
      <c r="J4065">
        <v>629</v>
      </c>
      <c r="K4065" t="s">
        <v>1107</v>
      </c>
      <c r="L4065">
        <v>629</v>
      </c>
      <c r="M4065" t="s">
        <v>1098</v>
      </c>
      <c r="N4065" t="s">
        <v>1099</v>
      </c>
      <c r="O4065">
        <f>Table1[[#This Row],[Unit_Price]]*Table1[[#This Row],[Quantity]]</f>
        <v>160</v>
      </c>
    </row>
    <row r="4066" spans="1:15" x14ac:dyDescent="0.3">
      <c r="A4066" t="s">
        <v>5888</v>
      </c>
      <c r="B4066" t="s">
        <v>2526</v>
      </c>
      <c r="C4066" t="s">
        <v>933</v>
      </c>
      <c r="D4066" t="s">
        <v>1059</v>
      </c>
      <c r="E4066">
        <v>1</v>
      </c>
      <c r="F4066">
        <f>_xlfn.XLOOKUP(Table1[[#This Row],[ProductID]],Products!A:A,Products!D:D,,0)</f>
        <v>110</v>
      </c>
      <c r="I4066">
        <v>399</v>
      </c>
      <c r="J4066">
        <v>399</v>
      </c>
      <c r="K4066" t="s">
        <v>1102</v>
      </c>
      <c r="L4066">
        <v>399</v>
      </c>
      <c r="M4066" t="s">
        <v>1093</v>
      </c>
      <c r="N4066" t="s">
        <v>1099</v>
      </c>
      <c r="O4066">
        <f>Table1[[#This Row],[Unit_Price]]*Table1[[#This Row],[Quantity]]</f>
        <v>110</v>
      </c>
    </row>
    <row r="4067" spans="1:15" x14ac:dyDescent="0.3">
      <c r="A4067" t="s">
        <v>5889</v>
      </c>
      <c r="B4067" t="s">
        <v>1808</v>
      </c>
      <c r="C4067" t="s">
        <v>407</v>
      </c>
      <c r="D4067" t="s">
        <v>1073</v>
      </c>
      <c r="E4067">
        <v>1</v>
      </c>
      <c r="F4067">
        <f>_xlfn.XLOOKUP(Table1[[#This Row],[ProductID]],Products!A:A,Products!D:D,,0)</f>
        <v>100</v>
      </c>
      <c r="I4067">
        <v>349</v>
      </c>
      <c r="J4067">
        <v>314</v>
      </c>
      <c r="K4067" t="s">
        <v>1107</v>
      </c>
      <c r="L4067">
        <v>314</v>
      </c>
      <c r="M4067" t="s">
        <v>1093</v>
      </c>
      <c r="N4067" t="s">
        <v>1094</v>
      </c>
      <c r="O4067">
        <f>Table1[[#This Row],[Unit_Price]]*Table1[[#This Row],[Quantity]]</f>
        <v>100</v>
      </c>
    </row>
    <row r="4068" spans="1:15" x14ac:dyDescent="0.3">
      <c r="A4068" t="s">
        <v>5890</v>
      </c>
      <c r="B4068" t="s">
        <v>2898</v>
      </c>
      <c r="C4068" t="s">
        <v>539</v>
      </c>
      <c r="D4068" t="s">
        <v>1073</v>
      </c>
      <c r="E4068">
        <v>1</v>
      </c>
      <c r="F4068">
        <f>_xlfn.XLOOKUP(Table1[[#This Row],[ProductID]],Products!A:A,Products!D:D,,0)</f>
        <v>100</v>
      </c>
      <c r="I4068">
        <v>349</v>
      </c>
      <c r="J4068">
        <v>314</v>
      </c>
      <c r="K4068" t="s">
        <v>1107</v>
      </c>
      <c r="L4068">
        <v>314</v>
      </c>
      <c r="M4068" t="s">
        <v>1098</v>
      </c>
      <c r="N4068" t="s">
        <v>1099</v>
      </c>
      <c r="O4068">
        <f>Table1[[#This Row],[Unit_Price]]*Table1[[#This Row],[Quantity]]</f>
        <v>100</v>
      </c>
    </row>
    <row r="4069" spans="1:15" x14ac:dyDescent="0.3">
      <c r="A4069" t="s">
        <v>5891</v>
      </c>
      <c r="B4069" t="s">
        <v>1298</v>
      </c>
      <c r="C4069" t="s">
        <v>223</v>
      </c>
      <c r="D4069" t="s">
        <v>1055</v>
      </c>
      <c r="E4069">
        <v>3</v>
      </c>
      <c r="F4069">
        <f>_xlfn.XLOOKUP(Table1[[#This Row],[ProductID]],Products!A:A,Products!D:D,,0)</f>
        <v>75</v>
      </c>
      <c r="I4069">
        <v>299</v>
      </c>
      <c r="J4069">
        <v>269</v>
      </c>
      <c r="K4069" t="s">
        <v>1107</v>
      </c>
      <c r="L4069">
        <v>807</v>
      </c>
      <c r="M4069" t="s">
        <v>1098</v>
      </c>
      <c r="N4069" t="s">
        <v>1099</v>
      </c>
      <c r="O4069">
        <f>Table1[[#This Row],[Unit_Price]]*Table1[[#This Row],[Quantity]]</f>
        <v>225</v>
      </c>
    </row>
    <row r="4070" spans="1:15" x14ac:dyDescent="0.3">
      <c r="A4070" t="s">
        <v>5892</v>
      </c>
      <c r="B4070" t="s">
        <v>3198</v>
      </c>
      <c r="C4070" t="s">
        <v>995</v>
      </c>
      <c r="D4070" t="s">
        <v>1051</v>
      </c>
      <c r="E4070">
        <v>1</v>
      </c>
      <c r="F4070">
        <f>_xlfn.XLOOKUP(Table1[[#This Row],[ProductID]],Products!A:A,Products!D:D,,0)</f>
        <v>150</v>
      </c>
      <c r="I4070">
        <v>499</v>
      </c>
      <c r="J4070">
        <v>399</v>
      </c>
      <c r="K4070" t="s">
        <v>1097</v>
      </c>
      <c r="L4070">
        <v>399</v>
      </c>
      <c r="M4070" t="s">
        <v>1098</v>
      </c>
      <c r="N4070" t="s">
        <v>1099</v>
      </c>
      <c r="O4070">
        <f>Table1[[#This Row],[Unit_Price]]*Table1[[#This Row],[Quantity]]</f>
        <v>150</v>
      </c>
    </row>
    <row r="4071" spans="1:15" x14ac:dyDescent="0.3">
      <c r="A4071" t="s">
        <v>5893</v>
      </c>
      <c r="B4071" t="s">
        <v>1412</v>
      </c>
      <c r="C4071" t="s">
        <v>219</v>
      </c>
      <c r="D4071" t="s">
        <v>1066</v>
      </c>
      <c r="E4071">
        <v>1</v>
      </c>
      <c r="F4071">
        <f>_xlfn.XLOOKUP(Table1[[#This Row],[ProductID]],Products!A:A,Products!D:D,,0)</f>
        <v>140</v>
      </c>
      <c r="I4071">
        <v>499</v>
      </c>
      <c r="J4071">
        <v>399</v>
      </c>
      <c r="K4071" t="s">
        <v>1097</v>
      </c>
      <c r="L4071">
        <v>399</v>
      </c>
      <c r="M4071" t="s">
        <v>1093</v>
      </c>
      <c r="N4071" t="s">
        <v>1094</v>
      </c>
      <c r="O4071">
        <f>Table1[[#This Row],[Unit_Price]]*Table1[[#This Row],[Quantity]]</f>
        <v>140</v>
      </c>
    </row>
    <row r="4072" spans="1:15" x14ac:dyDescent="0.3">
      <c r="A4072" t="s">
        <v>5894</v>
      </c>
      <c r="B4072" t="s">
        <v>1679</v>
      </c>
      <c r="C4072" t="s">
        <v>487</v>
      </c>
      <c r="D4072" t="s">
        <v>1059</v>
      </c>
      <c r="E4072">
        <v>1</v>
      </c>
      <c r="F4072">
        <f>_xlfn.XLOOKUP(Table1[[#This Row],[ProductID]],Products!A:A,Products!D:D,,0)</f>
        <v>110</v>
      </c>
      <c r="I4072">
        <v>399</v>
      </c>
      <c r="J4072">
        <v>339</v>
      </c>
      <c r="K4072" t="s">
        <v>1092</v>
      </c>
      <c r="L4072">
        <v>339</v>
      </c>
      <c r="M4072" t="s">
        <v>1093</v>
      </c>
      <c r="N4072" t="s">
        <v>1094</v>
      </c>
      <c r="O4072">
        <f>Table1[[#This Row],[Unit_Price]]*Table1[[#This Row],[Quantity]]</f>
        <v>110</v>
      </c>
    </row>
    <row r="4073" spans="1:15" x14ac:dyDescent="0.3">
      <c r="A4073" t="s">
        <v>5895</v>
      </c>
      <c r="B4073" t="s">
        <v>2395</v>
      </c>
      <c r="C4073" t="s">
        <v>531</v>
      </c>
      <c r="D4073" t="s">
        <v>1071</v>
      </c>
      <c r="E4073">
        <v>1</v>
      </c>
      <c r="F4073">
        <f>_xlfn.XLOOKUP(Table1[[#This Row],[ProductID]],Products!A:A,Products!D:D,,0)</f>
        <v>125</v>
      </c>
      <c r="I4073">
        <v>399</v>
      </c>
      <c r="J4073">
        <v>319</v>
      </c>
      <c r="K4073" t="s">
        <v>1097</v>
      </c>
      <c r="L4073">
        <v>319</v>
      </c>
      <c r="M4073" t="s">
        <v>1093</v>
      </c>
      <c r="N4073" t="s">
        <v>1094</v>
      </c>
      <c r="O4073">
        <f>Table1[[#This Row],[Unit_Price]]*Table1[[#This Row],[Quantity]]</f>
        <v>125</v>
      </c>
    </row>
    <row r="4074" spans="1:15" x14ac:dyDescent="0.3">
      <c r="A4074" t="s">
        <v>5896</v>
      </c>
      <c r="B4074" t="s">
        <v>2202</v>
      </c>
      <c r="C4074" t="s">
        <v>433</v>
      </c>
      <c r="D4074" t="s">
        <v>1064</v>
      </c>
      <c r="E4074">
        <v>1</v>
      </c>
      <c r="F4074">
        <f>_xlfn.XLOOKUP(Table1[[#This Row],[ProductID]],Products!A:A,Products!D:D,,0)</f>
        <v>160</v>
      </c>
      <c r="I4074">
        <v>699</v>
      </c>
      <c r="J4074">
        <v>559</v>
      </c>
      <c r="K4074" t="s">
        <v>1097</v>
      </c>
      <c r="L4074">
        <v>559</v>
      </c>
      <c r="M4074" t="s">
        <v>1093</v>
      </c>
      <c r="N4074" t="s">
        <v>1123</v>
      </c>
      <c r="O4074">
        <f>Table1[[#This Row],[Unit_Price]]*Table1[[#This Row],[Quantity]]</f>
        <v>160</v>
      </c>
    </row>
    <row r="4075" spans="1:15" x14ac:dyDescent="0.3">
      <c r="A4075" t="s">
        <v>5897</v>
      </c>
      <c r="B4075" t="s">
        <v>2461</v>
      </c>
      <c r="C4075" t="s">
        <v>122</v>
      </c>
      <c r="D4075" t="s">
        <v>1078</v>
      </c>
      <c r="E4075">
        <v>1</v>
      </c>
      <c r="F4075">
        <f>_xlfn.XLOOKUP(Table1[[#This Row],[ProductID]],Products!A:A,Products!D:D,,0)</f>
        <v>80</v>
      </c>
      <c r="I4075">
        <v>499</v>
      </c>
      <c r="J4075">
        <v>424</v>
      </c>
      <c r="K4075" t="s">
        <v>1092</v>
      </c>
      <c r="L4075">
        <v>424</v>
      </c>
      <c r="M4075" t="s">
        <v>1098</v>
      </c>
      <c r="N4075" t="s">
        <v>1099</v>
      </c>
      <c r="O4075">
        <f>Table1[[#This Row],[Unit_Price]]*Table1[[#This Row],[Quantity]]</f>
        <v>80</v>
      </c>
    </row>
    <row r="4076" spans="1:15" x14ac:dyDescent="0.3">
      <c r="A4076" t="s">
        <v>5898</v>
      </c>
      <c r="B4076" t="s">
        <v>2608</v>
      </c>
      <c r="C4076" t="s">
        <v>102</v>
      </c>
      <c r="D4076" t="s">
        <v>1080</v>
      </c>
      <c r="E4076">
        <v>2</v>
      </c>
      <c r="F4076">
        <f>_xlfn.XLOOKUP(Table1[[#This Row],[ProductID]],Products!A:A,Products!D:D,,0)</f>
        <v>45</v>
      </c>
      <c r="I4076">
        <v>249</v>
      </c>
      <c r="J4076">
        <v>249</v>
      </c>
      <c r="K4076" t="s">
        <v>1102</v>
      </c>
      <c r="L4076">
        <v>498</v>
      </c>
      <c r="M4076" t="s">
        <v>1098</v>
      </c>
      <c r="N4076" t="s">
        <v>1099</v>
      </c>
      <c r="O4076">
        <f>Table1[[#This Row],[Unit_Price]]*Table1[[#This Row],[Quantity]]</f>
        <v>90</v>
      </c>
    </row>
    <row r="4077" spans="1:15" x14ac:dyDescent="0.3">
      <c r="A4077" t="s">
        <v>5899</v>
      </c>
      <c r="B4077" t="s">
        <v>2254</v>
      </c>
      <c r="C4077" t="s">
        <v>821</v>
      </c>
      <c r="D4077" t="s">
        <v>1075</v>
      </c>
      <c r="E4077">
        <v>2</v>
      </c>
      <c r="F4077">
        <f>_xlfn.XLOOKUP(Table1[[#This Row],[ProductID]],Products!A:A,Products!D:D,,0)</f>
        <v>80</v>
      </c>
      <c r="I4077">
        <v>499</v>
      </c>
      <c r="J4077">
        <v>399</v>
      </c>
      <c r="K4077" t="s">
        <v>1097</v>
      </c>
      <c r="L4077">
        <v>798</v>
      </c>
      <c r="M4077" t="s">
        <v>1093</v>
      </c>
      <c r="N4077" t="s">
        <v>1123</v>
      </c>
      <c r="O4077">
        <f>Table1[[#This Row],[Unit_Price]]*Table1[[#This Row],[Quantity]]</f>
        <v>160</v>
      </c>
    </row>
    <row r="4078" spans="1:15" x14ac:dyDescent="0.3">
      <c r="A4078" t="s">
        <v>5900</v>
      </c>
      <c r="B4078" t="s">
        <v>2032</v>
      </c>
      <c r="C4078" t="s">
        <v>7</v>
      </c>
      <c r="D4078" t="s">
        <v>1066</v>
      </c>
      <c r="E4078">
        <v>3</v>
      </c>
      <c r="F4078">
        <f>_xlfn.XLOOKUP(Table1[[#This Row],[ProductID]],Products!A:A,Products!D:D,,0)</f>
        <v>140</v>
      </c>
      <c r="I4078">
        <v>499</v>
      </c>
      <c r="J4078">
        <v>399</v>
      </c>
      <c r="K4078" t="s">
        <v>1097</v>
      </c>
      <c r="L4078">
        <v>1197</v>
      </c>
      <c r="M4078" t="s">
        <v>1098</v>
      </c>
      <c r="N4078" t="s">
        <v>1099</v>
      </c>
      <c r="O4078">
        <f>Table1[[#This Row],[Unit_Price]]*Table1[[#This Row],[Quantity]]</f>
        <v>420</v>
      </c>
    </row>
    <row r="4079" spans="1:15" x14ac:dyDescent="0.3">
      <c r="A4079" t="s">
        <v>5901</v>
      </c>
      <c r="B4079" t="s">
        <v>2078</v>
      </c>
      <c r="C4079" t="s">
        <v>251</v>
      </c>
      <c r="D4079" t="s">
        <v>1078</v>
      </c>
      <c r="E4079">
        <v>1</v>
      </c>
      <c r="F4079">
        <f>_xlfn.XLOOKUP(Table1[[#This Row],[ProductID]],Products!A:A,Products!D:D,,0)</f>
        <v>80</v>
      </c>
      <c r="I4079">
        <v>499</v>
      </c>
      <c r="J4079">
        <v>424</v>
      </c>
      <c r="K4079" t="s">
        <v>1092</v>
      </c>
      <c r="L4079">
        <v>424</v>
      </c>
      <c r="M4079" t="s">
        <v>1126</v>
      </c>
      <c r="N4079" t="s">
        <v>1099</v>
      </c>
      <c r="O4079">
        <f>Table1[[#This Row],[Unit_Price]]*Table1[[#This Row],[Quantity]]</f>
        <v>80</v>
      </c>
    </row>
    <row r="4080" spans="1:15" x14ac:dyDescent="0.3">
      <c r="A4080" t="s">
        <v>5902</v>
      </c>
      <c r="B4080" t="s">
        <v>1723</v>
      </c>
      <c r="C4080" t="s">
        <v>767</v>
      </c>
      <c r="D4080" t="s">
        <v>1075</v>
      </c>
      <c r="E4080">
        <v>3</v>
      </c>
      <c r="F4080">
        <f>_xlfn.XLOOKUP(Table1[[#This Row],[ProductID]],Products!A:A,Products!D:D,,0)</f>
        <v>80</v>
      </c>
      <c r="I4080">
        <v>499</v>
      </c>
      <c r="J4080">
        <v>449</v>
      </c>
      <c r="K4080" t="s">
        <v>1107</v>
      </c>
      <c r="L4080">
        <v>1347</v>
      </c>
      <c r="M4080" t="s">
        <v>1093</v>
      </c>
      <c r="N4080" t="s">
        <v>1094</v>
      </c>
      <c r="O4080">
        <f>Table1[[#This Row],[Unit_Price]]*Table1[[#This Row],[Quantity]]</f>
        <v>240</v>
      </c>
    </row>
    <row r="4081" spans="1:15" x14ac:dyDescent="0.3">
      <c r="A4081" t="s">
        <v>5903</v>
      </c>
      <c r="B4081" t="s">
        <v>1847</v>
      </c>
      <c r="C4081" t="s">
        <v>961</v>
      </c>
      <c r="D4081" t="s">
        <v>1073</v>
      </c>
      <c r="E4081">
        <v>1</v>
      </c>
      <c r="F4081">
        <f>_xlfn.XLOOKUP(Table1[[#This Row],[ProductID]],Products!A:A,Products!D:D,,0)</f>
        <v>100</v>
      </c>
      <c r="I4081">
        <v>349</v>
      </c>
      <c r="J4081">
        <v>349</v>
      </c>
      <c r="K4081" t="s">
        <v>1102</v>
      </c>
      <c r="L4081">
        <v>349</v>
      </c>
      <c r="M4081" t="s">
        <v>1126</v>
      </c>
      <c r="N4081" t="s">
        <v>1099</v>
      </c>
      <c r="O4081">
        <f>Table1[[#This Row],[Unit_Price]]*Table1[[#This Row],[Quantity]]</f>
        <v>100</v>
      </c>
    </row>
    <row r="4082" spans="1:15" x14ac:dyDescent="0.3">
      <c r="A4082" t="s">
        <v>5904</v>
      </c>
      <c r="B4082" t="s">
        <v>1178</v>
      </c>
      <c r="C4082" t="s">
        <v>475</v>
      </c>
      <c r="D4082" t="s">
        <v>1080</v>
      </c>
      <c r="E4082">
        <v>3</v>
      </c>
      <c r="F4082">
        <f>_xlfn.XLOOKUP(Table1[[#This Row],[ProductID]],Products!A:A,Products!D:D,,0)</f>
        <v>45</v>
      </c>
      <c r="I4082">
        <v>249</v>
      </c>
      <c r="J4082">
        <v>249</v>
      </c>
      <c r="K4082" t="s">
        <v>1102</v>
      </c>
      <c r="L4082">
        <v>747</v>
      </c>
      <c r="M4082" t="s">
        <v>1098</v>
      </c>
      <c r="N4082" t="s">
        <v>1099</v>
      </c>
      <c r="O4082">
        <f>Table1[[#This Row],[Unit_Price]]*Table1[[#This Row],[Quantity]]</f>
        <v>135</v>
      </c>
    </row>
    <row r="4083" spans="1:15" x14ac:dyDescent="0.3">
      <c r="A4083" t="s">
        <v>5905</v>
      </c>
      <c r="B4083" t="s">
        <v>1539</v>
      </c>
      <c r="C4083" t="s">
        <v>905</v>
      </c>
      <c r="D4083" t="s">
        <v>1059</v>
      </c>
      <c r="E4083">
        <v>1</v>
      </c>
      <c r="F4083">
        <f>_xlfn.XLOOKUP(Table1[[#This Row],[ProductID]],Products!A:A,Products!D:D,,0)</f>
        <v>110</v>
      </c>
      <c r="I4083">
        <v>399</v>
      </c>
      <c r="J4083">
        <v>359</v>
      </c>
      <c r="K4083" t="s">
        <v>1107</v>
      </c>
      <c r="L4083">
        <v>359</v>
      </c>
      <c r="M4083" t="s">
        <v>1126</v>
      </c>
      <c r="N4083" t="s">
        <v>1099</v>
      </c>
      <c r="O4083">
        <f>Table1[[#This Row],[Unit_Price]]*Table1[[#This Row],[Quantity]]</f>
        <v>110</v>
      </c>
    </row>
    <row r="4084" spans="1:15" x14ac:dyDescent="0.3">
      <c r="A4084" t="s">
        <v>5906</v>
      </c>
      <c r="B4084" t="s">
        <v>2032</v>
      </c>
      <c r="C4084" t="s">
        <v>969</v>
      </c>
      <c r="D4084" t="s">
        <v>1064</v>
      </c>
      <c r="E4084">
        <v>1</v>
      </c>
      <c r="F4084">
        <f>_xlfn.XLOOKUP(Table1[[#This Row],[ProductID]],Products!A:A,Products!D:D,,0)</f>
        <v>160</v>
      </c>
      <c r="I4084">
        <v>699</v>
      </c>
      <c r="J4084">
        <v>699</v>
      </c>
      <c r="K4084" t="s">
        <v>1102</v>
      </c>
      <c r="L4084">
        <v>699</v>
      </c>
      <c r="M4084" t="s">
        <v>1098</v>
      </c>
      <c r="N4084" t="s">
        <v>1099</v>
      </c>
      <c r="O4084">
        <f>Table1[[#This Row],[Unit_Price]]*Table1[[#This Row],[Quantity]]</f>
        <v>160</v>
      </c>
    </row>
    <row r="4085" spans="1:15" x14ac:dyDescent="0.3">
      <c r="A4085" t="s">
        <v>5907</v>
      </c>
      <c r="B4085" t="s">
        <v>2805</v>
      </c>
      <c r="C4085" t="s">
        <v>615</v>
      </c>
      <c r="D4085" t="s">
        <v>1048</v>
      </c>
      <c r="E4085">
        <v>1</v>
      </c>
      <c r="F4085">
        <f>_xlfn.XLOOKUP(Table1[[#This Row],[ProductID]],Products!A:A,Products!D:D,,0)</f>
        <v>120</v>
      </c>
      <c r="I4085">
        <v>599</v>
      </c>
      <c r="J4085">
        <v>599</v>
      </c>
      <c r="K4085" t="s">
        <v>1102</v>
      </c>
      <c r="L4085">
        <v>599</v>
      </c>
      <c r="M4085" t="s">
        <v>1098</v>
      </c>
      <c r="N4085" t="s">
        <v>1099</v>
      </c>
      <c r="O4085">
        <f>Table1[[#This Row],[Unit_Price]]*Table1[[#This Row],[Quantity]]</f>
        <v>120</v>
      </c>
    </row>
    <row r="4086" spans="1:15" x14ac:dyDescent="0.3">
      <c r="A4086" t="s">
        <v>5908</v>
      </c>
      <c r="B4086" t="s">
        <v>1534</v>
      </c>
      <c r="C4086" t="s">
        <v>124</v>
      </c>
      <c r="D4086" t="s">
        <v>1068</v>
      </c>
      <c r="E4086">
        <v>1</v>
      </c>
      <c r="F4086">
        <f>_xlfn.XLOOKUP(Table1[[#This Row],[ProductID]],Products!A:A,Products!D:D,,0)</f>
        <v>180</v>
      </c>
      <c r="I4086">
        <v>449</v>
      </c>
      <c r="J4086">
        <v>449</v>
      </c>
      <c r="K4086" t="s">
        <v>1102</v>
      </c>
      <c r="L4086">
        <v>449</v>
      </c>
      <c r="M4086" t="s">
        <v>1126</v>
      </c>
      <c r="N4086" t="s">
        <v>1099</v>
      </c>
      <c r="O4086">
        <f>Table1[[#This Row],[Unit_Price]]*Table1[[#This Row],[Quantity]]</f>
        <v>180</v>
      </c>
    </row>
    <row r="4087" spans="1:15" x14ac:dyDescent="0.3">
      <c r="A4087" t="s">
        <v>5909</v>
      </c>
      <c r="B4087" t="s">
        <v>1965</v>
      </c>
      <c r="C4087" t="s">
        <v>655</v>
      </c>
      <c r="D4087" t="s">
        <v>1064</v>
      </c>
      <c r="E4087">
        <v>2</v>
      </c>
      <c r="F4087">
        <f>_xlfn.XLOOKUP(Table1[[#This Row],[ProductID]],Products!A:A,Products!D:D,,0)</f>
        <v>160</v>
      </c>
      <c r="I4087">
        <v>699</v>
      </c>
      <c r="J4087">
        <v>559</v>
      </c>
      <c r="K4087" t="s">
        <v>1097</v>
      </c>
      <c r="L4087">
        <v>1118</v>
      </c>
      <c r="M4087" t="s">
        <v>1093</v>
      </c>
      <c r="N4087" t="s">
        <v>1094</v>
      </c>
      <c r="O4087">
        <f>Table1[[#This Row],[Unit_Price]]*Table1[[#This Row],[Quantity]]</f>
        <v>320</v>
      </c>
    </row>
    <row r="4088" spans="1:15" x14ac:dyDescent="0.3">
      <c r="A4088" t="s">
        <v>5910</v>
      </c>
      <c r="B4088" t="s">
        <v>1738</v>
      </c>
      <c r="C4088" t="s">
        <v>955</v>
      </c>
      <c r="D4088" t="s">
        <v>1055</v>
      </c>
      <c r="E4088">
        <v>2</v>
      </c>
      <c r="F4088">
        <f>_xlfn.XLOOKUP(Table1[[#This Row],[ProductID]],Products!A:A,Products!D:D,,0)</f>
        <v>75</v>
      </c>
      <c r="I4088">
        <v>299</v>
      </c>
      <c r="J4088">
        <v>269</v>
      </c>
      <c r="K4088" t="s">
        <v>1107</v>
      </c>
      <c r="L4088">
        <v>538</v>
      </c>
      <c r="M4088" t="s">
        <v>1118</v>
      </c>
      <c r="N4088" t="s">
        <v>1099</v>
      </c>
      <c r="O4088">
        <f>Table1[[#This Row],[Unit_Price]]*Table1[[#This Row],[Quantity]]</f>
        <v>150</v>
      </c>
    </row>
    <row r="4089" spans="1:15" x14ac:dyDescent="0.3">
      <c r="A4089" t="s">
        <v>5911</v>
      </c>
      <c r="B4089" t="s">
        <v>1732</v>
      </c>
      <c r="C4089" t="s">
        <v>865</v>
      </c>
      <c r="D4089" t="s">
        <v>1071</v>
      </c>
      <c r="E4089">
        <v>2</v>
      </c>
      <c r="F4089">
        <f>_xlfn.XLOOKUP(Table1[[#This Row],[ProductID]],Products!A:A,Products!D:D,,0)</f>
        <v>125</v>
      </c>
      <c r="I4089">
        <v>399</v>
      </c>
      <c r="J4089">
        <v>399</v>
      </c>
      <c r="K4089" t="s">
        <v>1102</v>
      </c>
      <c r="L4089">
        <v>798</v>
      </c>
      <c r="M4089" t="s">
        <v>1093</v>
      </c>
      <c r="N4089" t="s">
        <v>1099</v>
      </c>
      <c r="O4089">
        <f>Table1[[#This Row],[Unit_Price]]*Table1[[#This Row],[Quantity]]</f>
        <v>250</v>
      </c>
    </row>
    <row r="4090" spans="1:15" x14ac:dyDescent="0.3">
      <c r="A4090" t="s">
        <v>5912</v>
      </c>
      <c r="B4090" t="s">
        <v>1541</v>
      </c>
      <c r="C4090" t="s">
        <v>921</v>
      </c>
      <c r="D4090" t="s">
        <v>1068</v>
      </c>
      <c r="E4090">
        <v>1</v>
      </c>
      <c r="F4090">
        <f>_xlfn.XLOOKUP(Table1[[#This Row],[ProductID]],Products!A:A,Products!D:D,,0)</f>
        <v>180</v>
      </c>
      <c r="I4090">
        <v>449</v>
      </c>
      <c r="J4090">
        <v>449</v>
      </c>
      <c r="K4090" t="s">
        <v>1102</v>
      </c>
      <c r="L4090">
        <v>449</v>
      </c>
      <c r="M4090" t="s">
        <v>1126</v>
      </c>
      <c r="N4090" t="s">
        <v>1099</v>
      </c>
      <c r="O4090">
        <f>Table1[[#This Row],[Unit_Price]]*Table1[[#This Row],[Quantity]]</f>
        <v>180</v>
      </c>
    </row>
    <row r="4091" spans="1:15" x14ac:dyDescent="0.3">
      <c r="A4091" t="s">
        <v>5913</v>
      </c>
      <c r="B4091" t="s">
        <v>2032</v>
      </c>
      <c r="C4091" t="s">
        <v>343</v>
      </c>
      <c r="D4091" t="s">
        <v>1057</v>
      </c>
      <c r="E4091">
        <v>1</v>
      </c>
      <c r="F4091">
        <f>_xlfn.XLOOKUP(Table1[[#This Row],[ProductID]],Products!A:A,Products!D:D,,0)</f>
        <v>130</v>
      </c>
      <c r="I4091">
        <v>549</v>
      </c>
      <c r="J4091">
        <v>494</v>
      </c>
      <c r="K4091" t="s">
        <v>1107</v>
      </c>
      <c r="L4091">
        <v>494</v>
      </c>
      <c r="M4091" t="s">
        <v>1093</v>
      </c>
      <c r="N4091" t="s">
        <v>1094</v>
      </c>
      <c r="O4091">
        <f>Table1[[#This Row],[Unit_Price]]*Table1[[#This Row],[Quantity]]</f>
        <v>130</v>
      </c>
    </row>
    <row r="4092" spans="1:15" x14ac:dyDescent="0.3">
      <c r="A4092" t="s">
        <v>5914</v>
      </c>
      <c r="B4092" t="s">
        <v>1642</v>
      </c>
      <c r="C4092" t="s">
        <v>177</v>
      </c>
      <c r="D4092" t="s">
        <v>1048</v>
      </c>
      <c r="E4092">
        <v>2</v>
      </c>
      <c r="F4092">
        <f>_xlfn.XLOOKUP(Table1[[#This Row],[ProductID]],Products!A:A,Products!D:D,,0)</f>
        <v>120</v>
      </c>
      <c r="I4092">
        <v>599</v>
      </c>
      <c r="J4092">
        <v>599</v>
      </c>
      <c r="K4092" t="s">
        <v>1102</v>
      </c>
      <c r="L4092">
        <v>1198</v>
      </c>
      <c r="M4092" t="s">
        <v>1098</v>
      </c>
      <c r="N4092" t="s">
        <v>1099</v>
      </c>
      <c r="O4092">
        <f>Table1[[#This Row],[Unit_Price]]*Table1[[#This Row],[Quantity]]</f>
        <v>240</v>
      </c>
    </row>
    <row r="4093" spans="1:15" x14ac:dyDescent="0.3">
      <c r="A4093" t="s">
        <v>5915</v>
      </c>
      <c r="B4093" t="s">
        <v>1351</v>
      </c>
      <c r="C4093" t="s">
        <v>57</v>
      </c>
      <c r="D4093" t="s">
        <v>1053</v>
      </c>
      <c r="E4093">
        <v>2</v>
      </c>
      <c r="F4093">
        <f>_xlfn.XLOOKUP(Table1[[#This Row],[ProductID]],Products!A:A,Products!D:D,,0)</f>
        <v>200</v>
      </c>
      <c r="I4093">
        <v>899</v>
      </c>
      <c r="J4093">
        <v>809</v>
      </c>
      <c r="K4093" t="s">
        <v>1107</v>
      </c>
      <c r="L4093">
        <v>1618</v>
      </c>
      <c r="M4093" t="s">
        <v>1098</v>
      </c>
      <c r="N4093" t="s">
        <v>1099</v>
      </c>
      <c r="O4093">
        <f>Table1[[#This Row],[Unit_Price]]*Table1[[#This Row],[Quantity]]</f>
        <v>400</v>
      </c>
    </row>
    <row r="4094" spans="1:15" x14ac:dyDescent="0.3">
      <c r="A4094" t="s">
        <v>5916</v>
      </c>
      <c r="B4094" t="s">
        <v>2529</v>
      </c>
      <c r="C4094" t="s">
        <v>357</v>
      </c>
      <c r="D4094" t="s">
        <v>1068</v>
      </c>
      <c r="E4094">
        <v>2</v>
      </c>
      <c r="F4094">
        <f>_xlfn.XLOOKUP(Table1[[#This Row],[ProductID]],Products!A:A,Products!D:D,,0)</f>
        <v>180</v>
      </c>
      <c r="I4094">
        <v>449</v>
      </c>
      <c r="J4094">
        <v>404</v>
      </c>
      <c r="K4094" t="s">
        <v>1107</v>
      </c>
      <c r="L4094">
        <v>808</v>
      </c>
      <c r="M4094" t="s">
        <v>1093</v>
      </c>
      <c r="N4094" t="s">
        <v>1099</v>
      </c>
      <c r="O4094">
        <f>Table1[[#This Row],[Unit_Price]]*Table1[[#This Row],[Quantity]]</f>
        <v>360</v>
      </c>
    </row>
    <row r="4095" spans="1:15" x14ac:dyDescent="0.3">
      <c r="A4095" t="s">
        <v>5917</v>
      </c>
      <c r="B4095" t="s">
        <v>3470</v>
      </c>
      <c r="C4095" t="s">
        <v>701</v>
      </c>
      <c r="D4095" t="s">
        <v>1051</v>
      </c>
      <c r="E4095">
        <v>1</v>
      </c>
      <c r="F4095">
        <f>_xlfn.XLOOKUP(Table1[[#This Row],[ProductID]],Products!A:A,Products!D:D,,0)</f>
        <v>150</v>
      </c>
      <c r="I4095">
        <v>499</v>
      </c>
      <c r="J4095">
        <v>449</v>
      </c>
      <c r="K4095" t="s">
        <v>1107</v>
      </c>
      <c r="L4095">
        <v>449</v>
      </c>
      <c r="M4095" t="s">
        <v>1098</v>
      </c>
      <c r="N4095" t="s">
        <v>1099</v>
      </c>
      <c r="O4095">
        <f>Table1[[#This Row],[Unit_Price]]*Table1[[#This Row],[Quantity]]</f>
        <v>150</v>
      </c>
    </row>
    <row r="4096" spans="1:15" x14ac:dyDescent="0.3">
      <c r="A4096" t="s">
        <v>5918</v>
      </c>
      <c r="B4096" t="s">
        <v>3323</v>
      </c>
      <c r="C4096" t="s">
        <v>887</v>
      </c>
      <c r="D4096" t="s">
        <v>1064</v>
      </c>
      <c r="E4096">
        <v>2</v>
      </c>
      <c r="F4096">
        <f>_xlfn.XLOOKUP(Table1[[#This Row],[ProductID]],Products!A:A,Products!D:D,,0)</f>
        <v>160</v>
      </c>
      <c r="I4096">
        <v>699</v>
      </c>
      <c r="J4096">
        <v>629</v>
      </c>
      <c r="K4096" t="s">
        <v>1107</v>
      </c>
      <c r="L4096">
        <v>1258</v>
      </c>
      <c r="M4096" t="s">
        <v>1093</v>
      </c>
      <c r="N4096" t="s">
        <v>1094</v>
      </c>
      <c r="O4096">
        <f>Table1[[#This Row],[Unit_Price]]*Table1[[#This Row],[Quantity]]</f>
        <v>320</v>
      </c>
    </row>
    <row r="4097" spans="1:15" x14ac:dyDescent="0.3">
      <c r="A4097" t="s">
        <v>5919</v>
      </c>
      <c r="B4097" t="s">
        <v>1408</v>
      </c>
      <c r="C4097" t="s">
        <v>132</v>
      </c>
      <c r="D4097" t="s">
        <v>1066</v>
      </c>
      <c r="E4097">
        <v>1</v>
      </c>
      <c r="F4097">
        <f>_xlfn.XLOOKUP(Table1[[#This Row],[ProductID]],Products!A:A,Products!D:D,,0)</f>
        <v>140</v>
      </c>
      <c r="I4097">
        <v>499</v>
      </c>
      <c r="J4097">
        <v>399</v>
      </c>
      <c r="K4097" t="s">
        <v>1097</v>
      </c>
      <c r="L4097">
        <v>399</v>
      </c>
      <c r="M4097" t="s">
        <v>1093</v>
      </c>
      <c r="N4097" t="s">
        <v>1099</v>
      </c>
      <c r="O4097">
        <f>Table1[[#This Row],[Unit_Price]]*Table1[[#This Row],[Quantity]]</f>
        <v>140</v>
      </c>
    </row>
    <row r="4098" spans="1:15" x14ac:dyDescent="0.3">
      <c r="A4098" t="s">
        <v>5920</v>
      </c>
      <c r="B4098" t="s">
        <v>3944</v>
      </c>
      <c r="C4098" t="s">
        <v>639</v>
      </c>
      <c r="D4098" t="s">
        <v>1062</v>
      </c>
      <c r="E4098">
        <v>1</v>
      </c>
      <c r="F4098">
        <f>_xlfn.XLOOKUP(Table1[[#This Row],[ProductID]],Products!A:A,Products!D:D,,0)</f>
        <v>95</v>
      </c>
      <c r="I4098">
        <v>349</v>
      </c>
      <c r="J4098">
        <v>314</v>
      </c>
      <c r="K4098" t="s">
        <v>1107</v>
      </c>
      <c r="L4098">
        <v>314</v>
      </c>
      <c r="M4098" t="s">
        <v>1093</v>
      </c>
      <c r="N4098" t="s">
        <v>1099</v>
      </c>
      <c r="O4098">
        <f>Table1[[#This Row],[Unit_Price]]*Table1[[#This Row],[Quantity]]</f>
        <v>95</v>
      </c>
    </row>
    <row r="4099" spans="1:15" x14ac:dyDescent="0.3">
      <c r="A4099" t="s">
        <v>5921</v>
      </c>
      <c r="B4099" t="s">
        <v>1931</v>
      </c>
      <c r="C4099" t="s">
        <v>721</v>
      </c>
      <c r="D4099" t="s">
        <v>1066</v>
      </c>
      <c r="E4099">
        <v>2</v>
      </c>
      <c r="F4099">
        <f>_xlfn.XLOOKUP(Table1[[#This Row],[ProductID]],Products!A:A,Products!D:D,,0)</f>
        <v>140</v>
      </c>
      <c r="I4099">
        <v>499</v>
      </c>
      <c r="J4099">
        <v>449</v>
      </c>
      <c r="K4099" t="s">
        <v>1107</v>
      </c>
      <c r="L4099">
        <v>898</v>
      </c>
      <c r="M4099" t="s">
        <v>1118</v>
      </c>
      <c r="N4099" t="s">
        <v>1099</v>
      </c>
      <c r="O4099">
        <f>Table1[[#This Row],[Unit_Price]]*Table1[[#This Row],[Quantity]]</f>
        <v>280</v>
      </c>
    </row>
    <row r="4100" spans="1:15" x14ac:dyDescent="0.3">
      <c r="A4100" t="s">
        <v>5922</v>
      </c>
      <c r="B4100" t="s">
        <v>2208</v>
      </c>
      <c r="C4100" t="s">
        <v>363</v>
      </c>
      <c r="D4100" t="s">
        <v>1078</v>
      </c>
      <c r="E4100">
        <v>1</v>
      </c>
      <c r="F4100">
        <f>_xlfn.XLOOKUP(Table1[[#This Row],[ProductID]],Products!A:A,Products!D:D,,0)</f>
        <v>80</v>
      </c>
      <c r="I4100">
        <v>499</v>
      </c>
      <c r="J4100">
        <v>499</v>
      </c>
      <c r="K4100" t="s">
        <v>1102</v>
      </c>
      <c r="L4100">
        <v>499</v>
      </c>
      <c r="M4100" t="s">
        <v>1098</v>
      </c>
      <c r="N4100" t="s">
        <v>1099</v>
      </c>
      <c r="O4100">
        <f>Table1[[#This Row],[Unit_Price]]*Table1[[#This Row],[Quantity]]</f>
        <v>80</v>
      </c>
    </row>
    <row r="4101" spans="1:15" x14ac:dyDescent="0.3">
      <c r="A4101" t="s">
        <v>5923</v>
      </c>
      <c r="B4101" t="s">
        <v>2243</v>
      </c>
      <c r="C4101" t="s">
        <v>691</v>
      </c>
      <c r="D4101" t="s">
        <v>1048</v>
      </c>
      <c r="E4101">
        <v>2</v>
      </c>
      <c r="F4101">
        <f>_xlfn.XLOOKUP(Table1[[#This Row],[ProductID]],Products!A:A,Products!D:D,,0)</f>
        <v>120</v>
      </c>
      <c r="I4101">
        <v>599</v>
      </c>
      <c r="J4101">
        <v>539</v>
      </c>
      <c r="K4101" t="s">
        <v>1107</v>
      </c>
      <c r="L4101">
        <v>1078</v>
      </c>
      <c r="M4101" t="s">
        <v>1093</v>
      </c>
      <c r="N4101" t="s">
        <v>1123</v>
      </c>
      <c r="O4101">
        <f>Table1[[#This Row],[Unit_Price]]*Table1[[#This Row],[Quantity]]</f>
        <v>240</v>
      </c>
    </row>
    <row r="4102" spans="1:15" x14ac:dyDescent="0.3">
      <c r="A4102" t="s">
        <v>5924</v>
      </c>
      <c r="B4102" t="s">
        <v>2969</v>
      </c>
      <c r="C4102" t="s">
        <v>745</v>
      </c>
      <c r="D4102" t="s">
        <v>1053</v>
      </c>
      <c r="E4102">
        <v>1</v>
      </c>
      <c r="F4102">
        <f>_xlfn.XLOOKUP(Table1[[#This Row],[ProductID]],Products!A:A,Products!D:D,,0)</f>
        <v>200</v>
      </c>
      <c r="I4102">
        <v>899</v>
      </c>
      <c r="J4102">
        <v>764</v>
      </c>
      <c r="K4102" t="s">
        <v>1092</v>
      </c>
      <c r="L4102">
        <v>764</v>
      </c>
      <c r="M4102" t="s">
        <v>1098</v>
      </c>
      <c r="N4102" t="s">
        <v>1099</v>
      </c>
      <c r="O4102">
        <f>Table1[[#This Row],[Unit_Price]]*Table1[[#This Row],[Quantity]]</f>
        <v>200</v>
      </c>
    </row>
    <row r="4103" spans="1:15" x14ac:dyDescent="0.3">
      <c r="A4103" t="s">
        <v>5925</v>
      </c>
      <c r="B4103" t="s">
        <v>3435</v>
      </c>
      <c r="C4103" t="s">
        <v>521</v>
      </c>
      <c r="D4103" t="s">
        <v>1048</v>
      </c>
      <c r="E4103">
        <v>2</v>
      </c>
      <c r="F4103">
        <f>_xlfn.XLOOKUP(Table1[[#This Row],[ProductID]],Products!A:A,Products!D:D,,0)</f>
        <v>120</v>
      </c>
      <c r="I4103">
        <v>599</v>
      </c>
      <c r="J4103">
        <v>599</v>
      </c>
      <c r="K4103" t="s">
        <v>1102</v>
      </c>
      <c r="L4103">
        <v>1198</v>
      </c>
      <c r="M4103" t="s">
        <v>1093</v>
      </c>
      <c r="N4103" t="s">
        <v>1094</v>
      </c>
      <c r="O4103">
        <f>Table1[[#This Row],[Unit_Price]]*Table1[[#This Row],[Quantity]]</f>
        <v>240</v>
      </c>
    </row>
    <row r="4104" spans="1:15" x14ac:dyDescent="0.3">
      <c r="A4104" t="s">
        <v>5926</v>
      </c>
      <c r="B4104" t="s">
        <v>1184</v>
      </c>
      <c r="C4104" t="s">
        <v>1001</v>
      </c>
      <c r="D4104" t="s">
        <v>1075</v>
      </c>
      <c r="E4104">
        <v>1</v>
      </c>
      <c r="F4104">
        <f>_xlfn.XLOOKUP(Table1[[#This Row],[ProductID]],Products!A:A,Products!D:D,,0)</f>
        <v>80</v>
      </c>
      <c r="I4104">
        <v>499</v>
      </c>
      <c r="J4104">
        <v>499</v>
      </c>
      <c r="K4104" t="s">
        <v>1102</v>
      </c>
      <c r="L4104">
        <v>499</v>
      </c>
      <c r="M4104" t="s">
        <v>1098</v>
      </c>
      <c r="N4104" t="s">
        <v>1099</v>
      </c>
      <c r="O4104">
        <f>Table1[[#This Row],[Unit_Price]]*Table1[[#This Row],[Quantity]]</f>
        <v>80</v>
      </c>
    </row>
    <row r="4105" spans="1:15" x14ac:dyDescent="0.3">
      <c r="A4105" t="s">
        <v>5927</v>
      </c>
      <c r="B4105" t="s">
        <v>1404</v>
      </c>
      <c r="C4105" t="s">
        <v>203</v>
      </c>
      <c r="D4105" t="s">
        <v>1071</v>
      </c>
      <c r="E4105">
        <v>1</v>
      </c>
      <c r="F4105">
        <f>_xlfn.XLOOKUP(Table1[[#This Row],[ProductID]],Products!A:A,Products!D:D,,0)</f>
        <v>125</v>
      </c>
      <c r="I4105">
        <v>399</v>
      </c>
      <c r="J4105">
        <v>399</v>
      </c>
      <c r="K4105" t="s">
        <v>1102</v>
      </c>
      <c r="L4105">
        <v>399</v>
      </c>
      <c r="M4105" t="s">
        <v>1093</v>
      </c>
      <c r="N4105" t="s">
        <v>1123</v>
      </c>
      <c r="O4105">
        <f>Table1[[#This Row],[Unit_Price]]*Table1[[#This Row],[Quantity]]</f>
        <v>125</v>
      </c>
    </row>
    <row r="4106" spans="1:15" x14ac:dyDescent="0.3">
      <c r="A4106" t="s">
        <v>5928</v>
      </c>
      <c r="B4106" t="s">
        <v>1319</v>
      </c>
      <c r="C4106" t="s">
        <v>583</v>
      </c>
      <c r="D4106" t="s">
        <v>1048</v>
      </c>
      <c r="E4106">
        <v>2</v>
      </c>
      <c r="F4106">
        <f>_xlfn.XLOOKUP(Table1[[#This Row],[ProductID]],Products!A:A,Products!D:D,,0)</f>
        <v>120</v>
      </c>
      <c r="I4106">
        <v>599</v>
      </c>
      <c r="J4106">
        <v>599</v>
      </c>
      <c r="K4106" t="s">
        <v>1102</v>
      </c>
      <c r="L4106">
        <v>1198</v>
      </c>
      <c r="M4106" t="s">
        <v>1098</v>
      </c>
      <c r="N4106" t="s">
        <v>1099</v>
      </c>
      <c r="O4106">
        <f>Table1[[#This Row],[Unit_Price]]*Table1[[#This Row],[Quantity]]</f>
        <v>240</v>
      </c>
    </row>
    <row r="4107" spans="1:15" x14ac:dyDescent="0.3">
      <c r="A4107" t="s">
        <v>5929</v>
      </c>
      <c r="B4107" t="s">
        <v>2963</v>
      </c>
      <c r="C4107" t="s">
        <v>921</v>
      </c>
      <c r="D4107" t="s">
        <v>1055</v>
      </c>
      <c r="E4107">
        <v>2</v>
      </c>
      <c r="F4107">
        <f>_xlfn.XLOOKUP(Table1[[#This Row],[ProductID]],Products!A:A,Products!D:D,,0)</f>
        <v>75</v>
      </c>
      <c r="I4107">
        <v>299</v>
      </c>
      <c r="J4107">
        <v>254</v>
      </c>
      <c r="K4107" t="s">
        <v>1092</v>
      </c>
      <c r="L4107">
        <v>508</v>
      </c>
      <c r="M4107" t="s">
        <v>1098</v>
      </c>
      <c r="N4107" t="s">
        <v>1099</v>
      </c>
      <c r="O4107">
        <f>Table1[[#This Row],[Unit_Price]]*Table1[[#This Row],[Quantity]]</f>
        <v>150</v>
      </c>
    </row>
    <row r="4108" spans="1:15" x14ac:dyDescent="0.3">
      <c r="A4108" t="s">
        <v>5930</v>
      </c>
      <c r="B4108" t="s">
        <v>1496</v>
      </c>
      <c r="C4108" t="s">
        <v>673</v>
      </c>
      <c r="D4108" t="s">
        <v>1080</v>
      </c>
      <c r="E4108">
        <v>1</v>
      </c>
      <c r="F4108">
        <f>_xlfn.XLOOKUP(Table1[[#This Row],[ProductID]],Products!A:A,Products!D:D,,0)</f>
        <v>45</v>
      </c>
      <c r="I4108">
        <v>249</v>
      </c>
      <c r="J4108">
        <v>224</v>
      </c>
      <c r="K4108" t="s">
        <v>1107</v>
      </c>
      <c r="L4108">
        <v>224</v>
      </c>
      <c r="M4108" t="s">
        <v>1098</v>
      </c>
      <c r="N4108" t="s">
        <v>1099</v>
      </c>
      <c r="O4108">
        <f>Table1[[#This Row],[Unit_Price]]*Table1[[#This Row],[Quantity]]</f>
        <v>45</v>
      </c>
    </row>
    <row r="4109" spans="1:15" x14ac:dyDescent="0.3">
      <c r="A4109" t="s">
        <v>5931</v>
      </c>
      <c r="B4109" t="s">
        <v>3737</v>
      </c>
      <c r="C4109" t="s">
        <v>421</v>
      </c>
      <c r="D4109" t="s">
        <v>1055</v>
      </c>
      <c r="E4109">
        <v>1</v>
      </c>
      <c r="F4109">
        <f>_xlfn.XLOOKUP(Table1[[#This Row],[ProductID]],Products!A:A,Products!D:D,,0)</f>
        <v>75</v>
      </c>
      <c r="I4109">
        <v>299</v>
      </c>
      <c r="J4109">
        <v>254</v>
      </c>
      <c r="K4109" t="s">
        <v>1092</v>
      </c>
      <c r="L4109">
        <v>254</v>
      </c>
      <c r="M4109" t="s">
        <v>1093</v>
      </c>
      <c r="N4109" t="s">
        <v>1099</v>
      </c>
      <c r="O4109">
        <f>Table1[[#This Row],[Unit_Price]]*Table1[[#This Row],[Quantity]]</f>
        <v>75</v>
      </c>
    </row>
    <row r="4110" spans="1:15" x14ac:dyDescent="0.3">
      <c r="A4110" t="s">
        <v>5932</v>
      </c>
      <c r="B4110" t="s">
        <v>3944</v>
      </c>
      <c r="C4110" t="s">
        <v>99</v>
      </c>
      <c r="D4110" t="s">
        <v>1073</v>
      </c>
      <c r="E4110">
        <v>4</v>
      </c>
      <c r="F4110">
        <f>_xlfn.XLOOKUP(Table1[[#This Row],[ProductID]],Products!A:A,Products!D:D,,0)</f>
        <v>100</v>
      </c>
      <c r="I4110">
        <v>349</v>
      </c>
      <c r="J4110">
        <v>297</v>
      </c>
      <c r="K4110" t="s">
        <v>1092</v>
      </c>
      <c r="L4110">
        <v>1188</v>
      </c>
      <c r="M4110" t="s">
        <v>1093</v>
      </c>
      <c r="N4110" t="s">
        <v>1099</v>
      </c>
      <c r="O4110">
        <f>Table1[[#This Row],[Unit_Price]]*Table1[[#This Row],[Quantity]]</f>
        <v>400</v>
      </c>
    </row>
    <row r="4111" spans="1:15" x14ac:dyDescent="0.3">
      <c r="A4111" t="s">
        <v>5933</v>
      </c>
      <c r="B4111" t="s">
        <v>2819</v>
      </c>
      <c r="C4111" t="s">
        <v>375</v>
      </c>
      <c r="D4111" t="s">
        <v>1048</v>
      </c>
      <c r="E4111">
        <v>2</v>
      </c>
      <c r="F4111">
        <f>_xlfn.XLOOKUP(Table1[[#This Row],[ProductID]],Products!A:A,Products!D:D,,0)</f>
        <v>120</v>
      </c>
      <c r="I4111">
        <v>599</v>
      </c>
      <c r="J4111">
        <v>509</v>
      </c>
      <c r="K4111" t="s">
        <v>1092</v>
      </c>
      <c r="L4111">
        <v>1018</v>
      </c>
      <c r="M4111" t="s">
        <v>1093</v>
      </c>
      <c r="N4111" t="s">
        <v>1099</v>
      </c>
      <c r="O4111">
        <f>Table1[[#This Row],[Unit_Price]]*Table1[[#This Row],[Quantity]]</f>
        <v>240</v>
      </c>
    </row>
    <row r="4112" spans="1:15" x14ac:dyDescent="0.3">
      <c r="A4112" t="s">
        <v>5934</v>
      </c>
      <c r="B4112" t="s">
        <v>2190</v>
      </c>
      <c r="C4112" t="s">
        <v>1029</v>
      </c>
      <c r="D4112" t="s">
        <v>1048</v>
      </c>
      <c r="E4112">
        <v>3</v>
      </c>
      <c r="F4112">
        <f>_xlfn.XLOOKUP(Table1[[#This Row],[ProductID]],Products!A:A,Products!D:D,,0)</f>
        <v>120</v>
      </c>
      <c r="I4112">
        <v>599</v>
      </c>
      <c r="J4112">
        <v>539</v>
      </c>
      <c r="K4112" t="s">
        <v>1107</v>
      </c>
      <c r="L4112">
        <v>1617</v>
      </c>
      <c r="M4112" t="s">
        <v>1098</v>
      </c>
      <c r="N4112" t="s">
        <v>1099</v>
      </c>
      <c r="O4112">
        <f>Table1[[#This Row],[Unit_Price]]*Table1[[#This Row],[Quantity]]</f>
        <v>360</v>
      </c>
    </row>
    <row r="4113" spans="1:15" x14ac:dyDescent="0.3">
      <c r="A4113" t="s">
        <v>5935</v>
      </c>
      <c r="B4113" t="s">
        <v>2254</v>
      </c>
      <c r="C4113" t="s">
        <v>581</v>
      </c>
      <c r="D4113" t="s">
        <v>1075</v>
      </c>
      <c r="E4113">
        <v>1</v>
      </c>
      <c r="F4113">
        <f>_xlfn.XLOOKUP(Table1[[#This Row],[ProductID]],Products!A:A,Products!D:D,,0)</f>
        <v>80</v>
      </c>
      <c r="I4113">
        <v>499</v>
      </c>
      <c r="J4113">
        <v>399</v>
      </c>
      <c r="K4113" t="s">
        <v>1097</v>
      </c>
      <c r="L4113">
        <v>399</v>
      </c>
      <c r="M4113" t="s">
        <v>1126</v>
      </c>
      <c r="N4113" t="s">
        <v>1099</v>
      </c>
      <c r="O4113">
        <f>Table1[[#This Row],[Unit_Price]]*Table1[[#This Row],[Quantity]]</f>
        <v>80</v>
      </c>
    </row>
    <row r="4114" spans="1:15" x14ac:dyDescent="0.3">
      <c r="A4114" t="s">
        <v>5936</v>
      </c>
      <c r="B4114" t="s">
        <v>1933</v>
      </c>
      <c r="C4114" t="s">
        <v>671</v>
      </c>
      <c r="D4114" t="s">
        <v>1066</v>
      </c>
      <c r="E4114">
        <v>2</v>
      </c>
      <c r="F4114">
        <f>_xlfn.XLOOKUP(Table1[[#This Row],[ProductID]],Products!A:A,Products!D:D,,0)</f>
        <v>140</v>
      </c>
      <c r="I4114">
        <v>499</v>
      </c>
      <c r="J4114">
        <v>499</v>
      </c>
      <c r="K4114" t="s">
        <v>1102</v>
      </c>
      <c r="L4114">
        <v>998</v>
      </c>
      <c r="M4114" t="s">
        <v>1098</v>
      </c>
      <c r="N4114" t="s">
        <v>1099</v>
      </c>
      <c r="O4114">
        <f>Table1[[#This Row],[Unit_Price]]*Table1[[#This Row],[Quantity]]</f>
        <v>280</v>
      </c>
    </row>
    <row r="4115" spans="1:15" x14ac:dyDescent="0.3">
      <c r="A4115" t="s">
        <v>5937</v>
      </c>
      <c r="B4115" t="s">
        <v>1355</v>
      </c>
      <c r="C4115" t="s">
        <v>793</v>
      </c>
      <c r="D4115" t="s">
        <v>1066</v>
      </c>
      <c r="E4115">
        <v>3</v>
      </c>
      <c r="F4115">
        <f>_xlfn.XLOOKUP(Table1[[#This Row],[ProductID]],Products!A:A,Products!D:D,,0)</f>
        <v>140</v>
      </c>
      <c r="I4115">
        <v>499</v>
      </c>
      <c r="J4115">
        <v>499</v>
      </c>
      <c r="K4115" t="s">
        <v>1102</v>
      </c>
      <c r="L4115">
        <v>1497</v>
      </c>
      <c r="M4115" t="s">
        <v>1093</v>
      </c>
      <c r="N4115" t="s">
        <v>1094</v>
      </c>
      <c r="O4115">
        <f>Table1[[#This Row],[Unit_Price]]*Table1[[#This Row],[Quantity]]</f>
        <v>420</v>
      </c>
    </row>
    <row r="4116" spans="1:15" x14ac:dyDescent="0.3">
      <c r="A4116" t="s">
        <v>5938</v>
      </c>
      <c r="B4116" t="s">
        <v>1106</v>
      </c>
      <c r="C4116" t="s">
        <v>373</v>
      </c>
      <c r="D4116" t="s">
        <v>1048</v>
      </c>
      <c r="E4116">
        <v>4</v>
      </c>
      <c r="F4116">
        <f>_xlfn.XLOOKUP(Table1[[#This Row],[ProductID]],Products!A:A,Products!D:D,,0)</f>
        <v>120</v>
      </c>
      <c r="I4116">
        <v>599</v>
      </c>
      <c r="J4116">
        <v>539</v>
      </c>
      <c r="K4116" t="s">
        <v>1107</v>
      </c>
      <c r="L4116">
        <v>2156</v>
      </c>
      <c r="M4116" t="s">
        <v>1126</v>
      </c>
      <c r="N4116" t="s">
        <v>1099</v>
      </c>
      <c r="O4116">
        <f>Table1[[#This Row],[Unit_Price]]*Table1[[#This Row],[Quantity]]</f>
        <v>480</v>
      </c>
    </row>
    <row r="4117" spans="1:15" x14ac:dyDescent="0.3">
      <c r="A4117" t="s">
        <v>5939</v>
      </c>
      <c r="B4117" t="s">
        <v>1895</v>
      </c>
      <c r="C4117" t="s">
        <v>869</v>
      </c>
      <c r="D4117" t="s">
        <v>1059</v>
      </c>
      <c r="E4117">
        <v>2</v>
      </c>
      <c r="F4117">
        <f>_xlfn.XLOOKUP(Table1[[#This Row],[ProductID]],Products!A:A,Products!D:D,,0)</f>
        <v>110</v>
      </c>
      <c r="I4117">
        <v>399</v>
      </c>
      <c r="J4117">
        <v>399</v>
      </c>
      <c r="K4117" t="s">
        <v>1102</v>
      </c>
      <c r="L4117">
        <v>798</v>
      </c>
      <c r="M4117" t="s">
        <v>1093</v>
      </c>
      <c r="N4117" t="s">
        <v>1099</v>
      </c>
      <c r="O4117">
        <f>Table1[[#This Row],[Unit_Price]]*Table1[[#This Row],[Quantity]]</f>
        <v>220</v>
      </c>
    </row>
    <row r="4118" spans="1:15" x14ac:dyDescent="0.3">
      <c r="A4118" t="s">
        <v>5940</v>
      </c>
      <c r="B4118" t="s">
        <v>2245</v>
      </c>
      <c r="C4118" t="s">
        <v>487</v>
      </c>
      <c r="D4118" t="s">
        <v>1048</v>
      </c>
      <c r="E4118">
        <v>2</v>
      </c>
      <c r="F4118">
        <f>_xlfn.XLOOKUP(Table1[[#This Row],[ProductID]],Products!A:A,Products!D:D,,0)</f>
        <v>120</v>
      </c>
      <c r="I4118">
        <v>599</v>
      </c>
      <c r="J4118">
        <v>599</v>
      </c>
      <c r="K4118" t="s">
        <v>1102</v>
      </c>
      <c r="L4118">
        <v>1198</v>
      </c>
      <c r="M4118" t="s">
        <v>1098</v>
      </c>
      <c r="N4118" t="s">
        <v>1099</v>
      </c>
      <c r="O4118">
        <f>Table1[[#This Row],[Unit_Price]]*Table1[[#This Row],[Quantity]]</f>
        <v>240</v>
      </c>
    </row>
    <row r="4119" spans="1:15" x14ac:dyDescent="0.3">
      <c r="A4119" t="s">
        <v>5941</v>
      </c>
      <c r="B4119" t="s">
        <v>1595</v>
      </c>
      <c r="C4119" t="s">
        <v>825</v>
      </c>
      <c r="D4119" t="s">
        <v>1071</v>
      </c>
      <c r="E4119">
        <v>3</v>
      </c>
      <c r="F4119">
        <f>_xlfn.XLOOKUP(Table1[[#This Row],[ProductID]],Products!A:A,Products!D:D,,0)</f>
        <v>125</v>
      </c>
      <c r="I4119">
        <v>399</v>
      </c>
      <c r="J4119">
        <v>339</v>
      </c>
      <c r="K4119" t="s">
        <v>1092</v>
      </c>
      <c r="L4119">
        <v>1017</v>
      </c>
      <c r="M4119" t="s">
        <v>1098</v>
      </c>
      <c r="N4119" t="s">
        <v>1099</v>
      </c>
      <c r="O4119">
        <f>Table1[[#This Row],[Unit_Price]]*Table1[[#This Row],[Quantity]]</f>
        <v>375</v>
      </c>
    </row>
    <row r="4120" spans="1:15" x14ac:dyDescent="0.3">
      <c r="A4120" t="s">
        <v>5942</v>
      </c>
      <c r="B4120" t="s">
        <v>3032</v>
      </c>
      <c r="C4120" t="s">
        <v>491</v>
      </c>
      <c r="D4120" t="s">
        <v>1066</v>
      </c>
      <c r="E4120">
        <v>4</v>
      </c>
      <c r="F4120">
        <f>_xlfn.XLOOKUP(Table1[[#This Row],[ProductID]],Products!A:A,Products!D:D,,0)</f>
        <v>140</v>
      </c>
      <c r="I4120">
        <v>499</v>
      </c>
      <c r="J4120">
        <v>399</v>
      </c>
      <c r="K4120" t="s">
        <v>1097</v>
      </c>
      <c r="L4120">
        <v>1596</v>
      </c>
      <c r="M4120" t="s">
        <v>1098</v>
      </c>
      <c r="N4120" t="s">
        <v>1099</v>
      </c>
      <c r="O4120">
        <f>Table1[[#This Row],[Unit_Price]]*Table1[[#This Row],[Quantity]]</f>
        <v>560</v>
      </c>
    </row>
    <row r="4121" spans="1:15" x14ac:dyDescent="0.3">
      <c r="A4121" t="s">
        <v>5943</v>
      </c>
      <c r="B4121" t="s">
        <v>3930</v>
      </c>
      <c r="C4121" t="s">
        <v>865</v>
      </c>
      <c r="D4121" t="s">
        <v>1075</v>
      </c>
      <c r="E4121">
        <v>2</v>
      </c>
      <c r="F4121">
        <f>_xlfn.XLOOKUP(Table1[[#This Row],[ProductID]],Products!A:A,Products!D:D,,0)</f>
        <v>80</v>
      </c>
      <c r="I4121">
        <v>499</v>
      </c>
      <c r="J4121">
        <v>399</v>
      </c>
      <c r="K4121" t="s">
        <v>1097</v>
      </c>
      <c r="L4121">
        <v>798</v>
      </c>
      <c r="M4121" t="s">
        <v>1126</v>
      </c>
      <c r="N4121" t="s">
        <v>1099</v>
      </c>
      <c r="O4121">
        <f>Table1[[#This Row],[Unit_Price]]*Table1[[#This Row],[Quantity]]</f>
        <v>160</v>
      </c>
    </row>
    <row r="4122" spans="1:15" x14ac:dyDescent="0.3">
      <c r="A4122" t="s">
        <v>5944</v>
      </c>
      <c r="B4122" t="s">
        <v>1138</v>
      </c>
      <c r="C4122" t="s">
        <v>383</v>
      </c>
      <c r="D4122" t="s">
        <v>1068</v>
      </c>
      <c r="E4122">
        <v>1</v>
      </c>
      <c r="F4122">
        <f>_xlfn.XLOOKUP(Table1[[#This Row],[ProductID]],Products!A:A,Products!D:D,,0)</f>
        <v>180</v>
      </c>
      <c r="I4122">
        <v>449</v>
      </c>
      <c r="J4122">
        <v>449</v>
      </c>
      <c r="K4122" t="s">
        <v>1102</v>
      </c>
      <c r="L4122">
        <v>449</v>
      </c>
      <c r="M4122" t="s">
        <v>1093</v>
      </c>
      <c r="N4122" t="s">
        <v>1099</v>
      </c>
      <c r="O4122">
        <f>Table1[[#This Row],[Unit_Price]]*Table1[[#This Row],[Quantity]]</f>
        <v>180</v>
      </c>
    </row>
    <row r="4123" spans="1:15" x14ac:dyDescent="0.3">
      <c r="A4123" t="s">
        <v>5945</v>
      </c>
      <c r="B4123" t="s">
        <v>2012</v>
      </c>
      <c r="C4123" t="s">
        <v>167</v>
      </c>
      <c r="D4123" t="s">
        <v>1075</v>
      </c>
      <c r="E4123">
        <v>1</v>
      </c>
      <c r="F4123">
        <f>_xlfn.XLOOKUP(Table1[[#This Row],[ProductID]],Products!A:A,Products!D:D,,0)</f>
        <v>80</v>
      </c>
      <c r="I4123">
        <v>499</v>
      </c>
      <c r="J4123">
        <v>424</v>
      </c>
      <c r="K4123" t="s">
        <v>1092</v>
      </c>
      <c r="L4123">
        <v>424</v>
      </c>
      <c r="M4123" t="s">
        <v>1098</v>
      </c>
      <c r="N4123" t="s">
        <v>1099</v>
      </c>
      <c r="O4123">
        <f>Table1[[#This Row],[Unit_Price]]*Table1[[#This Row],[Quantity]]</f>
        <v>80</v>
      </c>
    </row>
    <row r="4124" spans="1:15" x14ac:dyDescent="0.3">
      <c r="A4124" t="s">
        <v>5946</v>
      </c>
      <c r="B4124" t="s">
        <v>1865</v>
      </c>
      <c r="C4124" t="s">
        <v>983</v>
      </c>
      <c r="D4124" t="s">
        <v>1080</v>
      </c>
      <c r="E4124">
        <v>3</v>
      </c>
      <c r="F4124">
        <f>_xlfn.XLOOKUP(Table1[[#This Row],[ProductID]],Products!A:A,Products!D:D,,0)</f>
        <v>45</v>
      </c>
      <c r="I4124">
        <v>249</v>
      </c>
      <c r="J4124">
        <v>224</v>
      </c>
      <c r="K4124" t="s">
        <v>1107</v>
      </c>
      <c r="L4124">
        <v>672</v>
      </c>
      <c r="M4124" t="s">
        <v>1098</v>
      </c>
      <c r="N4124" t="s">
        <v>1099</v>
      </c>
      <c r="O4124">
        <f>Table1[[#This Row],[Unit_Price]]*Table1[[#This Row],[Quantity]]</f>
        <v>135</v>
      </c>
    </row>
    <row r="4125" spans="1:15" x14ac:dyDescent="0.3">
      <c r="A4125" t="s">
        <v>5947</v>
      </c>
      <c r="B4125" t="s">
        <v>1315</v>
      </c>
      <c r="C4125" t="s">
        <v>195</v>
      </c>
      <c r="D4125" t="s">
        <v>1064</v>
      </c>
      <c r="E4125">
        <v>2</v>
      </c>
      <c r="F4125">
        <f>_xlfn.XLOOKUP(Table1[[#This Row],[ProductID]],Products!A:A,Products!D:D,,0)</f>
        <v>160</v>
      </c>
      <c r="I4125">
        <v>699</v>
      </c>
      <c r="J4125">
        <v>699</v>
      </c>
      <c r="K4125" t="s">
        <v>1102</v>
      </c>
      <c r="L4125">
        <v>1398</v>
      </c>
      <c r="M4125" t="s">
        <v>1093</v>
      </c>
      <c r="N4125" t="s">
        <v>1094</v>
      </c>
      <c r="O4125">
        <f>Table1[[#This Row],[Unit_Price]]*Table1[[#This Row],[Quantity]]</f>
        <v>320</v>
      </c>
    </row>
    <row r="4126" spans="1:15" x14ac:dyDescent="0.3">
      <c r="A4126" t="s">
        <v>5948</v>
      </c>
      <c r="B4126" t="s">
        <v>1872</v>
      </c>
      <c r="C4126" t="s">
        <v>819</v>
      </c>
      <c r="D4126" t="s">
        <v>1075</v>
      </c>
      <c r="E4126">
        <v>1</v>
      </c>
      <c r="F4126">
        <f>_xlfn.XLOOKUP(Table1[[#This Row],[ProductID]],Products!A:A,Products!D:D,,0)</f>
        <v>80</v>
      </c>
      <c r="I4126">
        <v>499</v>
      </c>
      <c r="J4126">
        <v>449</v>
      </c>
      <c r="K4126" t="s">
        <v>1107</v>
      </c>
      <c r="L4126">
        <v>449</v>
      </c>
      <c r="M4126" t="s">
        <v>1093</v>
      </c>
      <c r="N4126" t="s">
        <v>1099</v>
      </c>
      <c r="O4126">
        <f>Table1[[#This Row],[Unit_Price]]*Table1[[#This Row],[Quantity]]</f>
        <v>80</v>
      </c>
    </row>
    <row r="4127" spans="1:15" x14ac:dyDescent="0.3">
      <c r="A4127" t="s">
        <v>5949</v>
      </c>
      <c r="B4127" t="s">
        <v>1929</v>
      </c>
      <c r="C4127" t="s">
        <v>813</v>
      </c>
      <c r="D4127" t="s">
        <v>1062</v>
      </c>
      <c r="E4127">
        <v>1</v>
      </c>
      <c r="F4127">
        <f>_xlfn.XLOOKUP(Table1[[#This Row],[ProductID]],Products!A:A,Products!D:D,,0)</f>
        <v>95</v>
      </c>
      <c r="I4127">
        <v>349</v>
      </c>
      <c r="J4127">
        <v>349</v>
      </c>
      <c r="K4127" t="s">
        <v>1102</v>
      </c>
      <c r="L4127">
        <v>349</v>
      </c>
      <c r="M4127" t="s">
        <v>1098</v>
      </c>
      <c r="N4127" t="s">
        <v>1094</v>
      </c>
      <c r="O4127">
        <f>Table1[[#This Row],[Unit_Price]]*Table1[[#This Row],[Quantity]]</f>
        <v>95</v>
      </c>
    </row>
    <row r="4128" spans="1:15" x14ac:dyDescent="0.3">
      <c r="A4128" t="s">
        <v>5950</v>
      </c>
      <c r="B4128" t="s">
        <v>1394</v>
      </c>
      <c r="C4128" t="s">
        <v>887</v>
      </c>
      <c r="D4128" t="s">
        <v>1073</v>
      </c>
      <c r="E4128">
        <v>2</v>
      </c>
      <c r="F4128">
        <f>_xlfn.XLOOKUP(Table1[[#This Row],[ProductID]],Products!A:A,Products!D:D,,0)</f>
        <v>100</v>
      </c>
      <c r="I4128">
        <v>349</v>
      </c>
      <c r="J4128">
        <v>314</v>
      </c>
      <c r="K4128" t="s">
        <v>1107</v>
      </c>
      <c r="L4128">
        <v>628</v>
      </c>
      <c r="M4128" t="s">
        <v>1093</v>
      </c>
      <c r="N4128" t="s">
        <v>1099</v>
      </c>
      <c r="O4128">
        <f>Table1[[#This Row],[Unit_Price]]*Table1[[#This Row],[Quantity]]</f>
        <v>200</v>
      </c>
    </row>
    <row r="4129" spans="1:15" x14ac:dyDescent="0.3">
      <c r="A4129" t="s">
        <v>5951</v>
      </c>
      <c r="B4129" t="s">
        <v>2778</v>
      </c>
      <c r="C4129" t="s">
        <v>937</v>
      </c>
      <c r="D4129" t="s">
        <v>1078</v>
      </c>
      <c r="E4129">
        <v>1</v>
      </c>
      <c r="F4129">
        <f>_xlfn.XLOOKUP(Table1[[#This Row],[ProductID]],Products!A:A,Products!D:D,,0)</f>
        <v>80</v>
      </c>
      <c r="I4129">
        <v>499</v>
      </c>
      <c r="J4129">
        <v>399</v>
      </c>
      <c r="K4129" t="s">
        <v>1097</v>
      </c>
      <c r="L4129">
        <v>399</v>
      </c>
      <c r="M4129" t="s">
        <v>1098</v>
      </c>
      <c r="N4129" t="s">
        <v>1099</v>
      </c>
      <c r="O4129">
        <f>Table1[[#This Row],[Unit_Price]]*Table1[[#This Row],[Quantity]]</f>
        <v>80</v>
      </c>
    </row>
    <row r="4130" spans="1:15" x14ac:dyDescent="0.3">
      <c r="A4130" t="s">
        <v>5952</v>
      </c>
      <c r="B4130" t="s">
        <v>2132</v>
      </c>
      <c r="C4130" t="s">
        <v>1025</v>
      </c>
      <c r="D4130" t="s">
        <v>1051</v>
      </c>
      <c r="E4130">
        <v>1</v>
      </c>
      <c r="F4130">
        <f>_xlfn.XLOOKUP(Table1[[#This Row],[ProductID]],Products!A:A,Products!D:D,,0)</f>
        <v>150</v>
      </c>
      <c r="I4130">
        <v>499</v>
      </c>
      <c r="J4130">
        <v>449</v>
      </c>
      <c r="K4130" t="s">
        <v>1107</v>
      </c>
      <c r="L4130">
        <v>449</v>
      </c>
      <c r="M4130" t="s">
        <v>1126</v>
      </c>
      <c r="N4130" t="s">
        <v>1099</v>
      </c>
      <c r="O4130">
        <f>Table1[[#This Row],[Unit_Price]]*Table1[[#This Row],[Quantity]]</f>
        <v>150</v>
      </c>
    </row>
    <row r="4131" spans="1:15" x14ac:dyDescent="0.3">
      <c r="A4131" t="s">
        <v>5953</v>
      </c>
      <c r="B4131" t="s">
        <v>1500</v>
      </c>
      <c r="C4131" t="s">
        <v>569</v>
      </c>
      <c r="D4131" t="s">
        <v>1064</v>
      </c>
      <c r="E4131">
        <v>1</v>
      </c>
      <c r="F4131">
        <f>_xlfn.XLOOKUP(Table1[[#This Row],[ProductID]],Products!A:A,Products!D:D,,0)</f>
        <v>160</v>
      </c>
      <c r="I4131">
        <v>699</v>
      </c>
      <c r="J4131">
        <v>699</v>
      </c>
      <c r="K4131" t="s">
        <v>1102</v>
      </c>
      <c r="L4131">
        <v>699</v>
      </c>
      <c r="M4131" t="s">
        <v>1098</v>
      </c>
      <c r="N4131" t="s">
        <v>1099</v>
      </c>
      <c r="O4131">
        <f>Table1[[#This Row],[Unit_Price]]*Table1[[#This Row],[Quantity]]</f>
        <v>160</v>
      </c>
    </row>
    <row r="4132" spans="1:15" x14ac:dyDescent="0.3">
      <c r="A4132" t="s">
        <v>5954</v>
      </c>
      <c r="B4132" t="s">
        <v>1170</v>
      </c>
      <c r="C4132" t="s">
        <v>1029</v>
      </c>
      <c r="D4132" t="s">
        <v>1055</v>
      </c>
      <c r="E4132">
        <v>3</v>
      </c>
      <c r="F4132">
        <f>_xlfn.XLOOKUP(Table1[[#This Row],[ProductID]],Products!A:A,Products!D:D,,0)</f>
        <v>75</v>
      </c>
      <c r="I4132">
        <v>299</v>
      </c>
      <c r="J4132">
        <v>254</v>
      </c>
      <c r="K4132" t="s">
        <v>1092</v>
      </c>
      <c r="L4132">
        <v>762</v>
      </c>
      <c r="M4132" t="s">
        <v>1118</v>
      </c>
      <c r="N4132" t="s">
        <v>1099</v>
      </c>
      <c r="O4132">
        <f>Table1[[#This Row],[Unit_Price]]*Table1[[#This Row],[Quantity]]</f>
        <v>225</v>
      </c>
    </row>
    <row r="4133" spans="1:15" x14ac:dyDescent="0.3">
      <c r="A4133" t="s">
        <v>5955</v>
      </c>
      <c r="B4133" t="s">
        <v>1911</v>
      </c>
      <c r="C4133" t="s">
        <v>457</v>
      </c>
      <c r="D4133" t="s">
        <v>1062</v>
      </c>
      <c r="E4133">
        <v>1</v>
      </c>
      <c r="F4133">
        <f>_xlfn.XLOOKUP(Table1[[#This Row],[ProductID]],Products!A:A,Products!D:D,,0)</f>
        <v>95</v>
      </c>
      <c r="I4133">
        <v>349</v>
      </c>
      <c r="J4133">
        <v>349</v>
      </c>
      <c r="K4133" t="s">
        <v>1102</v>
      </c>
      <c r="L4133">
        <v>349</v>
      </c>
      <c r="M4133" t="s">
        <v>1126</v>
      </c>
      <c r="N4133" t="s">
        <v>1099</v>
      </c>
      <c r="O4133">
        <f>Table1[[#This Row],[Unit_Price]]*Table1[[#This Row],[Quantity]]</f>
        <v>95</v>
      </c>
    </row>
    <row r="4134" spans="1:15" x14ac:dyDescent="0.3">
      <c r="A4134" t="s">
        <v>5956</v>
      </c>
      <c r="B4134" t="s">
        <v>1799</v>
      </c>
      <c r="C4134" t="s">
        <v>138</v>
      </c>
      <c r="D4134" t="s">
        <v>1055</v>
      </c>
      <c r="E4134">
        <v>1</v>
      </c>
      <c r="F4134">
        <f>_xlfn.XLOOKUP(Table1[[#This Row],[ProductID]],Products!A:A,Products!D:D,,0)</f>
        <v>75</v>
      </c>
      <c r="I4134">
        <v>299</v>
      </c>
      <c r="J4134">
        <v>299</v>
      </c>
      <c r="K4134" t="s">
        <v>1102</v>
      </c>
      <c r="L4134">
        <v>299</v>
      </c>
      <c r="M4134" t="s">
        <v>1098</v>
      </c>
      <c r="N4134" t="s">
        <v>1099</v>
      </c>
      <c r="O4134">
        <f>Table1[[#This Row],[Unit_Price]]*Table1[[#This Row],[Quantity]]</f>
        <v>75</v>
      </c>
    </row>
    <row r="4135" spans="1:15" x14ac:dyDescent="0.3">
      <c r="A4135" t="s">
        <v>5957</v>
      </c>
      <c r="B4135" t="s">
        <v>1561</v>
      </c>
      <c r="C4135" t="s">
        <v>903</v>
      </c>
      <c r="D4135" t="s">
        <v>1075</v>
      </c>
      <c r="E4135">
        <v>2</v>
      </c>
      <c r="F4135">
        <f>_xlfn.XLOOKUP(Table1[[#This Row],[ProductID]],Products!A:A,Products!D:D,,0)</f>
        <v>80</v>
      </c>
      <c r="I4135">
        <v>499</v>
      </c>
      <c r="J4135">
        <v>499</v>
      </c>
      <c r="K4135" t="s">
        <v>1102</v>
      </c>
      <c r="L4135">
        <v>998</v>
      </c>
      <c r="M4135" t="s">
        <v>1093</v>
      </c>
      <c r="N4135" t="s">
        <v>1099</v>
      </c>
      <c r="O4135">
        <f>Table1[[#This Row],[Unit_Price]]*Table1[[#This Row],[Quantity]]</f>
        <v>160</v>
      </c>
    </row>
    <row r="4136" spans="1:15" x14ac:dyDescent="0.3">
      <c r="A4136" t="s">
        <v>5958</v>
      </c>
      <c r="B4136" t="s">
        <v>1240</v>
      </c>
      <c r="C4136" t="s">
        <v>243</v>
      </c>
      <c r="D4136" t="s">
        <v>1059</v>
      </c>
      <c r="E4136">
        <v>2</v>
      </c>
      <c r="F4136">
        <f>_xlfn.XLOOKUP(Table1[[#This Row],[ProductID]],Products!A:A,Products!D:D,,0)</f>
        <v>110</v>
      </c>
      <c r="I4136">
        <v>399</v>
      </c>
      <c r="J4136">
        <v>399</v>
      </c>
      <c r="K4136" t="s">
        <v>1102</v>
      </c>
      <c r="L4136">
        <v>798</v>
      </c>
      <c r="M4136" t="s">
        <v>1093</v>
      </c>
      <c r="N4136" t="s">
        <v>1094</v>
      </c>
      <c r="O4136">
        <f>Table1[[#This Row],[Unit_Price]]*Table1[[#This Row],[Quantity]]</f>
        <v>220</v>
      </c>
    </row>
    <row r="4137" spans="1:15" x14ac:dyDescent="0.3">
      <c r="A4137" t="s">
        <v>5959</v>
      </c>
      <c r="B4137" t="s">
        <v>1830</v>
      </c>
      <c r="C4137" t="s">
        <v>421</v>
      </c>
      <c r="D4137" t="s">
        <v>1051</v>
      </c>
      <c r="E4137">
        <v>2</v>
      </c>
      <c r="F4137">
        <f>_xlfn.XLOOKUP(Table1[[#This Row],[ProductID]],Products!A:A,Products!D:D,,0)</f>
        <v>150</v>
      </c>
      <c r="I4137">
        <v>499</v>
      </c>
      <c r="J4137">
        <v>499</v>
      </c>
      <c r="K4137" t="s">
        <v>1102</v>
      </c>
      <c r="L4137">
        <v>998</v>
      </c>
      <c r="M4137" t="s">
        <v>1098</v>
      </c>
      <c r="N4137" t="s">
        <v>1099</v>
      </c>
      <c r="O4137">
        <f>Table1[[#This Row],[Unit_Price]]*Table1[[#This Row],[Quantity]]</f>
        <v>300</v>
      </c>
    </row>
    <row r="4138" spans="1:15" x14ac:dyDescent="0.3">
      <c r="A4138" t="s">
        <v>5960</v>
      </c>
      <c r="B4138" t="s">
        <v>1152</v>
      </c>
      <c r="C4138" t="s">
        <v>126</v>
      </c>
      <c r="D4138" t="s">
        <v>1062</v>
      </c>
      <c r="E4138">
        <v>1</v>
      </c>
      <c r="F4138">
        <f>_xlfn.XLOOKUP(Table1[[#This Row],[ProductID]],Products!A:A,Products!D:D,,0)</f>
        <v>95</v>
      </c>
      <c r="I4138">
        <v>349</v>
      </c>
      <c r="J4138">
        <v>314</v>
      </c>
      <c r="K4138" t="s">
        <v>1107</v>
      </c>
      <c r="L4138">
        <v>314</v>
      </c>
      <c r="M4138" t="s">
        <v>1098</v>
      </c>
      <c r="N4138" t="s">
        <v>1099</v>
      </c>
      <c r="O4138">
        <f>Table1[[#This Row],[Unit_Price]]*Table1[[#This Row],[Quantity]]</f>
        <v>95</v>
      </c>
    </row>
    <row r="4139" spans="1:15" x14ac:dyDescent="0.3">
      <c r="A4139" t="s">
        <v>5961</v>
      </c>
      <c r="B4139" t="s">
        <v>1178</v>
      </c>
      <c r="C4139" t="s">
        <v>42</v>
      </c>
      <c r="D4139" t="s">
        <v>1073</v>
      </c>
      <c r="E4139">
        <v>3</v>
      </c>
      <c r="F4139">
        <f>_xlfn.XLOOKUP(Table1[[#This Row],[ProductID]],Products!A:A,Products!D:D,,0)</f>
        <v>100</v>
      </c>
      <c r="I4139">
        <v>349</v>
      </c>
      <c r="J4139">
        <v>314</v>
      </c>
      <c r="K4139" t="s">
        <v>1107</v>
      </c>
      <c r="L4139">
        <v>942</v>
      </c>
      <c r="M4139" t="s">
        <v>1098</v>
      </c>
      <c r="N4139" t="s">
        <v>1099</v>
      </c>
      <c r="O4139">
        <f>Table1[[#This Row],[Unit_Price]]*Table1[[#This Row],[Quantity]]</f>
        <v>300</v>
      </c>
    </row>
    <row r="4140" spans="1:15" x14ac:dyDescent="0.3">
      <c r="A4140" t="s">
        <v>5962</v>
      </c>
      <c r="B4140" t="s">
        <v>3470</v>
      </c>
      <c r="C4140" t="s">
        <v>805</v>
      </c>
      <c r="D4140" t="s">
        <v>1080</v>
      </c>
      <c r="E4140">
        <v>1</v>
      </c>
      <c r="F4140">
        <f>_xlfn.XLOOKUP(Table1[[#This Row],[ProductID]],Products!A:A,Products!D:D,,0)</f>
        <v>45</v>
      </c>
      <c r="I4140">
        <v>249</v>
      </c>
      <c r="J4140">
        <v>249</v>
      </c>
      <c r="K4140" t="s">
        <v>1102</v>
      </c>
      <c r="L4140">
        <v>249</v>
      </c>
      <c r="M4140" t="s">
        <v>1093</v>
      </c>
      <c r="N4140" t="s">
        <v>1099</v>
      </c>
      <c r="O4140">
        <f>Table1[[#This Row],[Unit_Price]]*Table1[[#This Row],[Quantity]]</f>
        <v>45</v>
      </c>
    </row>
    <row r="4141" spans="1:15" x14ac:dyDescent="0.3">
      <c r="A4141" t="s">
        <v>5963</v>
      </c>
      <c r="B4141" t="s">
        <v>3030</v>
      </c>
      <c r="C4141" t="s">
        <v>657</v>
      </c>
      <c r="D4141" t="s">
        <v>1051</v>
      </c>
      <c r="E4141">
        <v>1</v>
      </c>
      <c r="F4141">
        <f>_xlfn.XLOOKUP(Table1[[#This Row],[ProductID]],Products!A:A,Products!D:D,,0)</f>
        <v>150</v>
      </c>
      <c r="I4141">
        <v>499</v>
      </c>
      <c r="J4141">
        <v>424</v>
      </c>
      <c r="K4141" t="s">
        <v>1092</v>
      </c>
      <c r="L4141">
        <v>424</v>
      </c>
      <c r="M4141" t="s">
        <v>1098</v>
      </c>
      <c r="N4141" t="s">
        <v>1099</v>
      </c>
      <c r="O4141">
        <f>Table1[[#This Row],[Unit_Price]]*Table1[[#This Row],[Quantity]]</f>
        <v>150</v>
      </c>
    </row>
    <row r="4142" spans="1:15" x14ac:dyDescent="0.3">
      <c r="A4142" t="s">
        <v>5964</v>
      </c>
      <c r="B4142" t="s">
        <v>1763</v>
      </c>
      <c r="C4142" t="s">
        <v>124</v>
      </c>
      <c r="D4142" t="s">
        <v>1073</v>
      </c>
      <c r="E4142">
        <v>1</v>
      </c>
      <c r="F4142">
        <f>_xlfn.XLOOKUP(Table1[[#This Row],[ProductID]],Products!A:A,Products!D:D,,0)</f>
        <v>100</v>
      </c>
      <c r="I4142">
        <v>349</v>
      </c>
      <c r="J4142">
        <v>314</v>
      </c>
      <c r="K4142" t="s">
        <v>1107</v>
      </c>
      <c r="L4142">
        <v>314</v>
      </c>
      <c r="M4142" t="s">
        <v>1098</v>
      </c>
      <c r="N4142" t="s">
        <v>1099</v>
      </c>
      <c r="O4142">
        <f>Table1[[#This Row],[Unit_Price]]*Table1[[#This Row],[Quantity]]</f>
        <v>100</v>
      </c>
    </row>
    <row r="4143" spans="1:15" x14ac:dyDescent="0.3">
      <c r="A4143" t="s">
        <v>5965</v>
      </c>
      <c r="B4143" t="s">
        <v>2555</v>
      </c>
      <c r="C4143" t="s">
        <v>657</v>
      </c>
      <c r="D4143" t="s">
        <v>1075</v>
      </c>
      <c r="E4143">
        <v>1</v>
      </c>
      <c r="F4143">
        <f>_xlfn.XLOOKUP(Table1[[#This Row],[ProductID]],Products!A:A,Products!D:D,,0)</f>
        <v>80</v>
      </c>
      <c r="I4143">
        <v>499</v>
      </c>
      <c r="J4143">
        <v>449</v>
      </c>
      <c r="K4143" t="s">
        <v>1107</v>
      </c>
      <c r="L4143">
        <v>449</v>
      </c>
      <c r="M4143" t="s">
        <v>1098</v>
      </c>
      <c r="N4143" t="s">
        <v>1099</v>
      </c>
      <c r="O4143">
        <f>Table1[[#This Row],[Unit_Price]]*Table1[[#This Row],[Quantity]]</f>
        <v>80</v>
      </c>
    </row>
    <row r="4144" spans="1:15" x14ac:dyDescent="0.3">
      <c r="A4144" t="s">
        <v>5966</v>
      </c>
      <c r="B4144" t="s">
        <v>2403</v>
      </c>
      <c r="C4144" t="s">
        <v>861</v>
      </c>
      <c r="D4144" t="s">
        <v>1059</v>
      </c>
      <c r="E4144">
        <v>1</v>
      </c>
      <c r="F4144">
        <f>_xlfn.XLOOKUP(Table1[[#This Row],[ProductID]],Products!A:A,Products!D:D,,0)</f>
        <v>110</v>
      </c>
      <c r="I4144">
        <v>399</v>
      </c>
      <c r="J4144">
        <v>399</v>
      </c>
      <c r="K4144" t="s">
        <v>1102</v>
      </c>
      <c r="L4144">
        <v>399</v>
      </c>
      <c r="M4144" t="s">
        <v>1098</v>
      </c>
      <c r="N4144" t="s">
        <v>1099</v>
      </c>
      <c r="O4144">
        <f>Table1[[#This Row],[Unit_Price]]*Table1[[#This Row],[Quantity]]</f>
        <v>110</v>
      </c>
    </row>
    <row r="4145" spans="1:15" x14ac:dyDescent="0.3">
      <c r="A4145" t="s">
        <v>5967</v>
      </c>
      <c r="B4145" t="s">
        <v>4271</v>
      </c>
      <c r="C4145" t="s">
        <v>65</v>
      </c>
      <c r="D4145" t="s">
        <v>1064</v>
      </c>
      <c r="E4145">
        <v>1</v>
      </c>
      <c r="F4145">
        <f>_xlfn.XLOOKUP(Table1[[#This Row],[ProductID]],Products!A:A,Products!D:D,,0)</f>
        <v>160</v>
      </c>
      <c r="I4145">
        <v>699</v>
      </c>
      <c r="J4145">
        <v>629</v>
      </c>
      <c r="K4145" t="s">
        <v>1107</v>
      </c>
      <c r="L4145">
        <v>629</v>
      </c>
      <c r="M4145" t="s">
        <v>1093</v>
      </c>
      <c r="N4145" t="s">
        <v>1123</v>
      </c>
      <c r="O4145">
        <f>Table1[[#This Row],[Unit_Price]]*Table1[[#This Row],[Quantity]]</f>
        <v>160</v>
      </c>
    </row>
    <row r="4146" spans="1:15" x14ac:dyDescent="0.3">
      <c r="A4146" t="s">
        <v>5968</v>
      </c>
      <c r="B4146" t="s">
        <v>1418</v>
      </c>
      <c r="C4146" t="s">
        <v>647</v>
      </c>
      <c r="D4146" t="s">
        <v>1064</v>
      </c>
      <c r="E4146">
        <v>1</v>
      </c>
      <c r="F4146">
        <f>_xlfn.XLOOKUP(Table1[[#This Row],[ProductID]],Products!A:A,Products!D:D,,0)</f>
        <v>160</v>
      </c>
      <c r="I4146">
        <v>699</v>
      </c>
      <c r="J4146">
        <v>629</v>
      </c>
      <c r="K4146" t="s">
        <v>1107</v>
      </c>
      <c r="L4146">
        <v>629</v>
      </c>
      <c r="M4146" t="s">
        <v>1098</v>
      </c>
      <c r="N4146" t="s">
        <v>1099</v>
      </c>
      <c r="O4146">
        <f>Table1[[#This Row],[Unit_Price]]*Table1[[#This Row],[Quantity]]</f>
        <v>160</v>
      </c>
    </row>
    <row r="4147" spans="1:15" x14ac:dyDescent="0.3">
      <c r="A4147" t="s">
        <v>5969</v>
      </c>
      <c r="B4147" t="s">
        <v>1543</v>
      </c>
      <c r="C4147" t="s">
        <v>999</v>
      </c>
      <c r="D4147" t="s">
        <v>1071</v>
      </c>
      <c r="E4147">
        <v>2</v>
      </c>
      <c r="F4147">
        <f>_xlfn.XLOOKUP(Table1[[#This Row],[ProductID]],Products!A:A,Products!D:D,,0)</f>
        <v>125</v>
      </c>
      <c r="I4147">
        <v>399</v>
      </c>
      <c r="J4147">
        <v>359</v>
      </c>
      <c r="K4147" t="s">
        <v>1107</v>
      </c>
      <c r="L4147">
        <v>718</v>
      </c>
      <c r="M4147" t="s">
        <v>1093</v>
      </c>
      <c r="N4147" t="s">
        <v>1094</v>
      </c>
      <c r="O4147">
        <f>Table1[[#This Row],[Unit_Price]]*Table1[[#This Row],[Quantity]]</f>
        <v>250</v>
      </c>
    </row>
    <row r="4148" spans="1:15" x14ac:dyDescent="0.3">
      <c r="A4148" t="s">
        <v>5970</v>
      </c>
      <c r="B4148" t="s">
        <v>2611</v>
      </c>
      <c r="C4148" t="s">
        <v>881</v>
      </c>
      <c r="D4148" t="s">
        <v>1055</v>
      </c>
      <c r="E4148">
        <v>1</v>
      </c>
      <c r="F4148">
        <f>_xlfn.XLOOKUP(Table1[[#This Row],[ProductID]],Products!A:A,Products!D:D,,0)</f>
        <v>75</v>
      </c>
      <c r="I4148">
        <v>299</v>
      </c>
      <c r="J4148">
        <v>299</v>
      </c>
      <c r="K4148" t="s">
        <v>1102</v>
      </c>
      <c r="L4148">
        <v>299</v>
      </c>
      <c r="M4148" t="s">
        <v>1098</v>
      </c>
      <c r="N4148" t="s">
        <v>1099</v>
      </c>
      <c r="O4148">
        <f>Table1[[#This Row],[Unit_Price]]*Table1[[#This Row],[Quantity]]</f>
        <v>75</v>
      </c>
    </row>
    <row r="4149" spans="1:15" x14ac:dyDescent="0.3">
      <c r="A4149" t="s">
        <v>5971</v>
      </c>
      <c r="B4149" t="s">
        <v>2502</v>
      </c>
      <c r="C4149" t="s">
        <v>673</v>
      </c>
      <c r="D4149" t="s">
        <v>1073</v>
      </c>
      <c r="E4149">
        <v>1</v>
      </c>
      <c r="F4149">
        <f>_xlfn.XLOOKUP(Table1[[#This Row],[ProductID]],Products!A:A,Products!D:D,,0)</f>
        <v>100</v>
      </c>
      <c r="I4149">
        <v>349</v>
      </c>
      <c r="J4149">
        <v>314</v>
      </c>
      <c r="K4149" t="s">
        <v>1107</v>
      </c>
      <c r="L4149">
        <v>314</v>
      </c>
      <c r="M4149" t="s">
        <v>1098</v>
      </c>
      <c r="N4149" t="s">
        <v>1099</v>
      </c>
      <c r="O4149">
        <f>Table1[[#This Row],[Unit_Price]]*Table1[[#This Row],[Quantity]]</f>
        <v>100</v>
      </c>
    </row>
    <row r="4150" spans="1:15" x14ac:dyDescent="0.3">
      <c r="A4150" t="s">
        <v>5972</v>
      </c>
      <c r="B4150" t="s">
        <v>1612</v>
      </c>
      <c r="C4150" t="s">
        <v>767</v>
      </c>
      <c r="D4150" t="s">
        <v>1071</v>
      </c>
      <c r="E4150">
        <v>3</v>
      </c>
      <c r="F4150">
        <f>_xlfn.XLOOKUP(Table1[[#This Row],[ProductID]],Products!A:A,Products!D:D,,0)</f>
        <v>125</v>
      </c>
      <c r="I4150">
        <v>399</v>
      </c>
      <c r="J4150">
        <v>319</v>
      </c>
      <c r="K4150" t="s">
        <v>1097</v>
      </c>
      <c r="L4150">
        <v>957</v>
      </c>
      <c r="M4150" t="s">
        <v>1098</v>
      </c>
      <c r="N4150" t="s">
        <v>1099</v>
      </c>
      <c r="O4150">
        <f>Table1[[#This Row],[Unit_Price]]*Table1[[#This Row],[Quantity]]</f>
        <v>375</v>
      </c>
    </row>
    <row r="4151" spans="1:15" x14ac:dyDescent="0.3">
      <c r="A4151" t="s">
        <v>5973</v>
      </c>
      <c r="B4151" t="s">
        <v>1209</v>
      </c>
      <c r="C4151" t="s">
        <v>401</v>
      </c>
      <c r="D4151" t="s">
        <v>1071</v>
      </c>
      <c r="E4151">
        <v>1</v>
      </c>
      <c r="F4151">
        <f>_xlfn.XLOOKUP(Table1[[#This Row],[ProductID]],Products!A:A,Products!D:D,,0)</f>
        <v>125</v>
      </c>
      <c r="I4151">
        <v>399</v>
      </c>
      <c r="J4151">
        <v>399</v>
      </c>
      <c r="K4151" t="s">
        <v>1102</v>
      </c>
      <c r="L4151">
        <v>399</v>
      </c>
      <c r="M4151" t="s">
        <v>1098</v>
      </c>
      <c r="N4151" t="s">
        <v>1099</v>
      </c>
      <c r="O4151">
        <f>Table1[[#This Row],[Unit_Price]]*Table1[[#This Row],[Quantity]]</f>
        <v>125</v>
      </c>
    </row>
    <row r="4152" spans="1:15" x14ac:dyDescent="0.3">
      <c r="A4152" t="s">
        <v>5974</v>
      </c>
      <c r="B4152" t="s">
        <v>2119</v>
      </c>
      <c r="C4152" t="s">
        <v>637</v>
      </c>
      <c r="D4152" t="s">
        <v>1064</v>
      </c>
      <c r="E4152">
        <v>2</v>
      </c>
      <c r="F4152">
        <f>_xlfn.XLOOKUP(Table1[[#This Row],[ProductID]],Products!A:A,Products!D:D,,0)</f>
        <v>160</v>
      </c>
      <c r="I4152">
        <v>699</v>
      </c>
      <c r="J4152">
        <v>699</v>
      </c>
      <c r="K4152" t="s">
        <v>1102</v>
      </c>
      <c r="L4152">
        <v>1398</v>
      </c>
      <c r="M4152" t="s">
        <v>1098</v>
      </c>
      <c r="N4152" t="s">
        <v>1123</v>
      </c>
      <c r="O4152">
        <f>Table1[[#This Row],[Unit_Price]]*Table1[[#This Row],[Quantity]]</f>
        <v>320</v>
      </c>
    </row>
    <row r="4153" spans="1:15" x14ac:dyDescent="0.3">
      <c r="A4153" t="s">
        <v>5975</v>
      </c>
      <c r="B4153" t="s">
        <v>1260</v>
      </c>
      <c r="C4153" t="s">
        <v>505</v>
      </c>
      <c r="D4153" t="s">
        <v>1066</v>
      </c>
      <c r="E4153">
        <v>2</v>
      </c>
      <c r="F4153">
        <f>_xlfn.XLOOKUP(Table1[[#This Row],[ProductID]],Products!A:A,Products!D:D,,0)</f>
        <v>140</v>
      </c>
      <c r="I4153">
        <v>499</v>
      </c>
      <c r="J4153">
        <v>424</v>
      </c>
      <c r="K4153" t="s">
        <v>1092</v>
      </c>
      <c r="L4153">
        <v>848</v>
      </c>
      <c r="M4153" t="s">
        <v>1093</v>
      </c>
      <c r="N4153" t="s">
        <v>1099</v>
      </c>
      <c r="O4153">
        <f>Table1[[#This Row],[Unit_Price]]*Table1[[#This Row],[Quantity]]</f>
        <v>280</v>
      </c>
    </row>
    <row r="4154" spans="1:15" x14ac:dyDescent="0.3">
      <c r="A4154" t="s">
        <v>5976</v>
      </c>
      <c r="B4154" t="s">
        <v>2983</v>
      </c>
      <c r="C4154" t="s">
        <v>221</v>
      </c>
      <c r="D4154" t="s">
        <v>1073</v>
      </c>
      <c r="E4154">
        <v>1</v>
      </c>
      <c r="F4154">
        <f>_xlfn.XLOOKUP(Table1[[#This Row],[ProductID]],Products!A:A,Products!D:D,,0)</f>
        <v>100</v>
      </c>
      <c r="I4154">
        <v>349</v>
      </c>
      <c r="J4154">
        <v>314</v>
      </c>
      <c r="K4154" t="s">
        <v>1107</v>
      </c>
      <c r="L4154">
        <v>314</v>
      </c>
      <c r="M4154" t="s">
        <v>1093</v>
      </c>
      <c r="N4154" t="s">
        <v>1099</v>
      </c>
      <c r="O4154">
        <f>Table1[[#This Row],[Unit_Price]]*Table1[[#This Row],[Quantity]]</f>
        <v>100</v>
      </c>
    </row>
    <row r="4155" spans="1:15" x14ac:dyDescent="0.3">
      <c r="A4155" t="s">
        <v>5977</v>
      </c>
      <c r="B4155" t="s">
        <v>1172</v>
      </c>
      <c r="C4155" t="s">
        <v>327</v>
      </c>
      <c r="D4155" t="s">
        <v>1071</v>
      </c>
      <c r="E4155">
        <v>1</v>
      </c>
      <c r="F4155">
        <f>_xlfn.XLOOKUP(Table1[[#This Row],[ProductID]],Products!A:A,Products!D:D,,0)</f>
        <v>125</v>
      </c>
      <c r="I4155">
        <v>399</v>
      </c>
      <c r="J4155">
        <v>319</v>
      </c>
      <c r="K4155" t="s">
        <v>1097</v>
      </c>
      <c r="L4155">
        <v>319</v>
      </c>
      <c r="M4155" t="s">
        <v>1093</v>
      </c>
      <c r="N4155" t="s">
        <v>1123</v>
      </c>
      <c r="O4155">
        <f>Table1[[#This Row],[Unit_Price]]*Table1[[#This Row],[Quantity]]</f>
        <v>125</v>
      </c>
    </row>
    <row r="4156" spans="1:15" x14ac:dyDescent="0.3">
      <c r="A4156" t="s">
        <v>5978</v>
      </c>
      <c r="B4156" t="s">
        <v>3552</v>
      </c>
      <c r="C4156" t="s">
        <v>393</v>
      </c>
      <c r="D4156" t="s">
        <v>1059</v>
      </c>
      <c r="E4156">
        <v>2</v>
      </c>
      <c r="F4156">
        <f>_xlfn.XLOOKUP(Table1[[#This Row],[ProductID]],Products!A:A,Products!D:D,,0)</f>
        <v>110</v>
      </c>
      <c r="I4156">
        <v>399</v>
      </c>
      <c r="J4156">
        <v>399</v>
      </c>
      <c r="K4156" t="s">
        <v>1102</v>
      </c>
      <c r="L4156">
        <v>798</v>
      </c>
      <c r="M4156" t="s">
        <v>1098</v>
      </c>
      <c r="N4156" t="s">
        <v>1099</v>
      </c>
      <c r="O4156">
        <f>Table1[[#This Row],[Unit_Price]]*Table1[[#This Row],[Quantity]]</f>
        <v>220</v>
      </c>
    </row>
    <row r="4157" spans="1:15" x14ac:dyDescent="0.3">
      <c r="A4157" t="s">
        <v>5979</v>
      </c>
      <c r="B4157" t="s">
        <v>1158</v>
      </c>
      <c r="C4157" t="s">
        <v>251</v>
      </c>
      <c r="D4157" t="s">
        <v>1055</v>
      </c>
      <c r="E4157">
        <v>2</v>
      </c>
      <c r="F4157">
        <f>_xlfn.XLOOKUP(Table1[[#This Row],[ProductID]],Products!A:A,Products!D:D,,0)</f>
        <v>75</v>
      </c>
      <c r="I4157">
        <v>299</v>
      </c>
      <c r="J4157">
        <v>299</v>
      </c>
      <c r="K4157" t="s">
        <v>1102</v>
      </c>
      <c r="L4157">
        <v>598</v>
      </c>
      <c r="M4157" t="s">
        <v>1093</v>
      </c>
      <c r="N4157" t="s">
        <v>1099</v>
      </c>
      <c r="O4157">
        <f>Table1[[#This Row],[Unit_Price]]*Table1[[#This Row],[Quantity]]</f>
        <v>150</v>
      </c>
    </row>
    <row r="4158" spans="1:15" x14ac:dyDescent="0.3">
      <c r="A4158" t="s">
        <v>5980</v>
      </c>
      <c r="B4158" t="s">
        <v>1913</v>
      </c>
      <c r="C4158" t="s">
        <v>537</v>
      </c>
      <c r="D4158" t="s">
        <v>1073</v>
      </c>
      <c r="E4158">
        <v>3</v>
      </c>
      <c r="F4158">
        <f>_xlfn.XLOOKUP(Table1[[#This Row],[ProductID]],Products!A:A,Products!D:D,,0)</f>
        <v>100</v>
      </c>
      <c r="I4158">
        <v>349</v>
      </c>
      <c r="J4158">
        <v>349</v>
      </c>
      <c r="K4158" t="s">
        <v>1102</v>
      </c>
      <c r="L4158">
        <v>1047</v>
      </c>
      <c r="M4158" t="s">
        <v>1098</v>
      </c>
      <c r="N4158" t="s">
        <v>1099</v>
      </c>
      <c r="O4158">
        <f>Table1[[#This Row],[Unit_Price]]*Table1[[#This Row],[Quantity]]</f>
        <v>300</v>
      </c>
    </row>
    <row r="4159" spans="1:15" x14ac:dyDescent="0.3">
      <c r="A4159" t="s">
        <v>5981</v>
      </c>
      <c r="B4159" t="s">
        <v>4190</v>
      </c>
      <c r="C4159" t="s">
        <v>491</v>
      </c>
      <c r="D4159" t="s">
        <v>1064</v>
      </c>
      <c r="E4159">
        <v>2</v>
      </c>
      <c r="F4159">
        <f>_xlfn.XLOOKUP(Table1[[#This Row],[ProductID]],Products!A:A,Products!D:D,,0)</f>
        <v>160</v>
      </c>
      <c r="I4159">
        <v>699</v>
      </c>
      <c r="J4159">
        <v>629</v>
      </c>
      <c r="K4159" t="s">
        <v>1107</v>
      </c>
      <c r="L4159">
        <v>1258</v>
      </c>
      <c r="M4159" t="s">
        <v>1093</v>
      </c>
      <c r="N4159" t="s">
        <v>1099</v>
      </c>
      <c r="O4159">
        <f>Table1[[#This Row],[Unit_Price]]*Table1[[#This Row],[Quantity]]</f>
        <v>320</v>
      </c>
    </row>
    <row r="4160" spans="1:15" x14ac:dyDescent="0.3">
      <c r="A4160" t="s">
        <v>5982</v>
      </c>
      <c r="B4160" t="s">
        <v>1595</v>
      </c>
      <c r="C4160" t="s">
        <v>120</v>
      </c>
      <c r="D4160" t="s">
        <v>1073</v>
      </c>
      <c r="E4160">
        <v>2</v>
      </c>
      <c r="F4160">
        <f>_xlfn.XLOOKUP(Table1[[#This Row],[ProductID]],Products!A:A,Products!D:D,,0)</f>
        <v>100</v>
      </c>
      <c r="I4160">
        <v>349</v>
      </c>
      <c r="J4160">
        <v>349</v>
      </c>
      <c r="K4160" t="s">
        <v>1102</v>
      </c>
      <c r="L4160">
        <v>698</v>
      </c>
      <c r="M4160" t="s">
        <v>1093</v>
      </c>
      <c r="N4160" t="s">
        <v>1099</v>
      </c>
      <c r="O4160">
        <f>Table1[[#This Row],[Unit_Price]]*Table1[[#This Row],[Quantity]]</f>
        <v>200</v>
      </c>
    </row>
    <row r="4161" spans="1:15" x14ac:dyDescent="0.3">
      <c r="A4161" t="s">
        <v>5983</v>
      </c>
      <c r="B4161" t="s">
        <v>2019</v>
      </c>
      <c r="C4161" t="s">
        <v>737</v>
      </c>
      <c r="D4161" t="s">
        <v>1068</v>
      </c>
      <c r="E4161">
        <v>4</v>
      </c>
      <c r="F4161">
        <f>_xlfn.XLOOKUP(Table1[[#This Row],[ProductID]],Products!A:A,Products!D:D,,0)</f>
        <v>180</v>
      </c>
      <c r="I4161">
        <v>449</v>
      </c>
      <c r="J4161">
        <v>382</v>
      </c>
      <c r="K4161" t="s">
        <v>1092</v>
      </c>
      <c r="L4161">
        <v>1528</v>
      </c>
      <c r="M4161" t="s">
        <v>1093</v>
      </c>
      <c r="N4161" t="s">
        <v>1099</v>
      </c>
      <c r="O4161">
        <f>Table1[[#This Row],[Unit_Price]]*Table1[[#This Row],[Quantity]]</f>
        <v>720</v>
      </c>
    </row>
    <row r="4162" spans="1:15" x14ac:dyDescent="0.3">
      <c r="A4162" t="s">
        <v>5984</v>
      </c>
      <c r="B4162" t="s">
        <v>2285</v>
      </c>
      <c r="C4162" t="s">
        <v>93</v>
      </c>
      <c r="D4162" t="s">
        <v>1064</v>
      </c>
      <c r="E4162">
        <v>3</v>
      </c>
      <c r="F4162">
        <f>_xlfn.XLOOKUP(Table1[[#This Row],[ProductID]],Products!A:A,Products!D:D,,0)</f>
        <v>160</v>
      </c>
      <c r="I4162">
        <v>699</v>
      </c>
      <c r="J4162">
        <v>629</v>
      </c>
      <c r="K4162" t="s">
        <v>1107</v>
      </c>
      <c r="L4162">
        <v>1887</v>
      </c>
      <c r="M4162" t="s">
        <v>1126</v>
      </c>
      <c r="N4162" t="s">
        <v>1099</v>
      </c>
      <c r="O4162">
        <f>Table1[[#This Row],[Unit_Price]]*Table1[[#This Row],[Quantity]]</f>
        <v>480</v>
      </c>
    </row>
    <row r="4163" spans="1:15" x14ac:dyDescent="0.3">
      <c r="A4163" t="s">
        <v>5985</v>
      </c>
      <c r="B4163" t="s">
        <v>2541</v>
      </c>
      <c r="C4163" t="s">
        <v>975</v>
      </c>
      <c r="D4163" t="s">
        <v>1075</v>
      </c>
      <c r="E4163">
        <v>2</v>
      </c>
      <c r="F4163">
        <f>_xlfn.XLOOKUP(Table1[[#This Row],[ProductID]],Products!A:A,Products!D:D,,0)</f>
        <v>80</v>
      </c>
      <c r="I4163">
        <v>499</v>
      </c>
      <c r="J4163">
        <v>424</v>
      </c>
      <c r="K4163" t="s">
        <v>1092</v>
      </c>
      <c r="L4163">
        <v>848</v>
      </c>
      <c r="M4163" t="s">
        <v>1098</v>
      </c>
      <c r="N4163" t="s">
        <v>1099</v>
      </c>
      <c r="O4163">
        <f>Table1[[#This Row],[Unit_Price]]*Table1[[#This Row],[Quantity]]</f>
        <v>160</v>
      </c>
    </row>
    <row r="4164" spans="1:15" x14ac:dyDescent="0.3">
      <c r="A4164" t="s">
        <v>5986</v>
      </c>
      <c r="B4164" t="s">
        <v>2431</v>
      </c>
      <c r="C4164" t="s">
        <v>195</v>
      </c>
      <c r="D4164" t="s">
        <v>1051</v>
      </c>
      <c r="E4164">
        <v>2</v>
      </c>
      <c r="F4164">
        <f>_xlfn.XLOOKUP(Table1[[#This Row],[ProductID]],Products!A:A,Products!D:D,,0)</f>
        <v>150</v>
      </c>
      <c r="I4164">
        <v>499</v>
      </c>
      <c r="J4164">
        <v>399</v>
      </c>
      <c r="K4164" t="s">
        <v>1097</v>
      </c>
      <c r="L4164">
        <v>798</v>
      </c>
      <c r="M4164" t="s">
        <v>1093</v>
      </c>
      <c r="N4164" t="s">
        <v>1099</v>
      </c>
      <c r="O4164">
        <f>Table1[[#This Row],[Unit_Price]]*Table1[[#This Row],[Quantity]]</f>
        <v>300</v>
      </c>
    </row>
    <row r="4165" spans="1:15" x14ac:dyDescent="0.3">
      <c r="A4165" t="s">
        <v>5987</v>
      </c>
      <c r="B4165" t="s">
        <v>2819</v>
      </c>
      <c r="C4165" t="s">
        <v>126</v>
      </c>
      <c r="D4165" t="s">
        <v>1071</v>
      </c>
      <c r="E4165">
        <v>1</v>
      </c>
      <c r="F4165">
        <f>_xlfn.XLOOKUP(Table1[[#This Row],[ProductID]],Products!A:A,Products!D:D,,0)</f>
        <v>125</v>
      </c>
      <c r="I4165">
        <v>399</v>
      </c>
      <c r="J4165">
        <v>339</v>
      </c>
      <c r="K4165" t="s">
        <v>1092</v>
      </c>
      <c r="L4165">
        <v>339</v>
      </c>
      <c r="M4165" t="s">
        <v>1098</v>
      </c>
      <c r="N4165" t="s">
        <v>1099</v>
      </c>
      <c r="O4165">
        <f>Table1[[#This Row],[Unit_Price]]*Table1[[#This Row],[Quantity]]</f>
        <v>125</v>
      </c>
    </row>
    <row r="4166" spans="1:15" x14ac:dyDescent="0.3">
      <c r="A4166" t="s">
        <v>5988</v>
      </c>
      <c r="B4166" t="s">
        <v>2882</v>
      </c>
      <c r="C4166" t="s">
        <v>501</v>
      </c>
      <c r="D4166" t="s">
        <v>1055</v>
      </c>
      <c r="E4166">
        <v>2</v>
      </c>
      <c r="F4166">
        <f>_xlfn.XLOOKUP(Table1[[#This Row],[ProductID]],Products!A:A,Products!D:D,,0)</f>
        <v>75</v>
      </c>
      <c r="I4166">
        <v>299</v>
      </c>
      <c r="J4166">
        <v>269</v>
      </c>
      <c r="K4166" t="s">
        <v>1107</v>
      </c>
      <c r="L4166">
        <v>538</v>
      </c>
      <c r="M4166" t="s">
        <v>1098</v>
      </c>
      <c r="N4166" t="s">
        <v>1099</v>
      </c>
      <c r="O4166">
        <f>Table1[[#This Row],[Unit_Price]]*Table1[[#This Row],[Quantity]]</f>
        <v>150</v>
      </c>
    </row>
    <row r="4167" spans="1:15" x14ac:dyDescent="0.3">
      <c r="A4167" t="s">
        <v>5989</v>
      </c>
      <c r="B4167" t="s">
        <v>1990</v>
      </c>
      <c r="C4167" t="s">
        <v>211</v>
      </c>
      <c r="D4167" t="s">
        <v>1071</v>
      </c>
      <c r="E4167">
        <v>4</v>
      </c>
      <c r="F4167">
        <f>_xlfn.XLOOKUP(Table1[[#This Row],[ProductID]],Products!A:A,Products!D:D,,0)</f>
        <v>125</v>
      </c>
      <c r="I4167">
        <v>399</v>
      </c>
      <c r="J4167">
        <v>399</v>
      </c>
      <c r="K4167" t="s">
        <v>1102</v>
      </c>
      <c r="L4167">
        <v>1596</v>
      </c>
      <c r="M4167" t="s">
        <v>1093</v>
      </c>
      <c r="N4167" t="s">
        <v>1123</v>
      </c>
      <c r="O4167">
        <f>Table1[[#This Row],[Unit_Price]]*Table1[[#This Row],[Quantity]]</f>
        <v>500</v>
      </c>
    </row>
    <row r="4168" spans="1:15" x14ac:dyDescent="0.3">
      <c r="A4168" t="s">
        <v>5990</v>
      </c>
      <c r="B4168" t="s">
        <v>2389</v>
      </c>
      <c r="C4168" t="s">
        <v>167</v>
      </c>
      <c r="D4168" t="s">
        <v>1066</v>
      </c>
      <c r="E4168">
        <v>2</v>
      </c>
      <c r="F4168">
        <f>_xlfn.XLOOKUP(Table1[[#This Row],[ProductID]],Products!A:A,Products!D:D,,0)</f>
        <v>140</v>
      </c>
      <c r="I4168">
        <v>499</v>
      </c>
      <c r="J4168">
        <v>499</v>
      </c>
      <c r="K4168" t="s">
        <v>1102</v>
      </c>
      <c r="L4168">
        <v>998</v>
      </c>
      <c r="M4168" t="s">
        <v>1093</v>
      </c>
      <c r="N4168" t="s">
        <v>1099</v>
      </c>
      <c r="O4168">
        <f>Table1[[#This Row],[Unit_Price]]*Table1[[#This Row],[Quantity]]</f>
        <v>280</v>
      </c>
    </row>
    <row r="4169" spans="1:15" x14ac:dyDescent="0.3">
      <c r="A4169" t="s">
        <v>5991</v>
      </c>
      <c r="B4169" t="s">
        <v>3198</v>
      </c>
      <c r="C4169" t="s">
        <v>343</v>
      </c>
      <c r="D4169" t="s">
        <v>1071</v>
      </c>
      <c r="E4169">
        <v>1</v>
      </c>
      <c r="F4169">
        <f>_xlfn.XLOOKUP(Table1[[#This Row],[ProductID]],Products!A:A,Products!D:D,,0)</f>
        <v>125</v>
      </c>
      <c r="I4169">
        <v>399</v>
      </c>
      <c r="J4169">
        <v>399</v>
      </c>
      <c r="K4169" t="s">
        <v>1102</v>
      </c>
      <c r="L4169">
        <v>399</v>
      </c>
      <c r="M4169" t="s">
        <v>1093</v>
      </c>
      <c r="N4169" t="s">
        <v>1099</v>
      </c>
      <c r="O4169">
        <f>Table1[[#This Row],[Unit_Price]]*Table1[[#This Row],[Quantity]]</f>
        <v>125</v>
      </c>
    </row>
    <row r="4170" spans="1:15" x14ac:dyDescent="0.3">
      <c r="A4170" t="s">
        <v>5992</v>
      </c>
      <c r="B4170" t="s">
        <v>1674</v>
      </c>
      <c r="C4170" t="s">
        <v>333</v>
      </c>
      <c r="D4170" t="s">
        <v>1073</v>
      </c>
      <c r="E4170">
        <v>1</v>
      </c>
      <c r="F4170">
        <f>_xlfn.XLOOKUP(Table1[[#This Row],[ProductID]],Products!A:A,Products!D:D,,0)</f>
        <v>100</v>
      </c>
      <c r="I4170">
        <v>349</v>
      </c>
      <c r="J4170">
        <v>349</v>
      </c>
      <c r="K4170" t="s">
        <v>1102</v>
      </c>
      <c r="L4170">
        <v>349</v>
      </c>
      <c r="M4170" t="s">
        <v>1093</v>
      </c>
      <c r="N4170" t="s">
        <v>1094</v>
      </c>
      <c r="O4170">
        <f>Table1[[#This Row],[Unit_Price]]*Table1[[#This Row],[Quantity]]</f>
        <v>100</v>
      </c>
    </row>
    <row r="4171" spans="1:15" x14ac:dyDescent="0.3">
      <c r="A4171" t="s">
        <v>5993</v>
      </c>
      <c r="B4171" t="s">
        <v>5261</v>
      </c>
      <c r="C4171" t="s">
        <v>411</v>
      </c>
      <c r="D4171" t="s">
        <v>1051</v>
      </c>
      <c r="E4171">
        <v>1</v>
      </c>
      <c r="F4171">
        <f>_xlfn.XLOOKUP(Table1[[#This Row],[ProductID]],Products!A:A,Products!D:D,,0)</f>
        <v>150</v>
      </c>
      <c r="I4171">
        <v>499</v>
      </c>
      <c r="J4171">
        <v>424</v>
      </c>
      <c r="K4171" t="s">
        <v>1092</v>
      </c>
      <c r="L4171">
        <v>424</v>
      </c>
      <c r="M4171" t="s">
        <v>1098</v>
      </c>
      <c r="N4171" t="s">
        <v>1099</v>
      </c>
      <c r="O4171">
        <f>Table1[[#This Row],[Unit_Price]]*Table1[[#This Row],[Quantity]]</f>
        <v>150</v>
      </c>
    </row>
    <row r="4172" spans="1:15" x14ac:dyDescent="0.3">
      <c r="A4172" t="s">
        <v>5994</v>
      </c>
      <c r="B4172" t="s">
        <v>2549</v>
      </c>
      <c r="C4172" t="s">
        <v>447</v>
      </c>
      <c r="D4172" t="s">
        <v>1075</v>
      </c>
      <c r="E4172">
        <v>1</v>
      </c>
      <c r="F4172">
        <f>_xlfn.XLOOKUP(Table1[[#This Row],[ProductID]],Products!A:A,Products!D:D,,0)</f>
        <v>80</v>
      </c>
      <c r="I4172">
        <v>499</v>
      </c>
      <c r="J4172">
        <v>449</v>
      </c>
      <c r="K4172" t="s">
        <v>1107</v>
      </c>
      <c r="L4172">
        <v>449</v>
      </c>
      <c r="M4172" t="s">
        <v>1093</v>
      </c>
      <c r="N4172" t="s">
        <v>1094</v>
      </c>
      <c r="O4172">
        <f>Table1[[#This Row],[Unit_Price]]*Table1[[#This Row],[Quantity]]</f>
        <v>80</v>
      </c>
    </row>
    <row r="4173" spans="1:15" x14ac:dyDescent="0.3">
      <c r="A4173" t="s">
        <v>5995</v>
      </c>
      <c r="B4173" t="s">
        <v>1232</v>
      </c>
      <c r="C4173" t="s">
        <v>44</v>
      </c>
      <c r="D4173" t="s">
        <v>1075</v>
      </c>
      <c r="E4173">
        <v>2</v>
      </c>
      <c r="F4173">
        <f>_xlfn.XLOOKUP(Table1[[#This Row],[ProductID]],Products!A:A,Products!D:D,,0)</f>
        <v>80</v>
      </c>
      <c r="I4173">
        <v>499</v>
      </c>
      <c r="J4173">
        <v>449</v>
      </c>
      <c r="K4173" t="s">
        <v>1107</v>
      </c>
      <c r="L4173">
        <v>898</v>
      </c>
      <c r="M4173" t="s">
        <v>1093</v>
      </c>
      <c r="N4173" t="s">
        <v>1094</v>
      </c>
      <c r="O4173">
        <f>Table1[[#This Row],[Unit_Price]]*Table1[[#This Row],[Quantity]]</f>
        <v>160</v>
      </c>
    </row>
    <row r="4174" spans="1:15" x14ac:dyDescent="0.3">
      <c r="A4174" t="s">
        <v>5996</v>
      </c>
      <c r="B4174" t="s">
        <v>1164</v>
      </c>
      <c r="C4174" t="s">
        <v>843</v>
      </c>
      <c r="D4174" t="s">
        <v>1062</v>
      </c>
      <c r="E4174">
        <v>1</v>
      </c>
      <c r="F4174">
        <f>_xlfn.XLOOKUP(Table1[[#This Row],[ProductID]],Products!A:A,Products!D:D,,0)</f>
        <v>95</v>
      </c>
      <c r="I4174">
        <v>349</v>
      </c>
      <c r="J4174">
        <v>349</v>
      </c>
      <c r="K4174" t="s">
        <v>1102</v>
      </c>
      <c r="L4174">
        <v>349</v>
      </c>
      <c r="M4174" t="s">
        <v>1126</v>
      </c>
      <c r="N4174" t="s">
        <v>1099</v>
      </c>
      <c r="O4174">
        <f>Table1[[#This Row],[Unit_Price]]*Table1[[#This Row],[Quantity]]</f>
        <v>95</v>
      </c>
    </row>
    <row r="4175" spans="1:15" x14ac:dyDescent="0.3">
      <c r="A4175" t="s">
        <v>5997</v>
      </c>
      <c r="B4175" t="s">
        <v>1602</v>
      </c>
      <c r="C4175" t="s">
        <v>425</v>
      </c>
      <c r="D4175" t="s">
        <v>1078</v>
      </c>
      <c r="E4175">
        <v>2</v>
      </c>
      <c r="F4175">
        <f>_xlfn.XLOOKUP(Table1[[#This Row],[ProductID]],Products!A:A,Products!D:D,,0)</f>
        <v>80</v>
      </c>
      <c r="I4175">
        <v>499</v>
      </c>
      <c r="J4175">
        <v>499</v>
      </c>
      <c r="K4175" t="s">
        <v>1102</v>
      </c>
      <c r="L4175">
        <v>998</v>
      </c>
      <c r="M4175" t="s">
        <v>1093</v>
      </c>
      <c r="N4175" t="s">
        <v>1099</v>
      </c>
      <c r="O4175">
        <f>Table1[[#This Row],[Unit_Price]]*Table1[[#This Row],[Quantity]]</f>
        <v>160</v>
      </c>
    </row>
    <row r="4176" spans="1:15" x14ac:dyDescent="0.3">
      <c r="A4176" t="s">
        <v>5998</v>
      </c>
      <c r="B4176" t="s">
        <v>1166</v>
      </c>
      <c r="C4176" t="s">
        <v>747</v>
      </c>
      <c r="D4176" t="s">
        <v>1066</v>
      </c>
      <c r="E4176">
        <v>1</v>
      </c>
      <c r="F4176">
        <f>_xlfn.XLOOKUP(Table1[[#This Row],[ProductID]],Products!A:A,Products!D:D,,0)</f>
        <v>140</v>
      </c>
      <c r="I4176">
        <v>499</v>
      </c>
      <c r="J4176">
        <v>499</v>
      </c>
      <c r="K4176" t="s">
        <v>1102</v>
      </c>
      <c r="L4176">
        <v>499</v>
      </c>
      <c r="M4176" t="s">
        <v>1093</v>
      </c>
      <c r="N4176" t="s">
        <v>1099</v>
      </c>
      <c r="O4176">
        <f>Table1[[#This Row],[Unit_Price]]*Table1[[#This Row],[Quantity]]</f>
        <v>140</v>
      </c>
    </row>
    <row r="4177" spans="1:15" x14ac:dyDescent="0.3">
      <c r="A4177" t="s">
        <v>5999</v>
      </c>
      <c r="B4177" t="s">
        <v>2999</v>
      </c>
      <c r="C4177" t="s">
        <v>197</v>
      </c>
      <c r="D4177" t="s">
        <v>1066</v>
      </c>
      <c r="E4177">
        <v>1</v>
      </c>
      <c r="F4177">
        <f>_xlfn.XLOOKUP(Table1[[#This Row],[ProductID]],Products!A:A,Products!D:D,,0)</f>
        <v>140</v>
      </c>
      <c r="I4177">
        <v>499</v>
      </c>
      <c r="J4177">
        <v>424</v>
      </c>
      <c r="K4177" t="s">
        <v>1092</v>
      </c>
      <c r="L4177">
        <v>424</v>
      </c>
      <c r="M4177" t="s">
        <v>1098</v>
      </c>
      <c r="N4177" t="s">
        <v>1099</v>
      </c>
      <c r="O4177">
        <f>Table1[[#This Row],[Unit_Price]]*Table1[[#This Row],[Quantity]]</f>
        <v>140</v>
      </c>
    </row>
    <row r="4178" spans="1:15" x14ac:dyDescent="0.3">
      <c r="A4178" t="s">
        <v>6000</v>
      </c>
      <c r="B4178" t="s">
        <v>2257</v>
      </c>
      <c r="C4178" t="s">
        <v>735</v>
      </c>
      <c r="D4178" t="s">
        <v>1078</v>
      </c>
      <c r="E4178">
        <v>2</v>
      </c>
      <c r="F4178">
        <f>_xlfn.XLOOKUP(Table1[[#This Row],[ProductID]],Products!A:A,Products!D:D,,0)</f>
        <v>80</v>
      </c>
      <c r="I4178">
        <v>499</v>
      </c>
      <c r="J4178">
        <v>499</v>
      </c>
      <c r="K4178" t="s">
        <v>1102</v>
      </c>
      <c r="L4178">
        <v>998</v>
      </c>
      <c r="M4178" t="s">
        <v>1098</v>
      </c>
      <c r="N4178" t="s">
        <v>1099</v>
      </c>
      <c r="O4178">
        <f>Table1[[#This Row],[Unit_Price]]*Table1[[#This Row],[Quantity]]</f>
        <v>160</v>
      </c>
    </row>
    <row r="4179" spans="1:15" x14ac:dyDescent="0.3">
      <c r="A4179" t="s">
        <v>6001</v>
      </c>
      <c r="B4179" t="s">
        <v>1545</v>
      </c>
      <c r="C4179" t="s">
        <v>635</v>
      </c>
      <c r="D4179" t="s">
        <v>1057</v>
      </c>
      <c r="E4179">
        <v>2</v>
      </c>
      <c r="F4179">
        <f>_xlfn.XLOOKUP(Table1[[#This Row],[ProductID]],Products!A:A,Products!D:D,,0)</f>
        <v>130</v>
      </c>
      <c r="I4179">
        <v>549</v>
      </c>
      <c r="J4179">
        <v>467</v>
      </c>
      <c r="K4179" t="s">
        <v>1092</v>
      </c>
      <c r="L4179">
        <v>934</v>
      </c>
      <c r="M4179" t="s">
        <v>1093</v>
      </c>
      <c r="N4179" t="s">
        <v>1099</v>
      </c>
      <c r="O4179">
        <f>Table1[[#This Row],[Unit_Price]]*Table1[[#This Row],[Quantity]]</f>
        <v>260</v>
      </c>
    </row>
    <row r="4180" spans="1:15" x14ac:dyDescent="0.3">
      <c r="A4180" t="s">
        <v>6002</v>
      </c>
      <c r="B4180" t="s">
        <v>2055</v>
      </c>
      <c r="C4180" t="s">
        <v>643</v>
      </c>
      <c r="D4180" t="s">
        <v>1051</v>
      </c>
      <c r="E4180">
        <v>1</v>
      </c>
      <c r="F4180">
        <f>_xlfn.XLOOKUP(Table1[[#This Row],[ProductID]],Products!A:A,Products!D:D,,0)</f>
        <v>150</v>
      </c>
      <c r="I4180">
        <v>499</v>
      </c>
      <c r="J4180">
        <v>399</v>
      </c>
      <c r="K4180" t="s">
        <v>1097</v>
      </c>
      <c r="L4180">
        <v>399</v>
      </c>
      <c r="M4180" t="s">
        <v>1098</v>
      </c>
      <c r="N4180" t="s">
        <v>1099</v>
      </c>
      <c r="O4180">
        <f>Table1[[#This Row],[Unit_Price]]*Table1[[#This Row],[Quantity]]</f>
        <v>150</v>
      </c>
    </row>
    <row r="4181" spans="1:15" x14ac:dyDescent="0.3">
      <c r="A4181" t="s">
        <v>6003</v>
      </c>
      <c r="B4181" t="s">
        <v>2294</v>
      </c>
      <c r="C4181" t="s">
        <v>971</v>
      </c>
      <c r="D4181" t="s">
        <v>1057</v>
      </c>
      <c r="E4181">
        <v>1</v>
      </c>
      <c r="F4181">
        <f>_xlfn.XLOOKUP(Table1[[#This Row],[ProductID]],Products!A:A,Products!D:D,,0)</f>
        <v>130</v>
      </c>
      <c r="I4181">
        <v>549</v>
      </c>
      <c r="J4181">
        <v>439</v>
      </c>
      <c r="K4181" t="s">
        <v>1097</v>
      </c>
      <c r="L4181">
        <v>439</v>
      </c>
      <c r="M4181" t="s">
        <v>1098</v>
      </c>
      <c r="N4181" t="s">
        <v>1099</v>
      </c>
      <c r="O4181">
        <f>Table1[[#This Row],[Unit_Price]]*Table1[[#This Row],[Quantity]]</f>
        <v>130</v>
      </c>
    </row>
    <row r="4182" spans="1:15" x14ac:dyDescent="0.3">
      <c r="A4182" t="s">
        <v>6004</v>
      </c>
      <c r="B4182" t="s">
        <v>1136</v>
      </c>
      <c r="C4182" t="s">
        <v>735</v>
      </c>
      <c r="D4182" t="s">
        <v>1048</v>
      </c>
      <c r="E4182">
        <v>2</v>
      </c>
      <c r="F4182">
        <f>_xlfn.XLOOKUP(Table1[[#This Row],[ProductID]],Products!A:A,Products!D:D,,0)</f>
        <v>120</v>
      </c>
      <c r="I4182">
        <v>599</v>
      </c>
      <c r="J4182">
        <v>539</v>
      </c>
      <c r="K4182" t="s">
        <v>1107</v>
      </c>
      <c r="L4182">
        <v>1078</v>
      </c>
      <c r="M4182" t="s">
        <v>1093</v>
      </c>
      <c r="N4182" t="s">
        <v>1099</v>
      </c>
      <c r="O4182">
        <f>Table1[[#This Row],[Unit_Price]]*Table1[[#This Row],[Quantity]]</f>
        <v>240</v>
      </c>
    </row>
    <row r="4183" spans="1:15" x14ac:dyDescent="0.3">
      <c r="A4183" t="s">
        <v>6005</v>
      </c>
      <c r="B4183" t="s">
        <v>1219</v>
      </c>
      <c r="C4183" t="s">
        <v>401</v>
      </c>
      <c r="D4183" t="s">
        <v>1071</v>
      </c>
      <c r="E4183">
        <v>1</v>
      </c>
      <c r="F4183">
        <f>_xlfn.XLOOKUP(Table1[[#This Row],[ProductID]],Products!A:A,Products!D:D,,0)</f>
        <v>125</v>
      </c>
      <c r="I4183">
        <v>399</v>
      </c>
      <c r="J4183">
        <v>339</v>
      </c>
      <c r="K4183" t="s">
        <v>1092</v>
      </c>
      <c r="L4183">
        <v>339</v>
      </c>
      <c r="M4183" t="s">
        <v>1093</v>
      </c>
      <c r="N4183" t="s">
        <v>1099</v>
      </c>
      <c r="O4183">
        <f>Table1[[#This Row],[Unit_Price]]*Table1[[#This Row],[Quantity]]</f>
        <v>125</v>
      </c>
    </row>
    <row r="4184" spans="1:15" x14ac:dyDescent="0.3">
      <c r="A4184" t="s">
        <v>6006</v>
      </c>
      <c r="B4184" t="s">
        <v>2654</v>
      </c>
      <c r="C4184" t="s">
        <v>1013</v>
      </c>
      <c r="D4184" t="s">
        <v>1075</v>
      </c>
      <c r="E4184">
        <v>2</v>
      </c>
      <c r="F4184">
        <f>_xlfn.XLOOKUP(Table1[[#This Row],[ProductID]],Products!A:A,Products!D:D,,0)</f>
        <v>80</v>
      </c>
      <c r="I4184">
        <v>499</v>
      </c>
      <c r="J4184">
        <v>424</v>
      </c>
      <c r="K4184" t="s">
        <v>1092</v>
      </c>
      <c r="L4184">
        <v>848</v>
      </c>
      <c r="M4184" t="s">
        <v>1098</v>
      </c>
      <c r="N4184" t="s">
        <v>1099</v>
      </c>
      <c r="O4184">
        <f>Table1[[#This Row],[Unit_Price]]*Table1[[#This Row],[Quantity]]</f>
        <v>160</v>
      </c>
    </row>
    <row r="4185" spans="1:15" x14ac:dyDescent="0.3">
      <c r="A4185" t="s">
        <v>6007</v>
      </c>
      <c r="B4185" t="s">
        <v>2674</v>
      </c>
      <c r="C4185" t="s">
        <v>493</v>
      </c>
      <c r="D4185" t="s">
        <v>1059</v>
      </c>
      <c r="E4185">
        <v>1</v>
      </c>
      <c r="F4185">
        <f>_xlfn.XLOOKUP(Table1[[#This Row],[ProductID]],Products!A:A,Products!D:D,,0)</f>
        <v>110</v>
      </c>
      <c r="I4185">
        <v>399</v>
      </c>
      <c r="J4185">
        <v>359</v>
      </c>
      <c r="K4185" t="s">
        <v>1107</v>
      </c>
      <c r="L4185">
        <v>359</v>
      </c>
      <c r="M4185" t="s">
        <v>1093</v>
      </c>
      <c r="N4185" t="s">
        <v>1099</v>
      </c>
      <c r="O4185">
        <f>Table1[[#This Row],[Unit_Price]]*Table1[[#This Row],[Quantity]]</f>
        <v>110</v>
      </c>
    </row>
    <row r="4186" spans="1:15" x14ac:dyDescent="0.3">
      <c r="A4186" t="s">
        <v>6008</v>
      </c>
      <c r="B4186" t="s">
        <v>1728</v>
      </c>
      <c r="C4186" t="s">
        <v>641</v>
      </c>
      <c r="D4186" t="s">
        <v>1062</v>
      </c>
      <c r="E4186">
        <v>1</v>
      </c>
      <c r="F4186">
        <f>_xlfn.XLOOKUP(Table1[[#This Row],[ProductID]],Products!A:A,Products!D:D,,0)</f>
        <v>95</v>
      </c>
      <c r="I4186">
        <v>349</v>
      </c>
      <c r="J4186">
        <v>297</v>
      </c>
      <c r="K4186" t="s">
        <v>1092</v>
      </c>
      <c r="L4186">
        <v>297</v>
      </c>
      <c r="M4186" t="s">
        <v>1098</v>
      </c>
      <c r="N4186" t="s">
        <v>1099</v>
      </c>
      <c r="O4186">
        <f>Table1[[#This Row],[Unit_Price]]*Table1[[#This Row],[Quantity]]</f>
        <v>95</v>
      </c>
    </row>
    <row r="4187" spans="1:15" x14ac:dyDescent="0.3">
      <c r="A4187" t="s">
        <v>6009</v>
      </c>
      <c r="B4187" t="s">
        <v>2004</v>
      </c>
      <c r="C4187" t="s">
        <v>659</v>
      </c>
      <c r="D4187" t="s">
        <v>1057</v>
      </c>
      <c r="E4187">
        <v>2</v>
      </c>
      <c r="F4187">
        <f>_xlfn.XLOOKUP(Table1[[#This Row],[ProductID]],Products!A:A,Products!D:D,,0)</f>
        <v>130</v>
      </c>
      <c r="I4187">
        <v>549</v>
      </c>
      <c r="J4187">
        <v>494</v>
      </c>
      <c r="K4187" t="s">
        <v>1107</v>
      </c>
      <c r="L4187">
        <v>988</v>
      </c>
      <c r="M4187" t="s">
        <v>1093</v>
      </c>
      <c r="N4187" t="s">
        <v>1094</v>
      </c>
      <c r="O4187">
        <f>Table1[[#This Row],[Unit_Price]]*Table1[[#This Row],[Quantity]]</f>
        <v>260</v>
      </c>
    </row>
    <row r="4188" spans="1:15" x14ac:dyDescent="0.3">
      <c r="A4188" t="s">
        <v>6010</v>
      </c>
      <c r="B4188" t="s">
        <v>1325</v>
      </c>
      <c r="C4188" t="s">
        <v>697</v>
      </c>
      <c r="D4188" t="s">
        <v>1075</v>
      </c>
      <c r="E4188">
        <v>1</v>
      </c>
      <c r="F4188">
        <f>_xlfn.XLOOKUP(Table1[[#This Row],[ProductID]],Products!A:A,Products!D:D,,0)</f>
        <v>80</v>
      </c>
      <c r="I4188">
        <v>499</v>
      </c>
      <c r="J4188">
        <v>399</v>
      </c>
      <c r="K4188" t="s">
        <v>1097</v>
      </c>
      <c r="L4188">
        <v>399</v>
      </c>
      <c r="M4188" t="s">
        <v>1098</v>
      </c>
      <c r="N4188" t="s">
        <v>1099</v>
      </c>
      <c r="O4188">
        <f>Table1[[#This Row],[Unit_Price]]*Table1[[#This Row],[Quantity]]</f>
        <v>80</v>
      </c>
    </row>
    <row r="4189" spans="1:15" x14ac:dyDescent="0.3">
      <c r="A4189" t="s">
        <v>6011</v>
      </c>
      <c r="B4189" t="s">
        <v>3201</v>
      </c>
      <c r="C4189" t="s">
        <v>193</v>
      </c>
      <c r="D4189" t="s">
        <v>1051</v>
      </c>
      <c r="E4189">
        <v>2</v>
      </c>
      <c r="F4189">
        <f>_xlfn.XLOOKUP(Table1[[#This Row],[ProductID]],Products!A:A,Products!D:D,,0)</f>
        <v>150</v>
      </c>
      <c r="I4189">
        <v>499</v>
      </c>
      <c r="J4189">
        <v>449</v>
      </c>
      <c r="K4189" t="s">
        <v>1107</v>
      </c>
      <c r="L4189">
        <v>898</v>
      </c>
      <c r="M4189" t="s">
        <v>1098</v>
      </c>
      <c r="N4189" t="s">
        <v>1099</v>
      </c>
      <c r="O4189">
        <f>Table1[[#This Row],[Unit_Price]]*Table1[[#This Row],[Quantity]]</f>
        <v>300</v>
      </c>
    </row>
    <row r="4190" spans="1:15" x14ac:dyDescent="0.3">
      <c r="A4190" t="s">
        <v>6012</v>
      </c>
      <c r="B4190" t="s">
        <v>1715</v>
      </c>
      <c r="C4190" t="s">
        <v>116</v>
      </c>
      <c r="D4190" t="s">
        <v>1078</v>
      </c>
      <c r="E4190">
        <v>1</v>
      </c>
      <c r="F4190">
        <f>_xlfn.XLOOKUP(Table1[[#This Row],[ProductID]],Products!A:A,Products!D:D,,0)</f>
        <v>80</v>
      </c>
      <c r="I4190">
        <v>499</v>
      </c>
      <c r="J4190">
        <v>399</v>
      </c>
      <c r="K4190" t="s">
        <v>1097</v>
      </c>
      <c r="L4190">
        <v>399</v>
      </c>
      <c r="M4190" t="s">
        <v>1098</v>
      </c>
      <c r="N4190" t="s">
        <v>1099</v>
      </c>
      <c r="O4190">
        <f>Table1[[#This Row],[Unit_Price]]*Table1[[#This Row],[Quantity]]</f>
        <v>80</v>
      </c>
    </row>
    <row r="4191" spans="1:15" x14ac:dyDescent="0.3">
      <c r="A4191" t="s">
        <v>6013</v>
      </c>
      <c r="B4191" t="s">
        <v>1416</v>
      </c>
      <c r="C4191" t="s">
        <v>465</v>
      </c>
      <c r="D4191" t="s">
        <v>1068</v>
      </c>
      <c r="E4191">
        <v>1</v>
      </c>
      <c r="F4191">
        <f>_xlfn.XLOOKUP(Table1[[#This Row],[ProductID]],Products!A:A,Products!D:D,,0)</f>
        <v>180</v>
      </c>
      <c r="I4191">
        <v>449</v>
      </c>
      <c r="J4191">
        <v>404</v>
      </c>
      <c r="K4191" t="s">
        <v>1107</v>
      </c>
      <c r="L4191">
        <v>404</v>
      </c>
      <c r="M4191" t="s">
        <v>1098</v>
      </c>
      <c r="N4191" t="s">
        <v>1099</v>
      </c>
      <c r="O4191">
        <f>Table1[[#This Row],[Unit_Price]]*Table1[[#This Row],[Quantity]]</f>
        <v>180</v>
      </c>
    </row>
    <row r="4192" spans="1:15" x14ac:dyDescent="0.3">
      <c r="A4192" t="s">
        <v>6014</v>
      </c>
      <c r="B4192" t="s">
        <v>3944</v>
      </c>
      <c r="C4192" t="s">
        <v>751</v>
      </c>
      <c r="D4192" t="s">
        <v>1075</v>
      </c>
      <c r="E4192">
        <v>1</v>
      </c>
      <c r="F4192">
        <f>_xlfn.XLOOKUP(Table1[[#This Row],[ProductID]],Products!A:A,Products!D:D,,0)</f>
        <v>80</v>
      </c>
      <c r="I4192">
        <v>499</v>
      </c>
      <c r="J4192">
        <v>399</v>
      </c>
      <c r="K4192" t="s">
        <v>1097</v>
      </c>
      <c r="L4192">
        <v>399</v>
      </c>
      <c r="M4192" t="s">
        <v>1093</v>
      </c>
      <c r="N4192" t="s">
        <v>1099</v>
      </c>
      <c r="O4192">
        <f>Table1[[#This Row],[Unit_Price]]*Table1[[#This Row],[Quantity]]</f>
        <v>80</v>
      </c>
    </row>
    <row r="4193" spans="1:15" x14ac:dyDescent="0.3">
      <c r="A4193" t="s">
        <v>6015</v>
      </c>
      <c r="B4193" t="s">
        <v>3069</v>
      </c>
      <c r="C4193" t="s">
        <v>491</v>
      </c>
      <c r="D4193" t="s">
        <v>1053</v>
      </c>
      <c r="E4193">
        <v>1</v>
      </c>
      <c r="F4193">
        <f>_xlfn.XLOOKUP(Table1[[#This Row],[ProductID]],Products!A:A,Products!D:D,,0)</f>
        <v>200</v>
      </c>
      <c r="I4193">
        <v>899</v>
      </c>
      <c r="J4193">
        <v>809</v>
      </c>
      <c r="K4193" t="s">
        <v>1107</v>
      </c>
      <c r="L4193">
        <v>809</v>
      </c>
      <c r="M4193" t="s">
        <v>1098</v>
      </c>
      <c r="N4193" t="s">
        <v>1099</v>
      </c>
      <c r="O4193">
        <f>Table1[[#This Row],[Unit_Price]]*Table1[[#This Row],[Quantity]]</f>
        <v>200</v>
      </c>
    </row>
    <row r="4194" spans="1:15" x14ac:dyDescent="0.3">
      <c r="A4194" t="s">
        <v>6016</v>
      </c>
      <c r="B4194" t="s">
        <v>4074</v>
      </c>
      <c r="C4194" t="s">
        <v>335</v>
      </c>
      <c r="D4194" t="s">
        <v>1078</v>
      </c>
      <c r="E4194">
        <v>1</v>
      </c>
      <c r="F4194">
        <f>_xlfn.XLOOKUP(Table1[[#This Row],[ProductID]],Products!A:A,Products!D:D,,0)</f>
        <v>80</v>
      </c>
      <c r="I4194">
        <v>499</v>
      </c>
      <c r="J4194">
        <v>449</v>
      </c>
      <c r="K4194" t="s">
        <v>1107</v>
      </c>
      <c r="L4194">
        <v>449</v>
      </c>
      <c r="M4194" t="s">
        <v>1098</v>
      </c>
      <c r="N4194" t="s">
        <v>1099</v>
      </c>
      <c r="O4194">
        <f>Table1[[#This Row],[Unit_Price]]*Table1[[#This Row],[Quantity]]</f>
        <v>80</v>
      </c>
    </row>
    <row r="4195" spans="1:15" x14ac:dyDescent="0.3">
      <c r="A4195" t="s">
        <v>6017</v>
      </c>
      <c r="B4195" t="s">
        <v>1162</v>
      </c>
      <c r="C4195" t="s">
        <v>861</v>
      </c>
      <c r="D4195" t="s">
        <v>1073</v>
      </c>
      <c r="E4195">
        <v>1</v>
      </c>
      <c r="F4195">
        <f>_xlfn.XLOOKUP(Table1[[#This Row],[ProductID]],Products!A:A,Products!D:D,,0)</f>
        <v>100</v>
      </c>
      <c r="I4195">
        <v>349</v>
      </c>
      <c r="J4195">
        <v>314</v>
      </c>
      <c r="K4195" t="s">
        <v>1107</v>
      </c>
      <c r="L4195">
        <v>314</v>
      </c>
      <c r="M4195" t="s">
        <v>1093</v>
      </c>
      <c r="N4195" t="s">
        <v>1099</v>
      </c>
      <c r="O4195">
        <f>Table1[[#This Row],[Unit_Price]]*Table1[[#This Row],[Quantity]]</f>
        <v>100</v>
      </c>
    </row>
    <row r="4196" spans="1:15" x14ac:dyDescent="0.3">
      <c r="A4196" t="s">
        <v>6018</v>
      </c>
      <c r="B4196" t="s">
        <v>1505</v>
      </c>
      <c r="C4196" t="s">
        <v>483</v>
      </c>
      <c r="D4196" t="s">
        <v>1057</v>
      </c>
      <c r="E4196">
        <v>2</v>
      </c>
      <c r="F4196">
        <f>_xlfn.XLOOKUP(Table1[[#This Row],[ProductID]],Products!A:A,Products!D:D,,0)</f>
        <v>130</v>
      </c>
      <c r="I4196">
        <v>549</v>
      </c>
      <c r="J4196">
        <v>467</v>
      </c>
      <c r="K4196" t="s">
        <v>1092</v>
      </c>
      <c r="L4196">
        <v>934</v>
      </c>
      <c r="M4196" t="s">
        <v>1118</v>
      </c>
      <c r="N4196" t="s">
        <v>1099</v>
      </c>
      <c r="O4196">
        <f>Table1[[#This Row],[Unit_Price]]*Table1[[#This Row],[Quantity]]</f>
        <v>260</v>
      </c>
    </row>
    <row r="4197" spans="1:15" x14ac:dyDescent="0.3">
      <c r="A4197" t="s">
        <v>6019</v>
      </c>
      <c r="B4197" t="s">
        <v>3610</v>
      </c>
      <c r="C4197" t="s">
        <v>737</v>
      </c>
      <c r="D4197" t="s">
        <v>1073</v>
      </c>
      <c r="E4197">
        <v>3</v>
      </c>
      <c r="F4197">
        <f>_xlfn.XLOOKUP(Table1[[#This Row],[ProductID]],Products!A:A,Products!D:D,,0)</f>
        <v>100</v>
      </c>
      <c r="I4197">
        <v>349</v>
      </c>
      <c r="J4197">
        <v>297</v>
      </c>
      <c r="K4197" t="s">
        <v>1092</v>
      </c>
      <c r="L4197">
        <v>891</v>
      </c>
      <c r="M4197" t="s">
        <v>1098</v>
      </c>
      <c r="N4197" t="s">
        <v>1099</v>
      </c>
      <c r="O4197">
        <f>Table1[[#This Row],[Unit_Price]]*Table1[[#This Row],[Quantity]]</f>
        <v>300</v>
      </c>
    </row>
    <row r="4198" spans="1:15" x14ac:dyDescent="0.3">
      <c r="A4198" t="s">
        <v>6020</v>
      </c>
      <c r="B4198" t="s">
        <v>2184</v>
      </c>
      <c r="C4198" t="s">
        <v>241</v>
      </c>
      <c r="D4198" t="s">
        <v>1057</v>
      </c>
      <c r="E4198">
        <v>1</v>
      </c>
      <c r="F4198">
        <f>_xlfn.XLOOKUP(Table1[[#This Row],[ProductID]],Products!A:A,Products!D:D,,0)</f>
        <v>130</v>
      </c>
      <c r="I4198">
        <v>549</v>
      </c>
      <c r="J4198">
        <v>467</v>
      </c>
      <c r="K4198" t="s">
        <v>1092</v>
      </c>
      <c r="L4198">
        <v>467</v>
      </c>
      <c r="M4198" t="s">
        <v>1118</v>
      </c>
      <c r="N4198" t="s">
        <v>1099</v>
      </c>
      <c r="O4198">
        <f>Table1[[#This Row],[Unit_Price]]*Table1[[#This Row],[Quantity]]</f>
        <v>130</v>
      </c>
    </row>
    <row r="4199" spans="1:15" x14ac:dyDescent="0.3">
      <c r="A4199" t="s">
        <v>6021</v>
      </c>
      <c r="B4199" t="s">
        <v>2285</v>
      </c>
      <c r="C4199" t="s">
        <v>265</v>
      </c>
      <c r="D4199" t="s">
        <v>1080</v>
      </c>
      <c r="E4199">
        <v>1</v>
      </c>
      <c r="F4199">
        <f>_xlfn.XLOOKUP(Table1[[#This Row],[ProductID]],Products!A:A,Products!D:D,,0)</f>
        <v>45</v>
      </c>
      <c r="I4199">
        <v>249</v>
      </c>
      <c r="J4199">
        <v>249</v>
      </c>
      <c r="K4199" t="s">
        <v>1102</v>
      </c>
      <c r="L4199">
        <v>249</v>
      </c>
      <c r="M4199" t="s">
        <v>1098</v>
      </c>
      <c r="N4199" t="s">
        <v>1099</v>
      </c>
      <c r="O4199">
        <f>Table1[[#This Row],[Unit_Price]]*Table1[[#This Row],[Quantity]]</f>
        <v>45</v>
      </c>
    </row>
    <row r="4200" spans="1:15" x14ac:dyDescent="0.3">
      <c r="A4200" t="s">
        <v>6022</v>
      </c>
      <c r="B4200" t="s">
        <v>1808</v>
      </c>
      <c r="C4200" t="s">
        <v>965</v>
      </c>
      <c r="D4200" t="s">
        <v>1051</v>
      </c>
      <c r="E4200">
        <v>2</v>
      </c>
      <c r="F4200">
        <f>_xlfn.XLOOKUP(Table1[[#This Row],[ProductID]],Products!A:A,Products!D:D,,0)</f>
        <v>150</v>
      </c>
      <c r="I4200">
        <v>499</v>
      </c>
      <c r="J4200">
        <v>424</v>
      </c>
      <c r="K4200" t="s">
        <v>1092</v>
      </c>
      <c r="L4200">
        <v>848</v>
      </c>
      <c r="M4200" t="s">
        <v>1093</v>
      </c>
      <c r="N4200" t="s">
        <v>1123</v>
      </c>
      <c r="O4200">
        <f>Table1[[#This Row],[Unit_Price]]*Table1[[#This Row],[Quantity]]</f>
        <v>300</v>
      </c>
    </row>
    <row r="4201" spans="1:15" x14ac:dyDescent="0.3">
      <c r="A4201" t="s">
        <v>6023</v>
      </c>
      <c r="B4201" t="s">
        <v>1300</v>
      </c>
      <c r="C4201" t="s">
        <v>607</v>
      </c>
      <c r="D4201" t="s">
        <v>1053</v>
      </c>
      <c r="E4201">
        <v>1</v>
      </c>
      <c r="F4201">
        <f>_xlfn.XLOOKUP(Table1[[#This Row],[ProductID]],Products!A:A,Products!D:D,,0)</f>
        <v>200</v>
      </c>
      <c r="I4201">
        <v>899</v>
      </c>
      <c r="J4201">
        <v>899</v>
      </c>
      <c r="K4201" t="s">
        <v>1102</v>
      </c>
      <c r="L4201">
        <v>899</v>
      </c>
      <c r="M4201" t="s">
        <v>1126</v>
      </c>
      <c r="N4201" t="s">
        <v>1099</v>
      </c>
      <c r="O4201">
        <f>Table1[[#This Row],[Unit_Price]]*Table1[[#This Row],[Quantity]]</f>
        <v>200</v>
      </c>
    </row>
    <row r="4202" spans="1:15" x14ac:dyDescent="0.3">
      <c r="A4202" t="s">
        <v>6024</v>
      </c>
      <c r="B4202" t="s">
        <v>2963</v>
      </c>
      <c r="C4202" t="s">
        <v>679</v>
      </c>
      <c r="D4202" t="s">
        <v>1051</v>
      </c>
      <c r="E4202">
        <v>1</v>
      </c>
      <c r="F4202">
        <f>_xlfn.XLOOKUP(Table1[[#This Row],[ProductID]],Products!A:A,Products!D:D,,0)</f>
        <v>150</v>
      </c>
      <c r="I4202">
        <v>499</v>
      </c>
      <c r="J4202">
        <v>499</v>
      </c>
      <c r="K4202" t="s">
        <v>1102</v>
      </c>
      <c r="L4202">
        <v>499</v>
      </c>
      <c r="M4202" t="s">
        <v>1098</v>
      </c>
      <c r="N4202" t="s">
        <v>1099</v>
      </c>
      <c r="O4202">
        <f>Table1[[#This Row],[Unit_Price]]*Table1[[#This Row],[Quantity]]</f>
        <v>150</v>
      </c>
    </row>
    <row r="4203" spans="1:15" x14ac:dyDescent="0.3">
      <c r="A4203" t="s">
        <v>6025</v>
      </c>
      <c r="B4203" t="s">
        <v>1375</v>
      </c>
      <c r="C4203" t="s">
        <v>639</v>
      </c>
      <c r="D4203" t="s">
        <v>1066</v>
      </c>
      <c r="E4203">
        <v>4</v>
      </c>
      <c r="F4203">
        <f>_xlfn.XLOOKUP(Table1[[#This Row],[ProductID]],Products!A:A,Products!D:D,,0)</f>
        <v>140</v>
      </c>
      <c r="I4203">
        <v>499</v>
      </c>
      <c r="J4203">
        <v>499</v>
      </c>
      <c r="K4203" t="s">
        <v>1102</v>
      </c>
      <c r="L4203">
        <v>1996</v>
      </c>
      <c r="M4203" t="s">
        <v>1098</v>
      </c>
      <c r="N4203" t="s">
        <v>1099</v>
      </c>
      <c r="O4203">
        <f>Table1[[#This Row],[Unit_Price]]*Table1[[#This Row],[Quantity]]</f>
        <v>560</v>
      </c>
    </row>
    <row r="4204" spans="1:15" x14ac:dyDescent="0.3">
      <c r="A4204" t="s">
        <v>6026</v>
      </c>
      <c r="B4204" t="s">
        <v>1668</v>
      </c>
      <c r="C4204" t="s">
        <v>83</v>
      </c>
      <c r="D4204" t="s">
        <v>1057</v>
      </c>
      <c r="E4204">
        <v>2</v>
      </c>
      <c r="F4204">
        <f>_xlfn.XLOOKUP(Table1[[#This Row],[ProductID]],Products!A:A,Products!D:D,,0)</f>
        <v>130</v>
      </c>
      <c r="I4204">
        <v>549</v>
      </c>
      <c r="J4204">
        <v>439</v>
      </c>
      <c r="K4204" t="s">
        <v>1097</v>
      </c>
      <c r="L4204">
        <v>878</v>
      </c>
      <c r="M4204" t="s">
        <v>1093</v>
      </c>
      <c r="N4204" t="s">
        <v>1123</v>
      </c>
      <c r="O4204">
        <f>Table1[[#This Row],[Unit_Price]]*Table1[[#This Row],[Quantity]]</f>
        <v>260</v>
      </c>
    </row>
    <row r="4205" spans="1:15" x14ac:dyDescent="0.3">
      <c r="A4205" t="s">
        <v>6027</v>
      </c>
      <c r="B4205" t="s">
        <v>1534</v>
      </c>
      <c r="C4205" t="s">
        <v>221</v>
      </c>
      <c r="D4205" t="s">
        <v>1057</v>
      </c>
      <c r="E4205">
        <v>2</v>
      </c>
      <c r="F4205">
        <f>_xlfn.XLOOKUP(Table1[[#This Row],[ProductID]],Products!A:A,Products!D:D,,0)</f>
        <v>130</v>
      </c>
      <c r="I4205">
        <v>549</v>
      </c>
      <c r="J4205">
        <v>494</v>
      </c>
      <c r="K4205" t="s">
        <v>1107</v>
      </c>
      <c r="L4205">
        <v>988</v>
      </c>
      <c r="M4205" t="s">
        <v>1126</v>
      </c>
      <c r="N4205" t="s">
        <v>1099</v>
      </c>
      <c r="O4205">
        <f>Table1[[#This Row],[Unit_Price]]*Table1[[#This Row],[Quantity]]</f>
        <v>260</v>
      </c>
    </row>
    <row r="4206" spans="1:15" x14ac:dyDescent="0.3">
      <c r="A4206" t="s">
        <v>6028</v>
      </c>
      <c r="B4206" t="s">
        <v>1355</v>
      </c>
      <c r="C4206" t="s">
        <v>305</v>
      </c>
      <c r="D4206" t="s">
        <v>1075</v>
      </c>
      <c r="E4206">
        <v>2</v>
      </c>
      <c r="F4206">
        <f>_xlfn.XLOOKUP(Table1[[#This Row],[ProductID]],Products!A:A,Products!D:D,,0)</f>
        <v>80</v>
      </c>
      <c r="I4206">
        <v>499</v>
      </c>
      <c r="J4206">
        <v>449</v>
      </c>
      <c r="K4206" t="s">
        <v>1107</v>
      </c>
      <c r="L4206">
        <v>898</v>
      </c>
      <c r="M4206" t="s">
        <v>1098</v>
      </c>
      <c r="N4206" t="s">
        <v>1099</v>
      </c>
      <c r="O4206">
        <f>Table1[[#This Row],[Unit_Price]]*Table1[[#This Row],[Quantity]]</f>
        <v>160</v>
      </c>
    </row>
    <row r="4207" spans="1:15" x14ac:dyDescent="0.3">
      <c r="A4207" t="s">
        <v>6029</v>
      </c>
      <c r="B4207" t="s">
        <v>2174</v>
      </c>
      <c r="C4207" t="s">
        <v>529</v>
      </c>
      <c r="D4207" t="s">
        <v>1078</v>
      </c>
      <c r="E4207">
        <v>1</v>
      </c>
      <c r="F4207">
        <f>_xlfn.XLOOKUP(Table1[[#This Row],[ProductID]],Products!A:A,Products!D:D,,0)</f>
        <v>80</v>
      </c>
      <c r="I4207">
        <v>499</v>
      </c>
      <c r="J4207">
        <v>424</v>
      </c>
      <c r="K4207" t="s">
        <v>1092</v>
      </c>
      <c r="L4207">
        <v>424</v>
      </c>
      <c r="M4207" t="s">
        <v>1098</v>
      </c>
      <c r="N4207" t="s">
        <v>1099</v>
      </c>
      <c r="O4207">
        <f>Table1[[#This Row],[Unit_Price]]*Table1[[#This Row],[Quantity]]</f>
        <v>80</v>
      </c>
    </row>
    <row r="4208" spans="1:15" x14ac:dyDescent="0.3">
      <c r="A4208" t="s">
        <v>6030</v>
      </c>
      <c r="B4208" t="s">
        <v>2461</v>
      </c>
      <c r="C4208" t="s">
        <v>471</v>
      </c>
      <c r="D4208" t="s">
        <v>1064</v>
      </c>
      <c r="E4208">
        <v>1</v>
      </c>
      <c r="F4208">
        <f>_xlfn.XLOOKUP(Table1[[#This Row],[ProductID]],Products!A:A,Products!D:D,,0)</f>
        <v>160</v>
      </c>
      <c r="I4208">
        <v>699</v>
      </c>
      <c r="J4208">
        <v>559</v>
      </c>
      <c r="K4208" t="s">
        <v>1097</v>
      </c>
      <c r="L4208">
        <v>559</v>
      </c>
      <c r="M4208" t="s">
        <v>1098</v>
      </c>
      <c r="N4208" t="s">
        <v>1099</v>
      </c>
      <c r="O4208">
        <f>Table1[[#This Row],[Unit_Price]]*Table1[[#This Row],[Quantity]]</f>
        <v>160</v>
      </c>
    </row>
    <row r="4209" spans="1:15" x14ac:dyDescent="0.3">
      <c r="A4209" t="s">
        <v>6031</v>
      </c>
      <c r="B4209" t="s">
        <v>1636</v>
      </c>
      <c r="C4209" t="s">
        <v>677</v>
      </c>
      <c r="D4209" t="s">
        <v>1071</v>
      </c>
      <c r="E4209">
        <v>4</v>
      </c>
      <c r="F4209">
        <f>_xlfn.XLOOKUP(Table1[[#This Row],[ProductID]],Products!A:A,Products!D:D,,0)</f>
        <v>125</v>
      </c>
      <c r="I4209">
        <v>399</v>
      </c>
      <c r="J4209">
        <v>399</v>
      </c>
      <c r="K4209" t="s">
        <v>1102</v>
      </c>
      <c r="L4209">
        <v>1596</v>
      </c>
      <c r="M4209" t="s">
        <v>1093</v>
      </c>
      <c r="N4209" t="s">
        <v>1099</v>
      </c>
      <c r="O4209">
        <f>Table1[[#This Row],[Unit_Price]]*Table1[[#This Row],[Quantity]]</f>
        <v>500</v>
      </c>
    </row>
    <row r="4210" spans="1:15" x14ac:dyDescent="0.3">
      <c r="A4210" t="s">
        <v>6032</v>
      </c>
      <c r="B4210" t="s">
        <v>2705</v>
      </c>
      <c r="C4210" t="s">
        <v>549</v>
      </c>
      <c r="D4210" t="s">
        <v>1048</v>
      </c>
      <c r="E4210">
        <v>3</v>
      </c>
      <c r="F4210">
        <f>_xlfn.XLOOKUP(Table1[[#This Row],[ProductID]],Products!A:A,Products!D:D,,0)</f>
        <v>120</v>
      </c>
      <c r="I4210">
        <v>599</v>
      </c>
      <c r="J4210">
        <v>599</v>
      </c>
      <c r="K4210" t="s">
        <v>1102</v>
      </c>
      <c r="L4210">
        <v>1797</v>
      </c>
      <c r="M4210" t="s">
        <v>1098</v>
      </c>
      <c r="N4210" t="s">
        <v>1099</v>
      </c>
      <c r="O4210">
        <f>Table1[[#This Row],[Unit_Price]]*Table1[[#This Row],[Quantity]]</f>
        <v>360</v>
      </c>
    </row>
    <row r="4211" spans="1:15" x14ac:dyDescent="0.3">
      <c r="A4211" t="s">
        <v>6033</v>
      </c>
      <c r="B4211" t="s">
        <v>3567</v>
      </c>
      <c r="C4211" t="s">
        <v>739</v>
      </c>
      <c r="D4211" t="s">
        <v>1059</v>
      </c>
      <c r="E4211">
        <v>1</v>
      </c>
      <c r="F4211">
        <f>_xlfn.XLOOKUP(Table1[[#This Row],[ProductID]],Products!A:A,Products!D:D,,0)</f>
        <v>110</v>
      </c>
      <c r="I4211">
        <v>399</v>
      </c>
      <c r="J4211">
        <v>359</v>
      </c>
      <c r="K4211" t="s">
        <v>1107</v>
      </c>
      <c r="L4211">
        <v>359</v>
      </c>
      <c r="M4211" t="s">
        <v>1093</v>
      </c>
      <c r="N4211" t="s">
        <v>1094</v>
      </c>
      <c r="O4211">
        <f>Table1[[#This Row],[Unit_Price]]*Table1[[#This Row],[Quantity]]</f>
        <v>110</v>
      </c>
    </row>
    <row r="4212" spans="1:15" x14ac:dyDescent="0.3">
      <c r="A4212" t="s">
        <v>6034</v>
      </c>
      <c r="B4212" t="s">
        <v>4260</v>
      </c>
      <c r="C4212" t="s">
        <v>913</v>
      </c>
      <c r="D4212" t="s">
        <v>1071</v>
      </c>
      <c r="E4212">
        <v>4</v>
      </c>
      <c r="F4212">
        <f>_xlfn.XLOOKUP(Table1[[#This Row],[ProductID]],Products!A:A,Products!D:D,,0)</f>
        <v>125</v>
      </c>
      <c r="I4212">
        <v>399</v>
      </c>
      <c r="J4212">
        <v>359</v>
      </c>
      <c r="K4212" t="s">
        <v>1107</v>
      </c>
      <c r="L4212">
        <v>1436</v>
      </c>
      <c r="M4212" t="s">
        <v>1098</v>
      </c>
      <c r="N4212" t="s">
        <v>1099</v>
      </c>
      <c r="O4212">
        <f>Table1[[#This Row],[Unit_Price]]*Table1[[#This Row],[Quantity]]</f>
        <v>500</v>
      </c>
    </row>
    <row r="4213" spans="1:15" x14ac:dyDescent="0.3">
      <c r="A4213" t="s">
        <v>6035</v>
      </c>
      <c r="B4213" t="s">
        <v>1457</v>
      </c>
      <c r="C4213" t="s">
        <v>675</v>
      </c>
      <c r="D4213" t="s">
        <v>1066</v>
      </c>
      <c r="E4213">
        <v>3</v>
      </c>
      <c r="F4213">
        <f>_xlfn.XLOOKUP(Table1[[#This Row],[ProductID]],Products!A:A,Products!D:D,,0)</f>
        <v>140</v>
      </c>
      <c r="I4213">
        <v>499</v>
      </c>
      <c r="J4213">
        <v>449</v>
      </c>
      <c r="K4213" t="s">
        <v>1107</v>
      </c>
      <c r="L4213">
        <v>1347</v>
      </c>
      <c r="M4213" t="s">
        <v>1098</v>
      </c>
      <c r="N4213" t="s">
        <v>1123</v>
      </c>
      <c r="O4213">
        <f>Table1[[#This Row],[Unit_Price]]*Table1[[#This Row],[Quantity]]</f>
        <v>420</v>
      </c>
    </row>
    <row r="4214" spans="1:15" x14ac:dyDescent="0.3">
      <c r="A4214" t="s">
        <v>6036</v>
      </c>
      <c r="B4214" t="s">
        <v>3230</v>
      </c>
      <c r="C4214" t="s">
        <v>1039</v>
      </c>
      <c r="D4214" t="s">
        <v>1055</v>
      </c>
      <c r="E4214">
        <v>1</v>
      </c>
      <c r="F4214">
        <f>_xlfn.XLOOKUP(Table1[[#This Row],[ProductID]],Products!A:A,Products!D:D,,0)</f>
        <v>75</v>
      </c>
      <c r="I4214">
        <v>299</v>
      </c>
      <c r="J4214">
        <v>269</v>
      </c>
      <c r="K4214" t="s">
        <v>1107</v>
      </c>
      <c r="L4214">
        <v>269</v>
      </c>
      <c r="M4214" t="s">
        <v>1098</v>
      </c>
      <c r="N4214" t="s">
        <v>1099</v>
      </c>
      <c r="O4214">
        <f>Table1[[#This Row],[Unit_Price]]*Table1[[#This Row],[Quantity]]</f>
        <v>75</v>
      </c>
    </row>
    <row r="4215" spans="1:15" x14ac:dyDescent="0.3">
      <c r="A4215" t="s">
        <v>6037</v>
      </c>
      <c r="B4215" t="s">
        <v>1166</v>
      </c>
      <c r="C4215" t="s">
        <v>779</v>
      </c>
      <c r="D4215" t="s">
        <v>1062</v>
      </c>
      <c r="E4215">
        <v>3</v>
      </c>
      <c r="F4215">
        <f>_xlfn.XLOOKUP(Table1[[#This Row],[ProductID]],Products!A:A,Products!D:D,,0)</f>
        <v>95</v>
      </c>
      <c r="I4215">
        <v>349</v>
      </c>
      <c r="J4215">
        <v>314</v>
      </c>
      <c r="K4215" t="s">
        <v>1107</v>
      </c>
      <c r="L4215">
        <v>942</v>
      </c>
      <c r="M4215" t="s">
        <v>1098</v>
      </c>
      <c r="N4215" t="s">
        <v>1099</v>
      </c>
      <c r="O4215">
        <f>Table1[[#This Row],[Unit_Price]]*Table1[[#This Row],[Quantity]]</f>
        <v>285</v>
      </c>
    </row>
    <row r="4216" spans="1:15" x14ac:dyDescent="0.3">
      <c r="A4216" t="s">
        <v>6038</v>
      </c>
      <c r="B4216" t="s">
        <v>2116</v>
      </c>
      <c r="C4216" t="s">
        <v>769</v>
      </c>
      <c r="D4216" t="s">
        <v>1066</v>
      </c>
      <c r="E4216">
        <v>1</v>
      </c>
      <c r="F4216">
        <f>_xlfn.XLOOKUP(Table1[[#This Row],[ProductID]],Products!A:A,Products!D:D,,0)</f>
        <v>140</v>
      </c>
      <c r="I4216">
        <v>499</v>
      </c>
      <c r="J4216">
        <v>499</v>
      </c>
      <c r="K4216" t="s">
        <v>1102</v>
      </c>
      <c r="L4216">
        <v>499</v>
      </c>
      <c r="M4216" t="s">
        <v>1126</v>
      </c>
      <c r="N4216" t="s">
        <v>1099</v>
      </c>
      <c r="O4216">
        <f>Table1[[#This Row],[Unit_Price]]*Table1[[#This Row],[Quantity]]</f>
        <v>140</v>
      </c>
    </row>
    <row r="4217" spans="1:15" x14ac:dyDescent="0.3">
      <c r="A4217" t="s">
        <v>6039</v>
      </c>
      <c r="B4217" t="s">
        <v>1659</v>
      </c>
      <c r="C4217" t="s">
        <v>651</v>
      </c>
      <c r="D4217" t="s">
        <v>1057</v>
      </c>
      <c r="E4217">
        <v>1</v>
      </c>
      <c r="F4217">
        <f>_xlfn.XLOOKUP(Table1[[#This Row],[ProductID]],Products!A:A,Products!D:D,,0)</f>
        <v>130</v>
      </c>
      <c r="I4217">
        <v>549</v>
      </c>
      <c r="J4217">
        <v>494</v>
      </c>
      <c r="K4217" t="s">
        <v>1107</v>
      </c>
      <c r="L4217">
        <v>494</v>
      </c>
      <c r="M4217" t="s">
        <v>1093</v>
      </c>
      <c r="N4217" t="s">
        <v>1123</v>
      </c>
      <c r="O4217">
        <f>Table1[[#This Row],[Unit_Price]]*Table1[[#This Row],[Quantity]]</f>
        <v>130</v>
      </c>
    </row>
    <row r="4218" spans="1:15" x14ac:dyDescent="0.3">
      <c r="A4218" t="s">
        <v>6040</v>
      </c>
      <c r="B4218" t="s">
        <v>2945</v>
      </c>
      <c r="C4218" t="s">
        <v>591</v>
      </c>
      <c r="D4218" t="s">
        <v>1071</v>
      </c>
      <c r="E4218">
        <v>1</v>
      </c>
      <c r="F4218">
        <f>_xlfn.XLOOKUP(Table1[[#This Row],[ProductID]],Products!A:A,Products!D:D,,0)</f>
        <v>125</v>
      </c>
      <c r="I4218">
        <v>399</v>
      </c>
      <c r="J4218">
        <v>359</v>
      </c>
      <c r="K4218" t="s">
        <v>1107</v>
      </c>
      <c r="L4218">
        <v>359</v>
      </c>
      <c r="M4218" t="s">
        <v>1093</v>
      </c>
      <c r="N4218" t="s">
        <v>1094</v>
      </c>
      <c r="O4218">
        <f>Table1[[#This Row],[Unit_Price]]*Table1[[#This Row],[Quantity]]</f>
        <v>125</v>
      </c>
    </row>
    <row r="4219" spans="1:15" x14ac:dyDescent="0.3">
      <c r="A4219" t="s">
        <v>6041</v>
      </c>
      <c r="B4219" t="s">
        <v>1614</v>
      </c>
      <c r="C4219" t="s">
        <v>699</v>
      </c>
      <c r="D4219" t="s">
        <v>1078</v>
      </c>
      <c r="E4219">
        <v>2</v>
      </c>
      <c r="F4219">
        <f>_xlfn.XLOOKUP(Table1[[#This Row],[ProductID]],Products!A:A,Products!D:D,,0)</f>
        <v>80</v>
      </c>
      <c r="I4219">
        <v>499</v>
      </c>
      <c r="J4219">
        <v>449</v>
      </c>
      <c r="K4219" t="s">
        <v>1107</v>
      </c>
      <c r="L4219">
        <v>898</v>
      </c>
      <c r="M4219" t="s">
        <v>1093</v>
      </c>
      <c r="N4219" t="s">
        <v>1094</v>
      </c>
      <c r="O4219">
        <f>Table1[[#This Row],[Unit_Price]]*Table1[[#This Row],[Quantity]]</f>
        <v>160</v>
      </c>
    </row>
    <row r="4220" spans="1:15" x14ac:dyDescent="0.3">
      <c r="A4220" t="s">
        <v>6042</v>
      </c>
      <c r="B4220" t="s">
        <v>1156</v>
      </c>
      <c r="C4220" t="s">
        <v>130</v>
      </c>
      <c r="D4220" t="s">
        <v>1073</v>
      </c>
      <c r="E4220">
        <v>3</v>
      </c>
      <c r="F4220">
        <f>_xlfn.XLOOKUP(Table1[[#This Row],[ProductID]],Products!A:A,Products!D:D,,0)</f>
        <v>100</v>
      </c>
      <c r="I4220">
        <v>349</v>
      </c>
      <c r="J4220">
        <v>279</v>
      </c>
      <c r="K4220" t="s">
        <v>1097</v>
      </c>
      <c r="L4220">
        <v>837</v>
      </c>
      <c r="M4220" t="s">
        <v>1098</v>
      </c>
      <c r="N4220" t="s">
        <v>1099</v>
      </c>
      <c r="O4220">
        <f>Table1[[#This Row],[Unit_Price]]*Table1[[#This Row],[Quantity]]</f>
        <v>300</v>
      </c>
    </row>
    <row r="4221" spans="1:15" x14ac:dyDescent="0.3">
      <c r="A4221" t="s">
        <v>6043</v>
      </c>
      <c r="B4221" t="s">
        <v>1865</v>
      </c>
      <c r="C4221" t="s">
        <v>979</v>
      </c>
      <c r="D4221" t="s">
        <v>1062</v>
      </c>
      <c r="E4221">
        <v>1</v>
      </c>
      <c r="F4221">
        <f>_xlfn.XLOOKUP(Table1[[#This Row],[ProductID]],Products!A:A,Products!D:D,,0)</f>
        <v>95</v>
      </c>
      <c r="I4221">
        <v>349</v>
      </c>
      <c r="J4221">
        <v>279</v>
      </c>
      <c r="K4221" t="s">
        <v>1097</v>
      </c>
      <c r="L4221">
        <v>279</v>
      </c>
      <c r="M4221" t="s">
        <v>1098</v>
      </c>
      <c r="N4221" t="s">
        <v>1099</v>
      </c>
      <c r="O4221">
        <f>Table1[[#This Row],[Unit_Price]]*Table1[[#This Row],[Quantity]]</f>
        <v>95</v>
      </c>
    </row>
    <row r="4222" spans="1:15" x14ac:dyDescent="0.3">
      <c r="A4222" t="s">
        <v>6044</v>
      </c>
      <c r="B4222" t="s">
        <v>1905</v>
      </c>
      <c r="C4222" t="s">
        <v>140</v>
      </c>
      <c r="D4222" t="s">
        <v>1068</v>
      </c>
      <c r="E4222">
        <v>2</v>
      </c>
      <c r="F4222">
        <f>_xlfn.XLOOKUP(Table1[[#This Row],[ProductID]],Products!A:A,Products!D:D,,0)</f>
        <v>180</v>
      </c>
      <c r="I4222">
        <v>449</v>
      </c>
      <c r="J4222">
        <v>449</v>
      </c>
      <c r="K4222" t="s">
        <v>1102</v>
      </c>
      <c r="L4222">
        <v>898</v>
      </c>
      <c r="M4222" t="s">
        <v>1093</v>
      </c>
      <c r="N4222" t="s">
        <v>1099</v>
      </c>
      <c r="O4222">
        <f>Table1[[#This Row],[Unit_Price]]*Table1[[#This Row],[Quantity]]</f>
        <v>360</v>
      </c>
    </row>
    <row r="4223" spans="1:15" x14ac:dyDescent="0.3">
      <c r="A4223" t="s">
        <v>6045</v>
      </c>
      <c r="B4223" t="s">
        <v>1132</v>
      </c>
      <c r="C4223" t="s">
        <v>841</v>
      </c>
      <c r="D4223" t="s">
        <v>1059</v>
      </c>
      <c r="E4223">
        <v>1</v>
      </c>
      <c r="F4223">
        <f>_xlfn.XLOOKUP(Table1[[#This Row],[ProductID]],Products!A:A,Products!D:D,,0)</f>
        <v>110</v>
      </c>
      <c r="I4223">
        <v>399</v>
      </c>
      <c r="J4223">
        <v>399</v>
      </c>
      <c r="K4223" t="s">
        <v>1102</v>
      </c>
      <c r="L4223">
        <v>399</v>
      </c>
      <c r="M4223" t="s">
        <v>1098</v>
      </c>
      <c r="N4223" t="s">
        <v>1099</v>
      </c>
      <c r="O4223">
        <f>Table1[[#This Row],[Unit_Price]]*Table1[[#This Row],[Quantity]]</f>
        <v>110</v>
      </c>
    </row>
    <row r="4224" spans="1:15" x14ac:dyDescent="0.3">
      <c r="A4224" t="s">
        <v>6046</v>
      </c>
      <c r="B4224" t="s">
        <v>2190</v>
      </c>
      <c r="C4224" t="s">
        <v>437</v>
      </c>
      <c r="D4224" t="s">
        <v>1071</v>
      </c>
      <c r="E4224">
        <v>1</v>
      </c>
      <c r="F4224">
        <f>_xlfn.XLOOKUP(Table1[[#This Row],[ProductID]],Products!A:A,Products!D:D,,0)</f>
        <v>125</v>
      </c>
      <c r="I4224">
        <v>399</v>
      </c>
      <c r="J4224">
        <v>339</v>
      </c>
      <c r="K4224" t="s">
        <v>1092</v>
      </c>
      <c r="L4224">
        <v>339</v>
      </c>
      <c r="M4224" t="s">
        <v>1093</v>
      </c>
      <c r="N4224" t="s">
        <v>1099</v>
      </c>
      <c r="O4224">
        <f>Table1[[#This Row],[Unit_Price]]*Table1[[#This Row],[Quantity]]</f>
        <v>125</v>
      </c>
    </row>
    <row r="4225" spans="1:15" x14ac:dyDescent="0.3">
      <c r="A4225" t="s">
        <v>6047</v>
      </c>
      <c r="B4225" t="s">
        <v>2487</v>
      </c>
      <c r="C4225" t="s">
        <v>857</v>
      </c>
      <c r="D4225" t="s">
        <v>1059</v>
      </c>
      <c r="E4225">
        <v>1</v>
      </c>
      <c r="F4225">
        <f>_xlfn.XLOOKUP(Table1[[#This Row],[ProductID]],Products!A:A,Products!D:D,,0)</f>
        <v>110</v>
      </c>
      <c r="I4225">
        <v>399</v>
      </c>
      <c r="J4225">
        <v>359</v>
      </c>
      <c r="K4225" t="s">
        <v>1107</v>
      </c>
      <c r="L4225">
        <v>359</v>
      </c>
      <c r="M4225" t="s">
        <v>1093</v>
      </c>
      <c r="N4225" t="s">
        <v>1099</v>
      </c>
      <c r="O4225">
        <f>Table1[[#This Row],[Unit_Price]]*Table1[[#This Row],[Quantity]]</f>
        <v>110</v>
      </c>
    </row>
    <row r="4226" spans="1:15" x14ac:dyDescent="0.3">
      <c r="A4226" t="s">
        <v>6048</v>
      </c>
      <c r="B4226" t="s">
        <v>1238</v>
      </c>
      <c r="C4226" t="s">
        <v>110</v>
      </c>
      <c r="D4226" t="s">
        <v>1048</v>
      </c>
      <c r="E4226">
        <v>1</v>
      </c>
      <c r="F4226">
        <f>_xlfn.XLOOKUP(Table1[[#This Row],[ProductID]],Products!A:A,Products!D:D,,0)</f>
        <v>120</v>
      </c>
      <c r="I4226">
        <v>599</v>
      </c>
      <c r="J4226">
        <v>509</v>
      </c>
      <c r="K4226" t="s">
        <v>1092</v>
      </c>
      <c r="L4226">
        <v>509</v>
      </c>
      <c r="M4226" t="s">
        <v>1098</v>
      </c>
      <c r="N4226" t="s">
        <v>1099</v>
      </c>
      <c r="O4226">
        <f>Table1[[#This Row],[Unit_Price]]*Table1[[#This Row],[Quantity]]</f>
        <v>120</v>
      </c>
    </row>
    <row r="4227" spans="1:15" x14ac:dyDescent="0.3">
      <c r="A4227" t="s">
        <v>6049</v>
      </c>
      <c r="B4227" t="s">
        <v>2605</v>
      </c>
      <c r="C4227" t="s">
        <v>563</v>
      </c>
      <c r="D4227" t="s">
        <v>1078</v>
      </c>
      <c r="E4227">
        <v>1</v>
      </c>
      <c r="F4227">
        <f>_xlfn.XLOOKUP(Table1[[#This Row],[ProductID]],Products!A:A,Products!D:D,,0)</f>
        <v>80</v>
      </c>
      <c r="I4227">
        <v>499</v>
      </c>
      <c r="J4227">
        <v>449</v>
      </c>
      <c r="K4227" t="s">
        <v>1107</v>
      </c>
      <c r="L4227">
        <v>449</v>
      </c>
      <c r="M4227" t="s">
        <v>1093</v>
      </c>
      <c r="N4227" t="s">
        <v>1099</v>
      </c>
      <c r="O4227">
        <f>Table1[[#This Row],[Unit_Price]]*Table1[[#This Row],[Quantity]]</f>
        <v>80</v>
      </c>
    </row>
    <row r="4228" spans="1:15" x14ac:dyDescent="0.3">
      <c r="A4228" t="s">
        <v>6050</v>
      </c>
      <c r="B4228" t="s">
        <v>2682</v>
      </c>
      <c r="C4228" t="s">
        <v>93</v>
      </c>
      <c r="D4228" t="s">
        <v>1048</v>
      </c>
      <c r="E4228">
        <v>2</v>
      </c>
      <c r="F4228">
        <f>_xlfn.XLOOKUP(Table1[[#This Row],[ProductID]],Products!A:A,Products!D:D,,0)</f>
        <v>120</v>
      </c>
      <c r="I4228">
        <v>599</v>
      </c>
      <c r="J4228">
        <v>599</v>
      </c>
      <c r="K4228" t="s">
        <v>1102</v>
      </c>
      <c r="L4228">
        <v>1198</v>
      </c>
      <c r="M4228" t="s">
        <v>1093</v>
      </c>
      <c r="N4228" t="s">
        <v>1094</v>
      </c>
      <c r="O4228">
        <f>Table1[[#This Row],[Unit_Price]]*Table1[[#This Row],[Quantity]]</f>
        <v>240</v>
      </c>
    </row>
    <row r="4229" spans="1:15" x14ac:dyDescent="0.3">
      <c r="A4229" t="s">
        <v>6051</v>
      </c>
      <c r="B4229" t="s">
        <v>1230</v>
      </c>
      <c r="C4229" t="s">
        <v>869</v>
      </c>
      <c r="D4229" t="s">
        <v>1068</v>
      </c>
      <c r="E4229">
        <v>2</v>
      </c>
      <c r="F4229">
        <f>_xlfn.XLOOKUP(Table1[[#This Row],[ProductID]],Products!A:A,Products!D:D,,0)</f>
        <v>180</v>
      </c>
      <c r="I4229">
        <v>449</v>
      </c>
      <c r="J4229">
        <v>359</v>
      </c>
      <c r="K4229" t="s">
        <v>1097</v>
      </c>
      <c r="L4229">
        <v>718</v>
      </c>
      <c r="M4229" t="s">
        <v>1098</v>
      </c>
      <c r="N4229" t="s">
        <v>1099</v>
      </c>
      <c r="O4229">
        <f>Table1[[#This Row],[Unit_Price]]*Table1[[#This Row],[Quantity]]</f>
        <v>360</v>
      </c>
    </row>
    <row r="4230" spans="1:15" x14ac:dyDescent="0.3">
      <c r="A4230" t="s">
        <v>6052</v>
      </c>
      <c r="B4230" t="s">
        <v>3109</v>
      </c>
      <c r="C4230" t="s">
        <v>289</v>
      </c>
      <c r="D4230" t="s">
        <v>1048</v>
      </c>
      <c r="E4230">
        <v>2</v>
      </c>
      <c r="F4230">
        <f>_xlfn.XLOOKUP(Table1[[#This Row],[ProductID]],Products!A:A,Products!D:D,,0)</f>
        <v>120</v>
      </c>
      <c r="I4230">
        <v>599</v>
      </c>
      <c r="J4230">
        <v>599</v>
      </c>
      <c r="K4230" t="s">
        <v>1102</v>
      </c>
      <c r="L4230">
        <v>1198</v>
      </c>
      <c r="M4230" t="s">
        <v>1098</v>
      </c>
      <c r="N4230" t="s">
        <v>1099</v>
      </c>
      <c r="O4230">
        <f>Table1[[#This Row],[Unit_Price]]*Table1[[#This Row],[Quantity]]</f>
        <v>240</v>
      </c>
    </row>
    <row r="4231" spans="1:15" x14ac:dyDescent="0.3">
      <c r="A4231" t="s">
        <v>6053</v>
      </c>
      <c r="B4231" t="s">
        <v>1475</v>
      </c>
      <c r="C4231" t="s">
        <v>469</v>
      </c>
      <c r="D4231" t="s">
        <v>1080</v>
      </c>
      <c r="E4231">
        <v>1</v>
      </c>
      <c r="F4231">
        <f>_xlfn.XLOOKUP(Table1[[#This Row],[ProductID]],Products!A:A,Products!D:D,,0)</f>
        <v>45</v>
      </c>
      <c r="I4231">
        <v>249</v>
      </c>
      <c r="J4231">
        <v>224</v>
      </c>
      <c r="K4231" t="s">
        <v>1107</v>
      </c>
      <c r="L4231">
        <v>224</v>
      </c>
      <c r="M4231" t="s">
        <v>1098</v>
      </c>
      <c r="N4231" t="s">
        <v>1099</v>
      </c>
      <c r="O4231">
        <f>Table1[[#This Row],[Unit_Price]]*Table1[[#This Row],[Quantity]]</f>
        <v>45</v>
      </c>
    </row>
    <row r="4232" spans="1:15" x14ac:dyDescent="0.3">
      <c r="A4232" t="s">
        <v>6054</v>
      </c>
      <c r="B4232" t="s">
        <v>1252</v>
      </c>
      <c r="C4232" t="s">
        <v>897</v>
      </c>
      <c r="D4232" t="s">
        <v>1059</v>
      </c>
      <c r="E4232">
        <v>1</v>
      </c>
      <c r="F4232">
        <f>_xlfn.XLOOKUP(Table1[[#This Row],[ProductID]],Products!A:A,Products!D:D,,0)</f>
        <v>110</v>
      </c>
      <c r="I4232">
        <v>399</v>
      </c>
      <c r="J4232">
        <v>319</v>
      </c>
      <c r="K4232" t="s">
        <v>1097</v>
      </c>
      <c r="L4232">
        <v>319</v>
      </c>
      <c r="M4232" t="s">
        <v>1126</v>
      </c>
      <c r="N4232" t="s">
        <v>1099</v>
      </c>
      <c r="O4232">
        <f>Table1[[#This Row],[Unit_Price]]*Table1[[#This Row],[Quantity]]</f>
        <v>110</v>
      </c>
    </row>
    <row r="4233" spans="1:15" x14ac:dyDescent="0.3">
      <c r="A4233" t="s">
        <v>6055</v>
      </c>
      <c r="B4233" t="s">
        <v>3516</v>
      </c>
      <c r="C4233" t="s">
        <v>921</v>
      </c>
      <c r="D4233" t="s">
        <v>1071</v>
      </c>
      <c r="E4233">
        <v>1</v>
      </c>
      <c r="F4233">
        <f>_xlfn.XLOOKUP(Table1[[#This Row],[ProductID]],Products!A:A,Products!D:D,,0)</f>
        <v>125</v>
      </c>
      <c r="I4233">
        <v>399</v>
      </c>
      <c r="J4233">
        <v>319</v>
      </c>
      <c r="K4233" t="s">
        <v>1097</v>
      </c>
      <c r="L4233">
        <v>319</v>
      </c>
      <c r="M4233" t="s">
        <v>1093</v>
      </c>
      <c r="N4233" t="s">
        <v>1123</v>
      </c>
      <c r="O4233">
        <f>Table1[[#This Row],[Unit_Price]]*Table1[[#This Row],[Quantity]]</f>
        <v>125</v>
      </c>
    </row>
    <row r="4234" spans="1:15" x14ac:dyDescent="0.3">
      <c r="A4234" t="s">
        <v>6056</v>
      </c>
      <c r="B4234" t="s">
        <v>1488</v>
      </c>
      <c r="C4234" t="s">
        <v>635</v>
      </c>
      <c r="D4234" t="s">
        <v>1051</v>
      </c>
      <c r="E4234">
        <v>1</v>
      </c>
      <c r="F4234">
        <f>_xlfn.XLOOKUP(Table1[[#This Row],[ProductID]],Products!A:A,Products!D:D,,0)</f>
        <v>150</v>
      </c>
      <c r="I4234">
        <v>499</v>
      </c>
      <c r="J4234">
        <v>499</v>
      </c>
      <c r="K4234" t="s">
        <v>1102</v>
      </c>
      <c r="L4234">
        <v>499</v>
      </c>
      <c r="M4234" t="s">
        <v>1093</v>
      </c>
      <c r="N4234" t="s">
        <v>1094</v>
      </c>
      <c r="O4234">
        <f>Table1[[#This Row],[Unit_Price]]*Table1[[#This Row],[Quantity]]</f>
        <v>150</v>
      </c>
    </row>
    <row r="4235" spans="1:15" x14ac:dyDescent="0.3">
      <c r="A4235" t="s">
        <v>6057</v>
      </c>
      <c r="B4235" t="s">
        <v>1347</v>
      </c>
      <c r="C4235" t="s">
        <v>199</v>
      </c>
      <c r="D4235" t="s">
        <v>1071</v>
      </c>
      <c r="E4235">
        <v>4</v>
      </c>
      <c r="F4235">
        <f>_xlfn.XLOOKUP(Table1[[#This Row],[ProductID]],Products!A:A,Products!D:D,,0)</f>
        <v>125</v>
      </c>
      <c r="I4235">
        <v>399</v>
      </c>
      <c r="J4235">
        <v>359</v>
      </c>
      <c r="K4235" t="s">
        <v>1107</v>
      </c>
      <c r="L4235">
        <v>1436</v>
      </c>
      <c r="M4235" t="s">
        <v>1098</v>
      </c>
      <c r="N4235" t="s">
        <v>1099</v>
      </c>
      <c r="O4235">
        <f>Table1[[#This Row],[Unit_Price]]*Table1[[#This Row],[Quantity]]</f>
        <v>500</v>
      </c>
    </row>
    <row r="4236" spans="1:15" x14ac:dyDescent="0.3">
      <c r="A4236" t="s">
        <v>6058</v>
      </c>
      <c r="B4236" t="s">
        <v>1418</v>
      </c>
      <c r="C4236" t="s">
        <v>843</v>
      </c>
      <c r="D4236" t="s">
        <v>1055</v>
      </c>
      <c r="E4236">
        <v>2</v>
      </c>
      <c r="F4236">
        <f>_xlfn.XLOOKUP(Table1[[#This Row],[ProductID]],Products!A:A,Products!D:D,,0)</f>
        <v>75</v>
      </c>
      <c r="I4236">
        <v>299</v>
      </c>
      <c r="J4236">
        <v>239</v>
      </c>
      <c r="K4236" t="s">
        <v>1097</v>
      </c>
      <c r="L4236">
        <v>478</v>
      </c>
      <c r="M4236" t="s">
        <v>1126</v>
      </c>
      <c r="N4236" t="s">
        <v>1099</v>
      </c>
      <c r="O4236">
        <f>Table1[[#This Row],[Unit_Price]]*Table1[[#This Row],[Quantity]]</f>
        <v>150</v>
      </c>
    </row>
    <row r="4237" spans="1:15" x14ac:dyDescent="0.3">
      <c r="A4237" t="s">
        <v>6059</v>
      </c>
      <c r="B4237" t="s">
        <v>1248</v>
      </c>
      <c r="C4237" t="s">
        <v>1007</v>
      </c>
      <c r="D4237" t="s">
        <v>1073</v>
      </c>
      <c r="E4237">
        <v>2</v>
      </c>
      <c r="F4237">
        <f>_xlfn.XLOOKUP(Table1[[#This Row],[ProductID]],Products!A:A,Products!D:D,,0)</f>
        <v>100</v>
      </c>
      <c r="I4237">
        <v>349</v>
      </c>
      <c r="J4237">
        <v>279</v>
      </c>
      <c r="K4237" t="s">
        <v>1097</v>
      </c>
      <c r="L4237">
        <v>558</v>
      </c>
      <c r="M4237" t="s">
        <v>1098</v>
      </c>
      <c r="N4237" t="s">
        <v>1099</v>
      </c>
      <c r="O4237">
        <f>Table1[[#This Row],[Unit_Price]]*Table1[[#This Row],[Quantity]]</f>
        <v>200</v>
      </c>
    </row>
    <row r="4238" spans="1:15" x14ac:dyDescent="0.3">
      <c r="A4238" t="s">
        <v>6060</v>
      </c>
      <c r="B4238" t="s">
        <v>2347</v>
      </c>
      <c r="C4238" t="s">
        <v>547</v>
      </c>
      <c r="D4238" t="s">
        <v>1057</v>
      </c>
      <c r="E4238">
        <v>1</v>
      </c>
      <c r="F4238">
        <f>_xlfn.XLOOKUP(Table1[[#This Row],[ProductID]],Products!A:A,Products!D:D,,0)</f>
        <v>130</v>
      </c>
      <c r="I4238">
        <v>549</v>
      </c>
      <c r="J4238">
        <v>439</v>
      </c>
      <c r="K4238" t="s">
        <v>1097</v>
      </c>
      <c r="L4238">
        <v>439</v>
      </c>
      <c r="M4238" t="s">
        <v>1093</v>
      </c>
      <c r="N4238" t="s">
        <v>1099</v>
      </c>
      <c r="O4238">
        <f>Table1[[#This Row],[Unit_Price]]*Table1[[#This Row],[Quantity]]</f>
        <v>130</v>
      </c>
    </row>
    <row r="4239" spans="1:15" x14ac:dyDescent="0.3">
      <c r="A4239" t="s">
        <v>6061</v>
      </c>
      <c r="B4239" t="s">
        <v>3329</v>
      </c>
      <c r="C4239" t="s">
        <v>915</v>
      </c>
      <c r="D4239" t="s">
        <v>1055</v>
      </c>
      <c r="E4239">
        <v>2</v>
      </c>
      <c r="F4239">
        <f>_xlfn.XLOOKUP(Table1[[#This Row],[ProductID]],Products!A:A,Products!D:D,,0)</f>
        <v>75</v>
      </c>
      <c r="I4239">
        <v>299</v>
      </c>
      <c r="J4239">
        <v>269</v>
      </c>
      <c r="K4239" t="s">
        <v>1107</v>
      </c>
      <c r="L4239">
        <v>538</v>
      </c>
      <c r="M4239" t="s">
        <v>1098</v>
      </c>
      <c r="N4239" t="s">
        <v>1099</v>
      </c>
      <c r="O4239">
        <f>Table1[[#This Row],[Unit_Price]]*Table1[[#This Row],[Quantity]]</f>
        <v>150</v>
      </c>
    </row>
    <row r="4240" spans="1:15" x14ac:dyDescent="0.3">
      <c r="A4240" t="s">
        <v>6062</v>
      </c>
      <c r="B4240" t="s">
        <v>1624</v>
      </c>
      <c r="C4240" t="s">
        <v>987</v>
      </c>
      <c r="D4240" t="s">
        <v>1059</v>
      </c>
      <c r="E4240">
        <v>1</v>
      </c>
      <c r="F4240">
        <f>_xlfn.XLOOKUP(Table1[[#This Row],[ProductID]],Products!A:A,Products!D:D,,0)</f>
        <v>110</v>
      </c>
      <c r="I4240">
        <v>399</v>
      </c>
      <c r="J4240">
        <v>359</v>
      </c>
      <c r="K4240" t="s">
        <v>1107</v>
      </c>
      <c r="L4240">
        <v>359</v>
      </c>
      <c r="M4240" t="s">
        <v>1098</v>
      </c>
      <c r="N4240" t="s">
        <v>1099</v>
      </c>
      <c r="O4240">
        <f>Table1[[#This Row],[Unit_Price]]*Table1[[#This Row],[Quantity]]</f>
        <v>110</v>
      </c>
    </row>
    <row r="4241" spans="1:15" x14ac:dyDescent="0.3">
      <c r="A4241" t="s">
        <v>6063</v>
      </c>
      <c r="B4241" t="s">
        <v>1493</v>
      </c>
      <c r="C4241" t="s">
        <v>1003</v>
      </c>
      <c r="D4241" t="s">
        <v>1073</v>
      </c>
      <c r="E4241">
        <v>2</v>
      </c>
      <c r="F4241">
        <f>_xlfn.XLOOKUP(Table1[[#This Row],[ProductID]],Products!A:A,Products!D:D,,0)</f>
        <v>100</v>
      </c>
      <c r="I4241">
        <v>349</v>
      </c>
      <c r="J4241">
        <v>279</v>
      </c>
      <c r="K4241" t="s">
        <v>1097</v>
      </c>
      <c r="L4241">
        <v>558</v>
      </c>
      <c r="M4241" t="s">
        <v>1098</v>
      </c>
      <c r="N4241" t="s">
        <v>1123</v>
      </c>
      <c r="O4241">
        <f>Table1[[#This Row],[Unit_Price]]*Table1[[#This Row],[Quantity]]</f>
        <v>200</v>
      </c>
    </row>
    <row r="4242" spans="1:15" x14ac:dyDescent="0.3">
      <c r="A4242" t="s">
        <v>6064</v>
      </c>
      <c r="B4242" t="s">
        <v>1337</v>
      </c>
      <c r="C4242" t="s">
        <v>1035</v>
      </c>
      <c r="D4242" t="s">
        <v>1057</v>
      </c>
      <c r="E4242">
        <v>2</v>
      </c>
      <c r="F4242">
        <f>_xlfn.XLOOKUP(Table1[[#This Row],[ProductID]],Products!A:A,Products!D:D,,0)</f>
        <v>130</v>
      </c>
      <c r="I4242">
        <v>549</v>
      </c>
      <c r="J4242">
        <v>494</v>
      </c>
      <c r="K4242" t="s">
        <v>1107</v>
      </c>
      <c r="L4242">
        <v>988</v>
      </c>
      <c r="M4242" t="s">
        <v>1098</v>
      </c>
      <c r="N4242" t="s">
        <v>1099</v>
      </c>
      <c r="O4242">
        <f>Table1[[#This Row],[Unit_Price]]*Table1[[#This Row],[Quantity]]</f>
        <v>260</v>
      </c>
    </row>
    <row r="4243" spans="1:15" x14ac:dyDescent="0.3">
      <c r="A4243" t="s">
        <v>6065</v>
      </c>
      <c r="B4243" t="s">
        <v>3415</v>
      </c>
      <c r="C4243" t="s">
        <v>559</v>
      </c>
      <c r="D4243" t="s">
        <v>1053</v>
      </c>
      <c r="E4243">
        <v>1</v>
      </c>
      <c r="F4243">
        <f>_xlfn.XLOOKUP(Table1[[#This Row],[ProductID]],Products!A:A,Products!D:D,,0)</f>
        <v>200</v>
      </c>
      <c r="I4243">
        <v>899</v>
      </c>
      <c r="J4243">
        <v>809</v>
      </c>
      <c r="K4243" t="s">
        <v>1107</v>
      </c>
      <c r="L4243">
        <v>809</v>
      </c>
      <c r="M4243" t="s">
        <v>1098</v>
      </c>
      <c r="N4243" t="s">
        <v>1099</v>
      </c>
      <c r="O4243">
        <f>Table1[[#This Row],[Unit_Price]]*Table1[[#This Row],[Quantity]]</f>
        <v>200</v>
      </c>
    </row>
    <row r="4244" spans="1:15" x14ac:dyDescent="0.3">
      <c r="A4244" t="s">
        <v>6066</v>
      </c>
      <c r="B4244" t="s">
        <v>1723</v>
      </c>
      <c r="C4244" t="s">
        <v>187</v>
      </c>
      <c r="D4244" t="s">
        <v>1075</v>
      </c>
      <c r="E4244">
        <v>1</v>
      </c>
      <c r="F4244">
        <f>_xlfn.XLOOKUP(Table1[[#This Row],[ProductID]],Products!A:A,Products!D:D,,0)</f>
        <v>80</v>
      </c>
      <c r="I4244">
        <v>499</v>
      </c>
      <c r="J4244">
        <v>399</v>
      </c>
      <c r="K4244" t="s">
        <v>1097</v>
      </c>
      <c r="L4244">
        <v>399</v>
      </c>
      <c r="M4244" t="s">
        <v>1093</v>
      </c>
      <c r="N4244" t="s">
        <v>1094</v>
      </c>
      <c r="O4244">
        <f>Table1[[#This Row],[Unit_Price]]*Table1[[#This Row],[Quantity]]</f>
        <v>80</v>
      </c>
    </row>
    <row r="4245" spans="1:15" x14ac:dyDescent="0.3">
      <c r="A4245" t="s">
        <v>6067</v>
      </c>
      <c r="B4245" t="s">
        <v>1457</v>
      </c>
      <c r="C4245" t="s">
        <v>541</v>
      </c>
      <c r="D4245" t="s">
        <v>1057</v>
      </c>
      <c r="E4245">
        <v>1</v>
      </c>
      <c r="F4245">
        <f>_xlfn.XLOOKUP(Table1[[#This Row],[ProductID]],Products!A:A,Products!D:D,,0)</f>
        <v>130</v>
      </c>
      <c r="I4245">
        <v>549</v>
      </c>
      <c r="J4245">
        <v>494</v>
      </c>
      <c r="K4245" t="s">
        <v>1107</v>
      </c>
      <c r="L4245">
        <v>494</v>
      </c>
      <c r="M4245" t="s">
        <v>1098</v>
      </c>
      <c r="N4245" t="s">
        <v>1099</v>
      </c>
      <c r="O4245">
        <f>Table1[[#This Row],[Unit_Price]]*Table1[[#This Row],[Quantity]]</f>
        <v>130</v>
      </c>
    </row>
    <row r="4246" spans="1:15" x14ac:dyDescent="0.3">
      <c r="A4246" t="s">
        <v>6068</v>
      </c>
      <c r="B4246" t="s">
        <v>3507</v>
      </c>
      <c r="C4246" t="s">
        <v>259</v>
      </c>
      <c r="D4246" t="s">
        <v>1055</v>
      </c>
      <c r="E4246">
        <v>1</v>
      </c>
      <c r="F4246">
        <f>_xlfn.XLOOKUP(Table1[[#This Row],[ProductID]],Products!A:A,Products!D:D,,0)</f>
        <v>75</v>
      </c>
      <c r="I4246">
        <v>299</v>
      </c>
      <c r="J4246">
        <v>269</v>
      </c>
      <c r="K4246" t="s">
        <v>1107</v>
      </c>
      <c r="L4246">
        <v>269</v>
      </c>
      <c r="M4246" t="s">
        <v>1093</v>
      </c>
      <c r="N4246" t="s">
        <v>1094</v>
      </c>
      <c r="O4246">
        <f>Table1[[#This Row],[Unit_Price]]*Table1[[#This Row],[Quantity]]</f>
        <v>75</v>
      </c>
    </row>
    <row r="4247" spans="1:15" x14ac:dyDescent="0.3">
      <c r="A4247" t="s">
        <v>6069</v>
      </c>
      <c r="B4247" t="s">
        <v>1339</v>
      </c>
      <c r="C4247" t="s">
        <v>783</v>
      </c>
      <c r="D4247" t="s">
        <v>1057</v>
      </c>
      <c r="E4247">
        <v>2</v>
      </c>
      <c r="F4247">
        <f>_xlfn.XLOOKUP(Table1[[#This Row],[ProductID]],Products!A:A,Products!D:D,,0)</f>
        <v>130</v>
      </c>
      <c r="I4247">
        <v>549</v>
      </c>
      <c r="J4247">
        <v>439</v>
      </c>
      <c r="K4247" t="s">
        <v>1097</v>
      </c>
      <c r="L4247">
        <v>878</v>
      </c>
      <c r="M4247" t="s">
        <v>1118</v>
      </c>
      <c r="N4247" t="s">
        <v>1099</v>
      </c>
      <c r="O4247">
        <f>Table1[[#This Row],[Unit_Price]]*Table1[[#This Row],[Quantity]]</f>
        <v>260</v>
      </c>
    </row>
    <row r="4248" spans="1:15" x14ac:dyDescent="0.3">
      <c r="A4248" t="s">
        <v>6070</v>
      </c>
      <c r="B4248" t="s">
        <v>1909</v>
      </c>
      <c r="C4248" t="s">
        <v>189</v>
      </c>
      <c r="D4248" t="s">
        <v>1078</v>
      </c>
      <c r="E4248">
        <v>1</v>
      </c>
      <c r="F4248">
        <f>_xlfn.XLOOKUP(Table1[[#This Row],[ProductID]],Products!A:A,Products!D:D,,0)</f>
        <v>80</v>
      </c>
      <c r="I4248">
        <v>499</v>
      </c>
      <c r="J4248">
        <v>449</v>
      </c>
      <c r="K4248" t="s">
        <v>1107</v>
      </c>
      <c r="L4248">
        <v>449</v>
      </c>
      <c r="M4248" t="s">
        <v>1093</v>
      </c>
      <c r="N4248" t="s">
        <v>1099</v>
      </c>
      <c r="O4248">
        <f>Table1[[#This Row],[Unit_Price]]*Table1[[#This Row],[Quantity]]</f>
        <v>80</v>
      </c>
    </row>
    <row r="4249" spans="1:15" x14ac:dyDescent="0.3">
      <c r="A4249" t="s">
        <v>6071</v>
      </c>
      <c r="B4249" t="s">
        <v>1650</v>
      </c>
      <c r="C4249" t="s">
        <v>345</v>
      </c>
      <c r="D4249" t="s">
        <v>1055</v>
      </c>
      <c r="E4249">
        <v>4</v>
      </c>
      <c r="F4249">
        <f>_xlfn.XLOOKUP(Table1[[#This Row],[ProductID]],Products!A:A,Products!D:D,,0)</f>
        <v>75</v>
      </c>
      <c r="I4249">
        <v>299</v>
      </c>
      <c r="J4249">
        <v>254</v>
      </c>
      <c r="K4249" t="s">
        <v>1092</v>
      </c>
      <c r="L4249">
        <v>1016</v>
      </c>
      <c r="M4249" t="s">
        <v>1093</v>
      </c>
      <c r="N4249" t="s">
        <v>1099</v>
      </c>
      <c r="O4249">
        <f>Table1[[#This Row],[Unit_Price]]*Table1[[#This Row],[Quantity]]</f>
        <v>300</v>
      </c>
    </row>
    <row r="4250" spans="1:15" x14ac:dyDescent="0.3">
      <c r="A4250" t="s">
        <v>6072</v>
      </c>
      <c r="B4250" t="s">
        <v>2628</v>
      </c>
      <c r="C4250" t="s">
        <v>645</v>
      </c>
      <c r="D4250" t="s">
        <v>1080</v>
      </c>
      <c r="E4250">
        <v>1</v>
      </c>
      <c r="F4250">
        <f>_xlfn.XLOOKUP(Table1[[#This Row],[ProductID]],Products!A:A,Products!D:D,,0)</f>
        <v>45</v>
      </c>
      <c r="I4250">
        <v>249</v>
      </c>
      <c r="J4250">
        <v>212</v>
      </c>
      <c r="K4250" t="s">
        <v>1092</v>
      </c>
      <c r="L4250">
        <v>212</v>
      </c>
      <c r="M4250" t="s">
        <v>1098</v>
      </c>
      <c r="N4250" t="s">
        <v>1099</v>
      </c>
      <c r="O4250">
        <f>Table1[[#This Row],[Unit_Price]]*Table1[[#This Row],[Quantity]]</f>
        <v>45</v>
      </c>
    </row>
    <row r="4251" spans="1:15" x14ac:dyDescent="0.3">
      <c r="A4251" t="s">
        <v>6073</v>
      </c>
      <c r="B4251" t="s">
        <v>3399</v>
      </c>
      <c r="C4251" t="s">
        <v>345</v>
      </c>
      <c r="D4251" t="s">
        <v>1048</v>
      </c>
      <c r="E4251">
        <v>2</v>
      </c>
      <c r="F4251">
        <f>_xlfn.XLOOKUP(Table1[[#This Row],[ProductID]],Products!A:A,Products!D:D,,0)</f>
        <v>120</v>
      </c>
      <c r="I4251">
        <v>599</v>
      </c>
      <c r="J4251">
        <v>539</v>
      </c>
      <c r="K4251" t="s">
        <v>1107</v>
      </c>
      <c r="L4251">
        <v>1078</v>
      </c>
      <c r="M4251" t="s">
        <v>1118</v>
      </c>
      <c r="N4251" t="s">
        <v>1099</v>
      </c>
      <c r="O4251">
        <f>Table1[[#This Row],[Unit_Price]]*Table1[[#This Row],[Quantity]]</f>
        <v>240</v>
      </c>
    </row>
    <row r="4252" spans="1:15" x14ac:dyDescent="0.3">
      <c r="A4252" t="s">
        <v>6074</v>
      </c>
      <c r="B4252" t="s">
        <v>2682</v>
      </c>
      <c r="C4252" t="s">
        <v>295</v>
      </c>
      <c r="D4252" t="s">
        <v>1048</v>
      </c>
      <c r="E4252">
        <v>1</v>
      </c>
      <c r="F4252">
        <f>_xlfn.XLOOKUP(Table1[[#This Row],[ProductID]],Products!A:A,Products!D:D,,0)</f>
        <v>120</v>
      </c>
      <c r="I4252">
        <v>599</v>
      </c>
      <c r="J4252">
        <v>479</v>
      </c>
      <c r="K4252" t="s">
        <v>1097</v>
      </c>
      <c r="L4252">
        <v>479</v>
      </c>
      <c r="M4252" t="s">
        <v>1093</v>
      </c>
      <c r="N4252" t="s">
        <v>1099</v>
      </c>
      <c r="O4252">
        <f>Table1[[#This Row],[Unit_Price]]*Table1[[#This Row],[Quantity]]</f>
        <v>120</v>
      </c>
    </row>
    <row r="4253" spans="1:15" x14ac:dyDescent="0.3">
      <c r="A4253" t="s">
        <v>6075</v>
      </c>
      <c r="B4253" t="s">
        <v>2085</v>
      </c>
      <c r="C4253" t="s">
        <v>701</v>
      </c>
      <c r="D4253" t="s">
        <v>1055</v>
      </c>
      <c r="E4253">
        <v>2</v>
      </c>
      <c r="F4253">
        <f>_xlfn.XLOOKUP(Table1[[#This Row],[ProductID]],Products!A:A,Products!D:D,,0)</f>
        <v>75</v>
      </c>
      <c r="I4253">
        <v>299</v>
      </c>
      <c r="J4253">
        <v>269</v>
      </c>
      <c r="K4253" t="s">
        <v>1107</v>
      </c>
      <c r="L4253">
        <v>538</v>
      </c>
      <c r="M4253" t="s">
        <v>1126</v>
      </c>
      <c r="N4253" t="s">
        <v>1099</v>
      </c>
      <c r="O4253">
        <f>Table1[[#This Row],[Unit_Price]]*Table1[[#This Row],[Quantity]]</f>
        <v>150</v>
      </c>
    </row>
    <row r="4254" spans="1:15" x14ac:dyDescent="0.3">
      <c r="A4254" t="s">
        <v>6076</v>
      </c>
      <c r="B4254" t="s">
        <v>1250</v>
      </c>
      <c r="C4254" t="s">
        <v>353</v>
      </c>
      <c r="D4254" t="s">
        <v>1078</v>
      </c>
      <c r="E4254">
        <v>3</v>
      </c>
      <c r="F4254">
        <f>_xlfn.XLOOKUP(Table1[[#This Row],[ProductID]],Products!A:A,Products!D:D,,0)</f>
        <v>80</v>
      </c>
      <c r="I4254">
        <v>499</v>
      </c>
      <c r="J4254">
        <v>424</v>
      </c>
      <c r="K4254" t="s">
        <v>1092</v>
      </c>
      <c r="L4254">
        <v>1272</v>
      </c>
      <c r="M4254" t="s">
        <v>1093</v>
      </c>
      <c r="N4254" t="s">
        <v>1094</v>
      </c>
      <c r="O4254">
        <f>Table1[[#This Row],[Unit_Price]]*Table1[[#This Row],[Quantity]]</f>
        <v>240</v>
      </c>
    </row>
    <row r="4255" spans="1:15" x14ac:dyDescent="0.3">
      <c r="A4255" t="s">
        <v>6077</v>
      </c>
      <c r="B4255" t="s">
        <v>1281</v>
      </c>
      <c r="C4255" t="s">
        <v>435</v>
      </c>
      <c r="D4255" t="s">
        <v>1055</v>
      </c>
      <c r="E4255">
        <v>1</v>
      </c>
      <c r="F4255">
        <f>_xlfn.XLOOKUP(Table1[[#This Row],[ProductID]],Products!A:A,Products!D:D,,0)</f>
        <v>75</v>
      </c>
      <c r="I4255">
        <v>299</v>
      </c>
      <c r="J4255">
        <v>239</v>
      </c>
      <c r="K4255" t="s">
        <v>1097</v>
      </c>
      <c r="L4255">
        <v>239</v>
      </c>
      <c r="M4255" t="s">
        <v>1093</v>
      </c>
      <c r="N4255" t="s">
        <v>1099</v>
      </c>
      <c r="O4255">
        <f>Table1[[#This Row],[Unit_Price]]*Table1[[#This Row],[Quantity]]</f>
        <v>75</v>
      </c>
    </row>
    <row r="4256" spans="1:15" x14ac:dyDescent="0.3">
      <c r="A4256" t="s">
        <v>6078</v>
      </c>
      <c r="B4256" t="s">
        <v>2354</v>
      </c>
      <c r="C4256" t="s">
        <v>543</v>
      </c>
      <c r="D4256" t="s">
        <v>1053</v>
      </c>
      <c r="E4256">
        <v>2</v>
      </c>
      <c r="F4256">
        <f>_xlfn.XLOOKUP(Table1[[#This Row],[ProductID]],Products!A:A,Products!D:D,,0)</f>
        <v>200</v>
      </c>
      <c r="I4256">
        <v>899</v>
      </c>
      <c r="J4256">
        <v>899</v>
      </c>
      <c r="K4256" t="s">
        <v>1102</v>
      </c>
      <c r="L4256">
        <v>1798</v>
      </c>
      <c r="M4256" t="s">
        <v>1098</v>
      </c>
      <c r="N4256" t="s">
        <v>1099</v>
      </c>
      <c r="O4256">
        <f>Table1[[#This Row],[Unit_Price]]*Table1[[#This Row],[Quantity]]</f>
        <v>400</v>
      </c>
    </row>
    <row r="4257" spans="1:15" x14ac:dyDescent="0.3">
      <c r="A4257" t="s">
        <v>6079</v>
      </c>
      <c r="B4257" t="s">
        <v>2146</v>
      </c>
      <c r="C4257" t="s">
        <v>445</v>
      </c>
      <c r="D4257" t="s">
        <v>1075</v>
      </c>
      <c r="E4257">
        <v>1</v>
      </c>
      <c r="F4257">
        <f>_xlfn.XLOOKUP(Table1[[#This Row],[ProductID]],Products!A:A,Products!D:D,,0)</f>
        <v>80</v>
      </c>
      <c r="I4257">
        <v>499</v>
      </c>
      <c r="J4257">
        <v>499</v>
      </c>
      <c r="K4257" t="s">
        <v>1102</v>
      </c>
      <c r="L4257">
        <v>499</v>
      </c>
      <c r="M4257" t="s">
        <v>1126</v>
      </c>
      <c r="N4257" t="s">
        <v>1099</v>
      </c>
      <c r="O4257">
        <f>Table1[[#This Row],[Unit_Price]]*Table1[[#This Row],[Quantity]]</f>
        <v>80</v>
      </c>
    </row>
    <row r="4258" spans="1:15" x14ac:dyDescent="0.3">
      <c r="A4258" t="s">
        <v>6080</v>
      </c>
      <c r="B4258" t="s">
        <v>1478</v>
      </c>
      <c r="C4258" t="s">
        <v>501</v>
      </c>
      <c r="D4258" t="s">
        <v>1064</v>
      </c>
      <c r="E4258">
        <v>1</v>
      </c>
      <c r="F4258">
        <f>_xlfn.XLOOKUP(Table1[[#This Row],[ProductID]],Products!A:A,Products!D:D,,0)</f>
        <v>160</v>
      </c>
      <c r="I4258">
        <v>699</v>
      </c>
      <c r="J4258">
        <v>594</v>
      </c>
      <c r="K4258" t="s">
        <v>1092</v>
      </c>
      <c r="L4258">
        <v>594</v>
      </c>
      <c r="M4258" t="s">
        <v>1093</v>
      </c>
      <c r="N4258" t="s">
        <v>1099</v>
      </c>
      <c r="O4258">
        <f>Table1[[#This Row],[Unit_Price]]*Table1[[#This Row],[Quantity]]</f>
        <v>160</v>
      </c>
    </row>
    <row r="4259" spans="1:15" x14ac:dyDescent="0.3">
      <c r="A4259" t="s">
        <v>6081</v>
      </c>
      <c r="B4259" t="s">
        <v>1999</v>
      </c>
      <c r="C4259" t="s">
        <v>641</v>
      </c>
      <c r="D4259" t="s">
        <v>1055</v>
      </c>
      <c r="E4259">
        <v>1</v>
      </c>
      <c r="F4259">
        <f>_xlfn.XLOOKUP(Table1[[#This Row],[ProductID]],Products!A:A,Products!D:D,,0)</f>
        <v>75</v>
      </c>
      <c r="I4259">
        <v>299</v>
      </c>
      <c r="J4259">
        <v>299</v>
      </c>
      <c r="K4259" t="s">
        <v>1102</v>
      </c>
      <c r="L4259">
        <v>299</v>
      </c>
      <c r="M4259" t="s">
        <v>1098</v>
      </c>
      <c r="N4259" t="s">
        <v>1099</v>
      </c>
      <c r="O4259">
        <f>Table1[[#This Row],[Unit_Price]]*Table1[[#This Row],[Quantity]]</f>
        <v>75</v>
      </c>
    </row>
    <row r="4260" spans="1:15" x14ac:dyDescent="0.3">
      <c r="A4260" t="s">
        <v>6082</v>
      </c>
      <c r="B4260" t="s">
        <v>3607</v>
      </c>
      <c r="C4260" t="s">
        <v>891</v>
      </c>
      <c r="D4260" t="s">
        <v>1075</v>
      </c>
      <c r="E4260">
        <v>1</v>
      </c>
      <c r="F4260">
        <f>_xlfn.XLOOKUP(Table1[[#This Row],[ProductID]],Products!A:A,Products!D:D,,0)</f>
        <v>80</v>
      </c>
      <c r="I4260">
        <v>499</v>
      </c>
      <c r="J4260">
        <v>424</v>
      </c>
      <c r="K4260" t="s">
        <v>1092</v>
      </c>
      <c r="L4260">
        <v>424</v>
      </c>
      <c r="M4260" t="s">
        <v>1098</v>
      </c>
      <c r="N4260" t="s">
        <v>1099</v>
      </c>
      <c r="O4260">
        <f>Table1[[#This Row],[Unit_Price]]*Table1[[#This Row],[Quantity]]</f>
        <v>80</v>
      </c>
    </row>
    <row r="4261" spans="1:15" x14ac:dyDescent="0.3">
      <c r="A4261" t="s">
        <v>6083</v>
      </c>
      <c r="B4261" t="s">
        <v>2859</v>
      </c>
      <c r="C4261" t="s">
        <v>919</v>
      </c>
      <c r="D4261" t="s">
        <v>1075</v>
      </c>
      <c r="E4261">
        <v>2</v>
      </c>
      <c r="F4261">
        <f>_xlfn.XLOOKUP(Table1[[#This Row],[ProductID]],Products!A:A,Products!D:D,,0)</f>
        <v>80</v>
      </c>
      <c r="I4261">
        <v>499</v>
      </c>
      <c r="J4261">
        <v>449</v>
      </c>
      <c r="K4261" t="s">
        <v>1107</v>
      </c>
      <c r="L4261">
        <v>898</v>
      </c>
      <c r="M4261" t="s">
        <v>1118</v>
      </c>
      <c r="N4261" t="s">
        <v>1099</v>
      </c>
      <c r="O4261">
        <f>Table1[[#This Row],[Unit_Price]]*Table1[[#This Row],[Quantity]]</f>
        <v>160</v>
      </c>
    </row>
    <row r="4262" spans="1:15" x14ac:dyDescent="0.3">
      <c r="A4262" t="s">
        <v>6084</v>
      </c>
      <c r="B4262" t="s">
        <v>2624</v>
      </c>
      <c r="C4262" t="s">
        <v>361</v>
      </c>
      <c r="D4262" t="s">
        <v>1075</v>
      </c>
      <c r="E4262">
        <v>3</v>
      </c>
      <c r="F4262">
        <f>_xlfn.XLOOKUP(Table1[[#This Row],[ProductID]],Products!A:A,Products!D:D,,0)</f>
        <v>80</v>
      </c>
      <c r="I4262">
        <v>499</v>
      </c>
      <c r="J4262">
        <v>499</v>
      </c>
      <c r="K4262" t="s">
        <v>1102</v>
      </c>
      <c r="L4262">
        <v>1497</v>
      </c>
      <c r="M4262" t="s">
        <v>1098</v>
      </c>
      <c r="N4262" t="s">
        <v>1099</v>
      </c>
      <c r="O4262">
        <f>Table1[[#This Row],[Unit_Price]]*Table1[[#This Row],[Quantity]]</f>
        <v>240</v>
      </c>
    </row>
    <row r="4263" spans="1:15" x14ac:dyDescent="0.3">
      <c r="A4263" t="s">
        <v>6085</v>
      </c>
      <c r="B4263" t="s">
        <v>2862</v>
      </c>
      <c r="C4263" t="s">
        <v>471</v>
      </c>
      <c r="D4263" t="s">
        <v>1078</v>
      </c>
      <c r="E4263">
        <v>2</v>
      </c>
      <c r="F4263">
        <f>_xlfn.XLOOKUP(Table1[[#This Row],[ProductID]],Products!A:A,Products!D:D,,0)</f>
        <v>80</v>
      </c>
      <c r="I4263">
        <v>499</v>
      </c>
      <c r="J4263">
        <v>499</v>
      </c>
      <c r="K4263" t="s">
        <v>1102</v>
      </c>
      <c r="L4263">
        <v>998</v>
      </c>
      <c r="M4263" t="s">
        <v>1098</v>
      </c>
      <c r="N4263" t="s">
        <v>1099</v>
      </c>
      <c r="O4263">
        <f>Table1[[#This Row],[Unit_Price]]*Table1[[#This Row],[Quantity]]</f>
        <v>160</v>
      </c>
    </row>
    <row r="4264" spans="1:15" x14ac:dyDescent="0.3">
      <c r="A4264" t="s">
        <v>6086</v>
      </c>
      <c r="B4264" t="s">
        <v>2400</v>
      </c>
      <c r="C4264" t="s">
        <v>653</v>
      </c>
      <c r="D4264" t="s">
        <v>1066</v>
      </c>
      <c r="E4264">
        <v>1</v>
      </c>
      <c r="F4264">
        <f>_xlfn.XLOOKUP(Table1[[#This Row],[ProductID]],Products!A:A,Products!D:D,,0)</f>
        <v>140</v>
      </c>
      <c r="I4264">
        <v>499</v>
      </c>
      <c r="J4264">
        <v>499</v>
      </c>
      <c r="K4264" t="s">
        <v>1102</v>
      </c>
      <c r="L4264">
        <v>499</v>
      </c>
      <c r="M4264" t="s">
        <v>1118</v>
      </c>
      <c r="N4264" t="s">
        <v>1123</v>
      </c>
      <c r="O4264">
        <f>Table1[[#This Row],[Unit_Price]]*Table1[[#This Row],[Quantity]]</f>
        <v>140</v>
      </c>
    </row>
    <row r="4265" spans="1:15" x14ac:dyDescent="0.3">
      <c r="A4265" t="s">
        <v>6087</v>
      </c>
      <c r="B4265" t="s">
        <v>2853</v>
      </c>
      <c r="C4265" t="s">
        <v>645</v>
      </c>
      <c r="D4265" t="s">
        <v>1051</v>
      </c>
      <c r="E4265">
        <v>1</v>
      </c>
      <c r="F4265">
        <f>_xlfn.XLOOKUP(Table1[[#This Row],[ProductID]],Products!A:A,Products!D:D,,0)</f>
        <v>150</v>
      </c>
      <c r="I4265">
        <v>499</v>
      </c>
      <c r="J4265">
        <v>424</v>
      </c>
      <c r="K4265" t="s">
        <v>1092</v>
      </c>
      <c r="L4265">
        <v>424</v>
      </c>
      <c r="M4265" t="s">
        <v>1098</v>
      </c>
      <c r="N4265" t="s">
        <v>1099</v>
      </c>
      <c r="O4265">
        <f>Table1[[#This Row],[Unit_Price]]*Table1[[#This Row],[Quantity]]</f>
        <v>150</v>
      </c>
    </row>
    <row r="4266" spans="1:15" x14ac:dyDescent="0.3">
      <c r="A4266" t="s">
        <v>6088</v>
      </c>
      <c r="B4266" t="s">
        <v>2496</v>
      </c>
      <c r="C4266" t="s">
        <v>957</v>
      </c>
      <c r="D4266" t="s">
        <v>1051</v>
      </c>
      <c r="E4266">
        <v>3</v>
      </c>
      <c r="F4266">
        <f>_xlfn.XLOOKUP(Table1[[#This Row],[ProductID]],Products!A:A,Products!D:D,,0)</f>
        <v>150</v>
      </c>
      <c r="I4266">
        <v>499</v>
      </c>
      <c r="J4266">
        <v>449</v>
      </c>
      <c r="K4266" t="s">
        <v>1107</v>
      </c>
      <c r="L4266">
        <v>1347</v>
      </c>
      <c r="M4266" t="s">
        <v>1098</v>
      </c>
      <c r="N4266" t="s">
        <v>1099</v>
      </c>
      <c r="O4266">
        <f>Table1[[#This Row],[Unit_Price]]*Table1[[#This Row],[Quantity]]</f>
        <v>450</v>
      </c>
    </row>
    <row r="4267" spans="1:15" x14ac:dyDescent="0.3">
      <c r="A4267" t="s">
        <v>6089</v>
      </c>
      <c r="B4267" t="s">
        <v>2169</v>
      </c>
      <c r="C4267" t="s">
        <v>203</v>
      </c>
      <c r="D4267" t="s">
        <v>1062</v>
      </c>
      <c r="E4267">
        <v>3</v>
      </c>
      <c r="F4267">
        <f>_xlfn.XLOOKUP(Table1[[#This Row],[ProductID]],Products!A:A,Products!D:D,,0)</f>
        <v>95</v>
      </c>
      <c r="I4267">
        <v>349</v>
      </c>
      <c r="J4267">
        <v>297</v>
      </c>
      <c r="K4267" t="s">
        <v>1092</v>
      </c>
      <c r="L4267">
        <v>891</v>
      </c>
      <c r="M4267" t="s">
        <v>1098</v>
      </c>
      <c r="N4267" t="s">
        <v>1099</v>
      </c>
      <c r="O4267">
        <f>Table1[[#This Row],[Unit_Price]]*Table1[[#This Row],[Quantity]]</f>
        <v>285</v>
      </c>
    </row>
    <row r="4268" spans="1:15" x14ac:dyDescent="0.3">
      <c r="A4268" t="s">
        <v>6090</v>
      </c>
      <c r="B4268" t="s">
        <v>1101</v>
      </c>
      <c r="C4268" t="s">
        <v>683</v>
      </c>
      <c r="D4268" t="s">
        <v>1080</v>
      </c>
      <c r="E4268">
        <v>1</v>
      </c>
      <c r="F4268">
        <f>_xlfn.XLOOKUP(Table1[[#This Row],[ProductID]],Products!A:A,Products!D:D,,0)</f>
        <v>45</v>
      </c>
      <c r="I4268">
        <v>249</v>
      </c>
      <c r="J4268">
        <v>212</v>
      </c>
      <c r="K4268" t="s">
        <v>1092</v>
      </c>
      <c r="L4268">
        <v>212</v>
      </c>
      <c r="M4268" t="s">
        <v>1098</v>
      </c>
      <c r="N4268" t="s">
        <v>1099</v>
      </c>
      <c r="O4268">
        <f>Table1[[#This Row],[Unit_Price]]*Table1[[#This Row],[Quantity]]</f>
        <v>45</v>
      </c>
    </row>
    <row r="4269" spans="1:15" x14ac:dyDescent="0.3">
      <c r="A4269" t="s">
        <v>6091</v>
      </c>
      <c r="B4269" t="s">
        <v>3320</v>
      </c>
      <c r="C4269" t="s">
        <v>573</v>
      </c>
      <c r="D4269" t="s">
        <v>1048</v>
      </c>
      <c r="E4269">
        <v>1</v>
      </c>
      <c r="F4269">
        <f>_xlfn.XLOOKUP(Table1[[#This Row],[ProductID]],Products!A:A,Products!D:D,,0)</f>
        <v>120</v>
      </c>
      <c r="I4269">
        <v>599</v>
      </c>
      <c r="J4269">
        <v>479</v>
      </c>
      <c r="K4269" t="s">
        <v>1097</v>
      </c>
      <c r="L4269">
        <v>479</v>
      </c>
      <c r="M4269" t="s">
        <v>1098</v>
      </c>
      <c r="N4269" t="s">
        <v>1099</v>
      </c>
      <c r="O4269">
        <f>Table1[[#This Row],[Unit_Price]]*Table1[[#This Row],[Quantity]]</f>
        <v>120</v>
      </c>
    </row>
    <row r="4270" spans="1:15" x14ac:dyDescent="0.3">
      <c r="A4270" t="s">
        <v>6092</v>
      </c>
      <c r="B4270" t="s">
        <v>2686</v>
      </c>
      <c r="C4270" t="s">
        <v>104</v>
      </c>
      <c r="D4270" t="s">
        <v>1059</v>
      </c>
      <c r="E4270">
        <v>2</v>
      </c>
      <c r="F4270">
        <f>_xlfn.XLOOKUP(Table1[[#This Row],[ProductID]],Products!A:A,Products!D:D,,0)</f>
        <v>110</v>
      </c>
      <c r="I4270">
        <v>399</v>
      </c>
      <c r="J4270">
        <v>359</v>
      </c>
      <c r="K4270" t="s">
        <v>1107</v>
      </c>
      <c r="L4270">
        <v>718</v>
      </c>
      <c r="M4270" t="s">
        <v>1098</v>
      </c>
      <c r="N4270" t="s">
        <v>1099</v>
      </c>
      <c r="O4270">
        <f>Table1[[#This Row],[Unit_Price]]*Table1[[#This Row],[Quantity]]</f>
        <v>220</v>
      </c>
    </row>
    <row r="4271" spans="1:15" x14ac:dyDescent="0.3">
      <c r="A4271" t="s">
        <v>6093</v>
      </c>
      <c r="B4271" t="s">
        <v>1707</v>
      </c>
      <c r="C4271" t="s">
        <v>983</v>
      </c>
      <c r="D4271" t="s">
        <v>1055</v>
      </c>
      <c r="E4271">
        <v>1</v>
      </c>
      <c r="F4271">
        <f>_xlfn.XLOOKUP(Table1[[#This Row],[ProductID]],Products!A:A,Products!D:D,,0)</f>
        <v>75</v>
      </c>
      <c r="I4271">
        <v>299</v>
      </c>
      <c r="J4271">
        <v>269</v>
      </c>
      <c r="K4271" t="s">
        <v>1107</v>
      </c>
      <c r="L4271">
        <v>269</v>
      </c>
      <c r="M4271" t="s">
        <v>1093</v>
      </c>
      <c r="N4271" t="s">
        <v>1094</v>
      </c>
      <c r="O4271">
        <f>Table1[[#This Row],[Unit_Price]]*Table1[[#This Row],[Quantity]]</f>
        <v>75</v>
      </c>
    </row>
    <row r="4272" spans="1:15" x14ac:dyDescent="0.3">
      <c r="A4272" t="s">
        <v>6094</v>
      </c>
      <c r="B4272" t="s">
        <v>3723</v>
      </c>
      <c r="C4272" t="s">
        <v>625</v>
      </c>
      <c r="D4272" t="s">
        <v>1062</v>
      </c>
      <c r="E4272">
        <v>1</v>
      </c>
      <c r="F4272">
        <f>_xlfn.XLOOKUP(Table1[[#This Row],[ProductID]],Products!A:A,Products!D:D,,0)</f>
        <v>95</v>
      </c>
      <c r="I4272">
        <v>349</v>
      </c>
      <c r="J4272">
        <v>279</v>
      </c>
      <c r="K4272" t="s">
        <v>1097</v>
      </c>
      <c r="L4272">
        <v>279</v>
      </c>
      <c r="M4272" t="s">
        <v>1098</v>
      </c>
      <c r="N4272" t="s">
        <v>1099</v>
      </c>
      <c r="O4272">
        <f>Table1[[#This Row],[Unit_Price]]*Table1[[#This Row],[Quantity]]</f>
        <v>95</v>
      </c>
    </row>
    <row r="4273" spans="1:15" x14ac:dyDescent="0.3">
      <c r="A4273" t="s">
        <v>6095</v>
      </c>
      <c r="B4273" t="s">
        <v>2472</v>
      </c>
      <c r="C4273" t="s">
        <v>953</v>
      </c>
      <c r="D4273" t="s">
        <v>1059</v>
      </c>
      <c r="E4273">
        <v>1</v>
      </c>
      <c r="F4273">
        <f>_xlfn.XLOOKUP(Table1[[#This Row],[ProductID]],Products!A:A,Products!D:D,,0)</f>
        <v>110</v>
      </c>
      <c r="I4273">
        <v>399</v>
      </c>
      <c r="J4273">
        <v>319</v>
      </c>
      <c r="K4273" t="s">
        <v>1097</v>
      </c>
      <c r="L4273">
        <v>319</v>
      </c>
      <c r="M4273" t="s">
        <v>1098</v>
      </c>
      <c r="N4273" t="s">
        <v>1099</v>
      </c>
      <c r="O4273">
        <f>Table1[[#This Row],[Unit_Price]]*Table1[[#This Row],[Quantity]]</f>
        <v>110</v>
      </c>
    </row>
    <row r="4274" spans="1:15" x14ac:dyDescent="0.3">
      <c r="A4274" t="s">
        <v>6096</v>
      </c>
      <c r="B4274" t="s">
        <v>2095</v>
      </c>
      <c r="C4274" t="s">
        <v>273</v>
      </c>
      <c r="D4274" t="s">
        <v>1051</v>
      </c>
      <c r="E4274">
        <v>2</v>
      </c>
      <c r="F4274">
        <f>_xlfn.XLOOKUP(Table1[[#This Row],[ProductID]],Products!A:A,Products!D:D,,0)</f>
        <v>150</v>
      </c>
      <c r="I4274">
        <v>499</v>
      </c>
      <c r="J4274">
        <v>399</v>
      </c>
      <c r="K4274" t="s">
        <v>1097</v>
      </c>
      <c r="L4274">
        <v>798</v>
      </c>
      <c r="M4274" t="s">
        <v>1098</v>
      </c>
      <c r="N4274" t="s">
        <v>1099</v>
      </c>
      <c r="O4274">
        <f>Table1[[#This Row],[Unit_Price]]*Table1[[#This Row],[Quantity]]</f>
        <v>300</v>
      </c>
    </row>
    <row r="4275" spans="1:15" x14ac:dyDescent="0.3">
      <c r="A4275" t="s">
        <v>6097</v>
      </c>
      <c r="B4275" t="s">
        <v>1531</v>
      </c>
      <c r="C4275" t="s">
        <v>1023</v>
      </c>
      <c r="D4275" t="s">
        <v>1071</v>
      </c>
      <c r="E4275">
        <v>2</v>
      </c>
      <c r="F4275">
        <f>_xlfn.XLOOKUP(Table1[[#This Row],[ProductID]],Products!A:A,Products!D:D,,0)</f>
        <v>125</v>
      </c>
      <c r="I4275">
        <v>399</v>
      </c>
      <c r="J4275">
        <v>339</v>
      </c>
      <c r="K4275" t="s">
        <v>1092</v>
      </c>
      <c r="L4275">
        <v>678</v>
      </c>
      <c r="M4275" t="s">
        <v>1098</v>
      </c>
      <c r="N4275" t="s">
        <v>1099</v>
      </c>
      <c r="O4275">
        <f>Table1[[#This Row],[Unit_Price]]*Table1[[#This Row],[Quantity]]</f>
        <v>250</v>
      </c>
    </row>
    <row r="4276" spans="1:15" x14ac:dyDescent="0.3">
      <c r="A4276" t="s">
        <v>6098</v>
      </c>
      <c r="B4276" t="s">
        <v>2350</v>
      </c>
      <c r="C4276" t="s">
        <v>579</v>
      </c>
      <c r="D4276" t="s">
        <v>1080</v>
      </c>
      <c r="E4276">
        <v>1</v>
      </c>
      <c r="F4276">
        <f>_xlfn.XLOOKUP(Table1[[#This Row],[ProductID]],Products!A:A,Products!D:D,,0)</f>
        <v>45</v>
      </c>
      <c r="I4276">
        <v>249</v>
      </c>
      <c r="J4276">
        <v>224</v>
      </c>
      <c r="K4276" t="s">
        <v>1107</v>
      </c>
      <c r="L4276">
        <v>224</v>
      </c>
      <c r="M4276" t="s">
        <v>1093</v>
      </c>
      <c r="N4276" t="s">
        <v>1123</v>
      </c>
      <c r="O4276">
        <f>Table1[[#This Row],[Unit_Price]]*Table1[[#This Row],[Quantity]]</f>
        <v>45</v>
      </c>
    </row>
    <row r="4277" spans="1:15" x14ac:dyDescent="0.3">
      <c r="A4277" t="s">
        <v>6099</v>
      </c>
      <c r="B4277" t="s">
        <v>1947</v>
      </c>
      <c r="C4277" t="s">
        <v>875</v>
      </c>
      <c r="D4277" t="s">
        <v>1068</v>
      </c>
      <c r="E4277">
        <v>2</v>
      </c>
      <c r="F4277">
        <f>_xlfn.XLOOKUP(Table1[[#This Row],[ProductID]],Products!A:A,Products!D:D,,0)</f>
        <v>180</v>
      </c>
      <c r="I4277">
        <v>449</v>
      </c>
      <c r="J4277">
        <v>359</v>
      </c>
      <c r="K4277" t="s">
        <v>1097</v>
      </c>
      <c r="L4277">
        <v>718</v>
      </c>
      <c r="M4277" t="s">
        <v>1093</v>
      </c>
      <c r="N4277" t="s">
        <v>1099</v>
      </c>
      <c r="O4277">
        <f>Table1[[#This Row],[Unit_Price]]*Table1[[#This Row],[Quantity]]</f>
        <v>360</v>
      </c>
    </row>
    <row r="4278" spans="1:15" x14ac:dyDescent="0.3">
      <c r="A4278" t="s">
        <v>6100</v>
      </c>
      <c r="B4278" t="s">
        <v>1872</v>
      </c>
      <c r="C4278" t="s">
        <v>437</v>
      </c>
      <c r="D4278" t="s">
        <v>1073</v>
      </c>
      <c r="E4278">
        <v>1</v>
      </c>
      <c r="F4278">
        <f>_xlfn.XLOOKUP(Table1[[#This Row],[ProductID]],Products!A:A,Products!D:D,,0)</f>
        <v>100</v>
      </c>
      <c r="I4278">
        <v>349</v>
      </c>
      <c r="J4278">
        <v>279</v>
      </c>
      <c r="K4278" t="s">
        <v>1097</v>
      </c>
      <c r="L4278">
        <v>279</v>
      </c>
      <c r="M4278" t="s">
        <v>1093</v>
      </c>
      <c r="N4278" t="s">
        <v>1099</v>
      </c>
      <c r="O4278">
        <f>Table1[[#This Row],[Unit_Price]]*Table1[[#This Row],[Quantity]]</f>
        <v>100</v>
      </c>
    </row>
    <row r="4279" spans="1:15" x14ac:dyDescent="0.3">
      <c r="A4279" t="s">
        <v>6101</v>
      </c>
      <c r="B4279" t="s">
        <v>2865</v>
      </c>
      <c r="C4279" t="s">
        <v>393</v>
      </c>
      <c r="D4279" t="s">
        <v>1048</v>
      </c>
      <c r="E4279">
        <v>1</v>
      </c>
      <c r="F4279">
        <f>_xlfn.XLOOKUP(Table1[[#This Row],[ProductID]],Products!A:A,Products!D:D,,0)</f>
        <v>120</v>
      </c>
      <c r="I4279">
        <v>599</v>
      </c>
      <c r="J4279">
        <v>509</v>
      </c>
      <c r="K4279" t="s">
        <v>1092</v>
      </c>
      <c r="L4279">
        <v>509</v>
      </c>
      <c r="M4279" t="s">
        <v>1098</v>
      </c>
      <c r="N4279" t="s">
        <v>1099</v>
      </c>
      <c r="O4279">
        <f>Table1[[#This Row],[Unit_Price]]*Table1[[#This Row],[Quantity]]</f>
        <v>120</v>
      </c>
    </row>
    <row r="4280" spans="1:15" x14ac:dyDescent="0.3">
      <c r="A4280" t="s">
        <v>6102</v>
      </c>
      <c r="B4280" t="s">
        <v>1811</v>
      </c>
      <c r="C4280" t="s">
        <v>421</v>
      </c>
      <c r="D4280" t="s">
        <v>1073</v>
      </c>
      <c r="E4280">
        <v>1</v>
      </c>
      <c r="F4280">
        <f>_xlfn.XLOOKUP(Table1[[#This Row],[ProductID]],Products!A:A,Products!D:D,,0)</f>
        <v>100</v>
      </c>
      <c r="I4280">
        <v>349</v>
      </c>
      <c r="J4280">
        <v>297</v>
      </c>
      <c r="K4280" t="s">
        <v>1092</v>
      </c>
      <c r="L4280">
        <v>297</v>
      </c>
      <c r="M4280" t="s">
        <v>1098</v>
      </c>
      <c r="N4280" t="s">
        <v>1099</v>
      </c>
      <c r="O4280">
        <f>Table1[[#This Row],[Unit_Price]]*Table1[[#This Row],[Quantity]]</f>
        <v>100</v>
      </c>
    </row>
    <row r="4281" spans="1:15" x14ac:dyDescent="0.3">
      <c r="A4281" t="s">
        <v>6103</v>
      </c>
      <c r="B4281" t="s">
        <v>3607</v>
      </c>
      <c r="C4281" t="s">
        <v>265</v>
      </c>
      <c r="D4281" t="s">
        <v>1057</v>
      </c>
      <c r="E4281">
        <v>2</v>
      </c>
      <c r="F4281">
        <f>_xlfn.XLOOKUP(Table1[[#This Row],[ProductID]],Products!A:A,Products!D:D,,0)</f>
        <v>130</v>
      </c>
      <c r="I4281">
        <v>549</v>
      </c>
      <c r="J4281">
        <v>467</v>
      </c>
      <c r="K4281" t="s">
        <v>1092</v>
      </c>
      <c r="L4281">
        <v>934</v>
      </c>
      <c r="M4281" t="s">
        <v>1093</v>
      </c>
      <c r="N4281" t="s">
        <v>1099</v>
      </c>
      <c r="O4281">
        <f>Table1[[#This Row],[Unit_Price]]*Table1[[#This Row],[Quantity]]</f>
        <v>260</v>
      </c>
    </row>
    <row r="4282" spans="1:15" x14ac:dyDescent="0.3">
      <c r="A4282" t="s">
        <v>6104</v>
      </c>
      <c r="B4282" t="s">
        <v>3526</v>
      </c>
      <c r="C4282" t="s">
        <v>395</v>
      </c>
      <c r="D4282" t="s">
        <v>1075</v>
      </c>
      <c r="E4282">
        <v>1</v>
      </c>
      <c r="F4282">
        <f>_xlfn.XLOOKUP(Table1[[#This Row],[ProductID]],Products!A:A,Products!D:D,,0)</f>
        <v>80</v>
      </c>
      <c r="I4282">
        <v>499</v>
      </c>
      <c r="J4282">
        <v>449</v>
      </c>
      <c r="K4282" t="s">
        <v>1107</v>
      </c>
      <c r="L4282">
        <v>449</v>
      </c>
      <c r="M4282" t="s">
        <v>1098</v>
      </c>
      <c r="N4282" t="s">
        <v>1099</v>
      </c>
      <c r="O4282">
        <f>Table1[[#This Row],[Unit_Price]]*Table1[[#This Row],[Quantity]]</f>
        <v>80</v>
      </c>
    </row>
    <row r="4283" spans="1:15" x14ac:dyDescent="0.3">
      <c r="A4283" t="s">
        <v>6105</v>
      </c>
      <c r="B4283" t="s">
        <v>3051</v>
      </c>
      <c r="C4283" t="s">
        <v>1019</v>
      </c>
      <c r="D4283" t="s">
        <v>1053</v>
      </c>
      <c r="E4283">
        <v>2</v>
      </c>
      <c r="F4283">
        <f>_xlfn.XLOOKUP(Table1[[#This Row],[ProductID]],Products!A:A,Products!D:D,,0)</f>
        <v>200</v>
      </c>
      <c r="I4283">
        <v>899</v>
      </c>
      <c r="J4283">
        <v>899</v>
      </c>
      <c r="K4283" t="s">
        <v>1102</v>
      </c>
      <c r="L4283">
        <v>1798</v>
      </c>
      <c r="M4283" t="s">
        <v>1093</v>
      </c>
      <c r="N4283" t="s">
        <v>1094</v>
      </c>
      <c r="O4283">
        <f>Table1[[#This Row],[Unit_Price]]*Table1[[#This Row],[Quantity]]</f>
        <v>400</v>
      </c>
    </row>
    <row r="4284" spans="1:15" x14ac:dyDescent="0.3">
      <c r="A4284" t="s">
        <v>6106</v>
      </c>
      <c r="B4284" t="s">
        <v>1604</v>
      </c>
      <c r="C4284" t="s">
        <v>397</v>
      </c>
      <c r="D4284" t="s">
        <v>1051</v>
      </c>
      <c r="E4284">
        <v>2</v>
      </c>
      <c r="F4284">
        <f>_xlfn.XLOOKUP(Table1[[#This Row],[ProductID]],Products!A:A,Products!D:D,,0)</f>
        <v>150</v>
      </c>
      <c r="I4284">
        <v>499</v>
      </c>
      <c r="J4284">
        <v>424</v>
      </c>
      <c r="K4284" t="s">
        <v>1092</v>
      </c>
      <c r="L4284">
        <v>848</v>
      </c>
      <c r="M4284" t="s">
        <v>1098</v>
      </c>
      <c r="N4284" t="s">
        <v>1099</v>
      </c>
      <c r="O4284">
        <f>Table1[[#This Row],[Unit_Price]]*Table1[[#This Row],[Quantity]]</f>
        <v>300</v>
      </c>
    </row>
    <row r="4285" spans="1:15" x14ac:dyDescent="0.3">
      <c r="A4285" t="s">
        <v>6107</v>
      </c>
      <c r="B4285" t="s">
        <v>1111</v>
      </c>
      <c r="C4285" t="s">
        <v>209</v>
      </c>
      <c r="D4285" t="s">
        <v>1051</v>
      </c>
      <c r="E4285">
        <v>1</v>
      </c>
      <c r="F4285">
        <f>_xlfn.XLOOKUP(Table1[[#This Row],[ProductID]],Products!A:A,Products!D:D,,0)</f>
        <v>150</v>
      </c>
      <c r="I4285">
        <v>499</v>
      </c>
      <c r="J4285">
        <v>449</v>
      </c>
      <c r="K4285" t="s">
        <v>1107</v>
      </c>
      <c r="L4285">
        <v>449</v>
      </c>
      <c r="M4285" t="s">
        <v>1098</v>
      </c>
      <c r="N4285" t="s">
        <v>1099</v>
      </c>
      <c r="O4285">
        <f>Table1[[#This Row],[Unit_Price]]*Table1[[#This Row],[Quantity]]</f>
        <v>150</v>
      </c>
    </row>
    <row r="4286" spans="1:15" x14ac:dyDescent="0.3">
      <c r="A4286" t="s">
        <v>6108</v>
      </c>
      <c r="B4286" t="s">
        <v>6109</v>
      </c>
      <c r="C4286" t="s">
        <v>593</v>
      </c>
      <c r="D4286" t="s">
        <v>1075</v>
      </c>
      <c r="E4286">
        <v>3</v>
      </c>
      <c r="F4286">
        <f>_xlfn.XLOOKUP(Table1[[#This Row],[ProductID]],Products!A:A,Products!D:D,,0)</f>
        <v>80</v>
      </c>
      <c r="I4286">
        <v>499</v>
      </c>
      <c r="J4286">
        <v>499</v>
      </c>
      <c r="K4286" t="s">
        <v>1102</v>
      </c>
      <c r="L4286">
        <v>1497</v>
      </c>
      <c r="M4286" t="s">
        <v>1098</v>
      </c>
      <c r="N4286" t="s">
        <v>1099</v>
      </c>
      <c r="O4286">
        <f>Table1[[#This Row],[Unit_Price]]*Table1[[#This Row],[Quantity]]</f>
        <v>240</v>
      </c>
    </row>
    <row r="4287" spans="1:15" x14ac:dyDescent="0.3">
      <c r="A4287" t="s">
        <v>6110</v>
      </c>
      <c r="B4287" t="s">
        <v>1845</v>
      </c>
      <c r="C4287" t="s">
        <v>463</v>
      </c>
      <c r="D4287" t="s">
        <v>1055</v>
      </c>
      <c r="E4287">
        <v>1</v>
      </c>
      <c r="F4287">
        <f>_xlfn.XLOOKUP(Table1[[#This Row],[ProductID]],Products!A:A,Products!D:D,,0)</f>
        <v>75</v>
      </c>
      <c r="I4287">
        <v>299</v>
      </c>
      <c r="J4287">
        <v>254</v>
      </c>
      <c r="K4287" t="s">
        <v>1092</v>
      </c>
      <c r="L4287">
        <v>254</v>
      </c>
      <c r="M4287" t="s">
        <v>1093</v>
      </c>
      <c r="N4287" t="s">
        <v>1094</v>
      </c>
      <c r="O4287">
        <f>Table1[[#This Row],[Unit_Price]]*Table1[[#This Row],[Quantity]]</f>
        <v>75</v>
      </c>
    </row>
    <row r="4288" spans="1:15" x14ac:dyDescent="0.3">
      <c r="A4288" t="s">
        <v>6111</v>
      </c>
      <c r="B4288" t="s">
        <v>1676</v>
      </c>
      <c r="C4288" t="s">
        <v>621</v>
      </c>
      <c r="D4288" t="s">
        <v>1059</v>
      </c>
      <c r="E4288">
        <v>1</v>
      </c>
      <c r="F4288">
        <f>_xlfn.XLOOKUP(Table1[[#This Row],[ProductID]],Products!A:A,Products!D:D,,0)</f>
        <v>110</v>
      </c>
      <c r="I4288">
        <v>399</v>
      </c>
      <c r="J4288">
        <v>359</v>
      </c>
      <c r="K4288" t="s">
        <v>1107</v>
      </c>
      <c r="L4288">
        <v>359</v>
      </c>
      <c r="M4288" t="s">
        <v>1093</v>
      </c>
      <c r="N4288" t="s">
        <v>1099</v>
      </c>
      <c r="O4288">
        <f>Table1[[#This Row],[Unit_Price]]*Table1[[#This Row],[Quantity]]</f>
        <v>110</v>
      </c>
    </row>
    <row r="4289" spans="1:15" x14ac:dyDescent="0.3">
      <c r="A4289" t="s">
        <v>6112</v>
      </c>
      <c r="B4289" t="s">
        <v>1655</v>
      </c>
      <c r="C4289" t="s">
        <v>585</v>
      </c>
      <c r="D4289" t="s">
        <v>1068</v>
      </c>
      <c r="E4289">
        <v>4</v>
      </c>
      <c r="F4289">
        <f>_xlfn.XLOOKUP(Table1[[#This Row],[ProductID]],Products!A:A,Products!D:D,,0)</f>
        <v>180</v>
      </c>
      <c r="I4289">
        <v>449</v>
      </c>
      <c r="J4289">
        <v>359</v>
      </c>
      <c r="K4289" t="s">
        <v>1097</v>
      </c>
      <c r="L4289">
        <v>1436</v>
      </c>
      <c r="M4289" t="s">
        <v>1093</v>
      </c>
      <c r="N4289" t="s">
        <v>1099</v>
      </c>
      <c r="O4289">
        <f>Table1[[#This Row],[Unit_Price]]*Table1[[#This Row],[Quantity]]</f>
        <v>720</v>
      </c>
    </row>
    <row r="4290" spans="1:15" x14ac:dyDescent="0.3">
      <c r="A4290" t="s">
        <v>6113</v>
      </c>
      <c r="B4290" t="s">
        <v>1268</v>
      </c>
      <c r="C4290" t="s">
        <v>773</v>
      </c>
      <c r="D4290" t="s">
        <v>1055</v>
      </c>
      <c r="E4290">
        <v>1</v>
      </c>
      <c r="F4290">
        <f>_xlfn.XLOOKUP(Table1[[#This Row],[ProductID]],Products!A:A,Products!D:D,,0)</f>
        <v>75</v>
      </c>
      <c r="I4290">
        <v>299</v>
      </c>
      <c r="J4290">
        <v>239</v>
      </c>
      <c r="K4290" t="s">
        <v>1097</v>
      </c>
      <c r="L4290">
        <v>239</v>
      </c>
      <c r="M4290" t="s">
        <v>1093</v>
      </c>
      <c r="N4290" t="s">
        <v>1094</v>
      </c>
      <c r="O4290">
        <f>Table1[[#This Row],[Unit_Price]]*Table1[[#This Row],[Quantity]]</f>
        <v>75</v>
      </c>
    </row>
    <row r="4291" spans="1:15" x14ac:dyDescent="0.3">
      <c r="A4291" t="s">
        <v>6114</v>
      </c>
      <c r="B4291" t="s">
        <v>2146</v>
      </c>
      <c r="C4291" t="s">
        <v>563</v>
      </c>
      <c r="D4291" t="s">
        <v>1075</v>
      </c>
      <c r="E4291">
        <v>1</v>
      </c>
      <c r="F4291">
        <f>_xlfn.XLOOKUP(Table1[[#This Row],[ProductID]],Products!A:A,Products!D:D,,0)</f>
        <v>80</v>
      </c>
      <c r="I4291">
        <v>499</v>
      </c>
      <c r="J4291">
        <v>499</v>
      </c>
      <c r="K4291" t="s">
        <v>1102</v>
      </c>
      <c r="L4291">
        <v>499</v>
      </c>
      <c r="M4291" t="s">
        <v>1098</v>
      </c>
      <c r="N4291" t="s">
        <v>1099</v>
      </c>
      <c r="O4291">
        <f>Table1[[#This Row],[Unit_Price]]*Table1[[#This Row],[Quantity]]</f>
        <v>80</v>
      </c>
    </row>
    <row r="4292" spans="1:15" x14ac:dyDescent="0.3">
      <c r="A4292" t="s">
        <v>6115</v>
      </c>
      <c r="B4292" t="s">
        <v>1752</v>
      </c>
      <c r="C4292" t="s">
        <v>515</v>
      </c>
      <c r="D4292" t="s">
        <v>1055</v>
      </c>
      <c r="E4292">
        <v>4</v>
      </c>
      <c r="F4292">
        <f>_xlfn.XLOOKUP(Table1[[#This Row],[ProductID]],Products!A:A,Products!D:D,,0)</f>
        <v>75</v>
      </c>
      <c r="I4292">
        <v>299</v>
      </c>
      <c r="J4292">
        <v>299</v>
      </c>
      <c r="K4292" t="s">
        <v>1102</v>
      </c>
      <c r="L4292">
        <v>1196</v>
      </c>
      <c r="M4292" t="s">
        <v>1098</v>
      </c>
      <c r="N4292" t="s">
        <v>1099</v>
      </c>
      <c r="O4292">
        <f>Table1[[#This Row],[Unit_Price]]*Table1[[#This Row],[Quantity]]</f>
        <v>300</v>
      </c>
    </row>
    <row r="4293" spans="1:15" x14ac:dyDescent="0.3">
      <c r="A4293" t="s">
        <v>6116</v>
      </c>
      <c r="B4293" t="s">
        <v>1933</v>
      </c>
      <c r="C4293" t="s">
        <v>727</v>
      </c>
      <c r="D4293" t="s">
        <v>1051</v>
      </c>
      <c r="E4293">
        <v>1</v>
      </c>
      <c r="F4293">
        <f>_xlfn.XLOOKUP(Table1[[#This Row],[ProductID]],Products!A:A,Products!D:D,,0)</f>
        <v>150</v>
      </c>
      <c r="I4293">
        <v>499</v>
      </c>
      <c r="J4293">
        <v>424</v>
      </c>
      <c r="K4293" t="s">
        <v>1092</v>
      </c>
      <c r="L4293">
        <v>424</v>
      </c>
      <c r="M4293" t="s">
        <v>1093</v>
      </c>
      <c r="N4293" t="s">
        <v>1099</v>
      </c>
      <c r="O4293">
        <f>Table1[[#This Row],[Unit_Price]]*Table1[[#This Row],[Quantity]]</f>
        <v>150</v>
      </c>
    </row>
    <row r="4294" spans="1:15" x14ac:dyDescent="0.3">
      <c r="A4294" t="s">
        <v>6117</v>
      </c>
      <c r="B4294" t="s">
        <v>3077</v>
      </c>
      <c r="C4294" t="s">
        <v>917</v>
      </c>
      <c r="D4294" t="s">
        <v>1073</v>
      </c>
      <c r="E4294">
        <v>1</v>
      </c>
      <c r="F4294">
        <f>_xlfn.XLOOKUP(Table1[[#This Row],[ProductID]],Products!A:A,Products!D:D,,0)</f>
        <v>100</v>
      </c>
      <c r="I4294">
        <v>349</v>
      </c>
      <c r="J4294">
        <v>349</v>
      </c>
      <c r="K4294" t="s">
        <v>1102</v>
      </c>
      <c r="L4294">
        <v>349</v>
      </c>
      <c r="M4294" t="s">
        <v>1126</v>
      </c>
      <c r="N4294" t="s">
        <v>1099</v>
      </c>
      <c r="O4294">
        <f>Table1[[#This Row],[Unit_Price]]*Table1[[#This Row],[Quantity]]</f>
        <v>100</v>
      </c>
    </row>
    <row r="4295" spans="1:15" x14ac:dyDescent="0.3">
      <c r="A4295" t="s">
        <v>6118</v>
      </c>
      <c r="B4295" t="s">
        <v>3086</v>
      </c>
      <c r="C4295" t="s">
        <v>309</v>
      </c>
      <c r="D4295" t="s">
        <v>1064</v>
      </c>
      <c r="E4295">
        <v>3</v>
      </c>
      <c r="F4295">
        <f>_xlfn.XLOOKUP(Table1[[#This Row],[ProductID]],Products!A:A,Products!D:D,,0)</f>
        <v>160</v>
      </c>
      <c r="I4295">
        <v>699</v>
      </c>
      <c r="J4295">
        <v>699</v>
      </c>
      <c r="K4295" t="s">
        <v>1102</v>
      </c>
      <c r="L4295">
        <v>2097</v>
      </c>
      <c r="M4295" t="s">
        <v>1126</v>
      </c>
      <c r="N4295" t="s">
        <v>1099</v>
      </c>
      <c r="O4295">
        <f>Table1[[#This Row],[Unit_Price]]*Table1[[#This Row],[Quantity]]</f>
        <v>480</v>
      </c>
    </row>
    <row r="4296" spans="1:15" x14ac:dyDescent="0.3">
      <c r="A4296" t="s">
        <v>6119</v>
      </c>
      <c r="B4296" t="s">
        <v>1138</v>
      </c>
      <c r="C4296" t="s">
        <v>49</v>
      </c>
      <c r="D4296" t="s">
        <v>1055</v>
      </c>
      <c r="E4296">
        <v>3</v>
      </c>
      <c r="F4296">
        <f>_xlfn.XLOOKUP(Table1[[#This Row],[ProductID]],Products!A:A,Products!D:D,,0)</f>
        <v>75</v>
      </c>
      <c r="I4296">
        <v>299</v>
      </c>
      <c r="J4296">
        <v>239</v>
      </c>
      <c r="K4296" t="s">
        <v>1097</v>
      </c>
      <c r="L4296">
        <v>717</v>
      </c>
      <c r="M4296" t="s">
        <v>1093</v>
      </c>
      <c r="N4296" t="s">
        <v>1099</v>
      </c>
      <c r="O4296">
        <f>Table1[[#This Row],[Unit_Price]]*Table1[[#This Row],[Quantity]]</f>
        <v>225</v>
      </c>
    </row>
    <row r="4297" spans="1:15" x14ac:dyDescent="0.3">
      <c r="A4297" t="s">
        <v>6120</v>
      </c>
      <c r="B4297" t="s">
        <v>3124</v>
      </c>
      <c r="C4297" t="s">
        <v>243</v>
      </c>
      <c r="D4297" t="s">
        <v>1055</v>
      </c>
      <c r="E4297">
        <v>4</v>
      </c>
      <c r="F4297">
        <f>_xlfn.XLOOKUP(Table1[[#This Row],[ProductID]],Products!A:A,Products!D:D,,0)</f>
        <v>75</v>
      </c>
      <c r="I4297">
        <v>299</v>
      </c>
      <c r="J4297">
        <v>269</v>
      </c>
      <c r="K4297" t="s">
        <v>1107</v>
      </c>
      <c r="L4297">
        <v>1076</v>
      </c>
      <c r="M4297" t="s">
        <v>1098</v>
      </c>
      <c r="N4297" t="s">
        <v>1099</v>
      </c>
      <c r="O4297">
        <f>Table1[[#This Row],[Unit_Price]]*Table1[[#This Row],[Quantity]]</f>
        <v>300</v>
      </c>
    </row>
    <row r="4298" spans="1:15" x14ac:dyDescent="0.3">
      <c r="A4298" t="s">
        <v>6121</v>
      </c>
      <c r="B4298" t="s">
        <v>1402</v>
      </c>
      <c r="C4298" t="s">
        <v>873</v>
      </c>
      <c r="D4298" t="s">
        <v>1062</v>
      </c>
      <c r="E4298">
        <v>2</v>
      </c>
      <c r="F4298">
        <f>_xlfn.XLOOKUP(Table1[[#This Row],[ProductID]],Products!A:A,Products!D:D,,0)</f>
        <v>95</v>
      </c>
      <c r="I4298">
        <v>349</v>
      </c>
      <c r="J4298">
        <v>314</v>
      </c>
      <c r="K4298" t="s">
        <v>1107</v>
      </c>
      <c r="L4298">
        <v>628</v>
      </c>
      <c r="M4298" t="s">
        <v>1118</v>
      </c>
      <c r="N4298" t="s">
        <v>1099</v>
      </c>
      <c r="O4298">
        <f>Table1[[#This Row],[Unit_Price]]*Table1[[#This Row],[Quantity]]</f>
        <v>190</v>
      </c>
    </row>
    <row r="4299" spans="1:15" x14ac:dyDescent="0.3">
      <c r="A4299" t="s">
        <v>6122</v>
      </c>
      <c r="B4299" t="s">
        <v>1430</v>
      </c>
      <c r="C4299" t="s">
        <v>905</v>
      </c>
      <c r="D4299" t="s">
        <v>1075</v>
      </c>
      <c r="E4299">
        <v>3</v>
      </c>
      <c r="F4299">
        <f>_xlfn.XLOOKUP(Table1[[#This Row],[ProductID]],Products!A:A,Products!D:D,,0)</f>
        <v>80</v>
      </c>
      <c r="I4299">
        <v>499</v>
      </c>
      <c r="J4299">
        <v>449</v>
      </c>
      <c r="K4299" t="s">
        <v>1107</v>
      </c>
      <c r="L4299">
        <v>1347</v>
      </c>
      <c r="M4299" t="s">
        <v>1093</v>
      </c>
      <c r="N4299" t="s">
        <v>1099</v>
      </c>
      <c r="O4299">
        <f>Table1[[#This Row],[Unit_Price]]*Table1[[#This Row],[Quantity]]</f>
        <v>240</v>
      </c>
    </row>
    <row r="4300" spans="1:15" x14ac:dyDescent="0.3">
      <c r="A4300" t="s">
        <v>6123</v>
      </c>
      <c r="B4300" t="s">
        <v>1154</v>
      </c>
      <c r="C4300" t="s">
        <v>781</v>
      </c>
      <c r="D4300" t="s">
        <v>1073</v>
      </c>
      <c r="E4300">
        <v>3</v>
      </c>
      <c r="F4300">
        <f>_xlfn.XLOOKUP(Table1[[#This Row],[ProductID]],Products!A:A,Products!D:D,,0)</f>
        <v>100</v>
      </c>
      <c r="I4300">
        <v>349</v>
      </c>
      <c r="J4300">
        <v>279</v>
      </c>
      <c r="K4300" t="s">
        <v>1097</v>
      </c>
      <c r="L4300">
        <v>837</v>
      </c>
      <c r="M4300" t="s">
        <v>1098</v>
      </c>
      <c r="N4300" t="s">
        <v>1099</v>
      </c>
      <c r="O4300">
        <f>Table1[[#This Row],[Unit_Price]]*Table1[[#This Row],[Quantity]]</f>
        <v>300</v>
      </c>
    </row>
    <row r="4301" spans="1:15" x14ac:dyDescent="0.3">
      <c r="A4301" t="s">
        <v>6124</v>
      </c>
      <c r="B4301" t="s">
        <v>4372</v>
      </c>
      <c r="C4301" t="s">
        <v>285</v>
      </c>
      <c r="D4301" t="s">
        <v>1068</v>
      </c>
      <c r="E4301">
        <v>1</v>
      </c>
      <c r="F4301">
        <f>_xlfn.XLOOKUP(Table1[[#This Row],[ProductID]],Products!A:A,Products!D:D,,0)</f>
        <v>180</v>
      </c>
      <c r="I4301">
        <v>449</v>
      </c>
      <c r="J4301">
        <v>404</v>
      </c>
      <c r="K4301" t="s">
        <v>1107</v>
      </c>
      <c r="L4301">
        <v>404</v>
      </c>
      <c r="M4301" t="s">
        <v>1126</v>
      </c>
      <c r="N4301" t="s">
        <v>1099</v>
      </c>
      <c r="O4301">
        <f>Table1[[#This Row],[Unit_Price]]*Table1[[#This Row],[Quantity]]</f>
        <v>180</v>
      </c>
    </row>
    <row r="4302" spans="1:15" x14ac:dyDescent="0.3">
      <c r="A4302" t="s">
        <v>6125</v>
      </c>
      <c r="B4302" t="s">
        <v>1467</v>
      </c>
      <c r="C4302" t="s">
        <v>241</v>
      </c>
      <c r="D4302" t="s">
        <v>1057</v>
      </c>
      <c r="E4302">
        <v>1</v>
      </c>
      <c r="F4302">
        <f>_xlfn.XLOOKUP(Table1[[#This Row],[ProductID]],Products!A:A,Products!D:D,,0)</f>
        <v>130</v>
      </c>
      <c r="I4302">
        <v>549</v>
      </c>
      <c r="J4302">
        <v>494</v>
      </c>
      <c r="K4302" t="s">
        <v>1107</v>
      </c>
      <c r="L4302">
        <v>494</v>
      </c>
      <c r="M4302" t="s">
        <v>1098</v>
      </c>
      <c r="N4302" t="s">
        <v>1099</v>
      </c>
      <c r="O4302">
        <f>Table1[[#This Row],[Unit_Price]]*Table1[[#This Row],[Quantity]]</f>
        <v>130</v>
      </c>
    </row>
    <row r="4303" spans="1:15" x14ac:dyDescent="0.3">
      <c r="A4303" t="s">
        <v>6126</v>
      </c>
      <c r="B4303" t="s">
        <v>1211</v>
      </c>
      <c r="C4303" t="s">
        <v>479</v>
      </c>
      <c r="D4303" t="s">
        <v>1055</v>
      </c>
      <c r="E4303">
        <v>1</v>
      </c>
      <c r="F4303">
        <f>_xlfn.XLOOKUP(Table1[[#This Row],[ProductID]],Products!A:A,Products!D:D,,0)</f>
        <v>75</v>
      </c>
      <c r="I4303">
        <v>299</v>
      </c>
      <c r="J4303">
        <v>269</v>
      </c>
      <c r="K4303" t="s">
        <v>1107</v>
      </c>
      <c r="L4303">
        <v>269</v>
      </c>
      <c r="M4303" t="s">
        <v>1098</v>
      </c>
      <c r="N4303" t="s">
        <v>1099</v>
      </c>
      <c r="O4303">
        <f>Table1[[#This Row],[Unit_Price]]*Table1[[#This Row],[Quantity]]</f>
        <v>75</v>
      </c>
    </row>
    <row r="4304" spans="1:15" x14ac:dyDescent="0.3">
      <c r="A4304" t="s">
        <v>6127</v>
      </c>
      <c r="B4304" t="s">
        <v>6128</v>
      </c>
      <c r="C4304" t="s">
        <v>393</v>
      </c>
      <c r="D4304" t="s">
        <v>1057</v>
      </c>
      <c r="E4304">
        <v>3</v>
      </c>
      <c r="F4304">
        <f>_xlfn.XLOOKUP(Table1[[#This Row],[ProductID]],Products!A:A,Products!D:D,,0)</f>
        <v>130</v>
      </c>
      <c r="I4304">
        <v>549</v>
      </c>
      <c r="J4304">
        <v>494</v>
      </c>
      <c r="K4304" t="s">
        <v>1107</v>
      </c>
      <c r="L4304">
        <v>1482</v>
      </c>
      <c r="M4304" t="s">
        <v>1098</v>
      </c>
      <c r="N4304" t="s">
        <v>1099</v>
      </c>
      <c r="O4304">
        <f>Table1[[#This Row],[Unit_Price]]*Table1[[#This Row],[Quantity]]</f>
        <v>390</v>
      </c>
    </row>
    <row r="4305" spans="1:15" x14ac:dyDescent="0.3">
      <c r="A4305" t="s">
        <v>6129</v>
      </c>
      <c r="B4305" t="s">
        <v>1816</v>
      </c>
      <c r="C4305" t="s">
        <v>273</v>
      </c>
      <c r="D4305" t="s">
        <v>1068</v>
      </c>
      <c r="E4305">
        <v>1</v>
      </c>
      <c r="F4305">
        <f>_xlfn.XLOOKUP(Table1[[#This Row],[ProductID]],Products!A:A,Products!D:D,,0)</f>
        <v>180</v>
      </c>
      <c r="I4305">
        <v>449</v>
      </c>
      <c r="J4305">
        <v>449</v>
      </c>
      <c r="K4305" t="s">
        <v>1102</v>
      </c>
      <c r="L4305">
        <v>449</v>
      </c>
      <c r="M4305" t="s">
        <v>1118</v>
      </c>
      <c r="N4305" t="s">
        <v>1099</v>
      </c>
      <c r="O4305">
        <f>Table1[[#This Row],[Unit_Price]]*Table1[[#This Row],[Quantity]]</f>
        <v>180</v>
      </c>
    </row>
    <row r="4306" spans="1:15" x14ac:dyDescent="0.3">
      <c r="A4306" t="s">
        <v>6130</v>
      </c>
      <c r="B4306" t="s">
        <v>2407</v>
      </c>
      <c r="C4306" t="s">
        <v>83</v>
      </c>
      <c r="D4306" t="s">
        <v>1064</v>
      </c>
      <c r="E4306">
        <v>4</v>
      </c>
      <c r="F4306">
        <f>_xlfn.XLOOKUP(Table1[[#This Row],[ProductID]],Products!A:A,Products!D:D,,0)</f>
        <v>160</v>
      </c>
      <c r="I4306">
        <v>699</v>
      </c>
      <c r="J4306">
        <v>699</v>
      </c>
      <c r="K4306" t="s">
        <v>1102</v>
      </c>
      <c r="L4306">
        <v>2796</v>
      </c>
      <c r="M4306" t="s">
        <v>1098</v>
      </c>
      <c r="N4306" t="s">
        <v>1099</v>
      </c>
      <c r="O4306">
        <f>Table1[[#This Row],[Unit_Price]]*Table1[[#This Row],[Quantity]]</f>
        <v>640</v>
      </c>
    </row>
    <row r="4307" spans="1:15" x14ac:dyDescent="0.3">
      <c r="A4307" t="s">
        <v>6131</v>
      </c>
      <c r="B4307" t="s">
        <v>1467</v>
      </c>
      <c r="C4307" t="s">
        <v>122</v>
      </c>
      <c r="D4307" t="s">
        <v>1059</v>
      </c>
      <c r="E4307">
        <v>2</v>
      </c>
      <c r="F4307">
        <f>_xlfn.XLOOKUP(Table1[[#This Row],[ProductID]],Products!A:A,Products!D:D,,0)</f>
        <v>110</v>
      </c>
      <c r="I4307">
        <v>399</v>
      </c>
      <c r="J4307">
        <v>359</v>
      </c>
      <c r="K4307" t="s">
        <v>1107</v>
      </c>
      <c r="L4307">
        <v>718</v>
      </c>
      <c r="M4307" t="s">
        <v>1098</v>
      </c>
      <c r="N4307" t="s">
        <v>1099</v>
      </c>
      <c r="O4307">
        <f>Table1[[#This Row],[Unit_Price]]*Table1[[#This Row],[Quantity]]</f>
        <v>220</v>
      </c>
    </row>
    <row r="4308" spans="1:15" x14ac:dyDescent="0.3">
      <c r="A4308" t="s">
        <v>6132</v>
      </c>
      <c r="B4308" t="s">
        <v>3323</v>
      </c>
      <c r="C4308" t="s">
        <v>303</v>
      </c>
      <c r="D4308" t="s">
        <v>1053</v>
      </c>
      <c r="E4308">
        <v>1</v>
      </c>
      <c r="F4308">
        <f>_xlfn.XLOOKUP(Table1[[#This Row],[ProductID]],Products!A:A,Products!D:D,,0)</f>
        <v>200</v>
      </c>
      <c r="I4308">
        <v>899</v>
      </c>
      <c r="J4308">
        <v>899</v>
      </c>
      <c r="K4308" t="s">
        <v>1102</v>
      </c>
      <c r="L4308">
        <v>899</v>
      </c>
      <c r="M4308" t="s">
        <v>1098</v>
      </c>
      <c r="N4308" t="s">
        <v>1099</v>
      </c>
      <c r="O4308">
        <f>Table1[[#This Row],[Unit_Price]]*Table1[[#This Row],[Quantity]]</f>
        <v>200</v>
      </c>
    </row>
    <row r="4309" spans="1:15" x14ac:dyDescent="0.3">
      <c r="A4309" t="s">
        <v>6133</v>
      </c>
      <c r="B4309" t="s">
        <v>1101</v>
      </c>
      <c r="C4309" t="s">
        <v>303</v>
      </c>
      <c r="D4309" t="s">
        <v>1055</v>
      </c>
      <c r="E4309">
        <v>3</v>
      </c>
      <c r="F4309">
        <f>_xlfn.XLOOKUP(Table1[[#This Row],[ProductID]],Products!A:A,Products!D:D,,0)</f>
        <v>75</v>
      </c>
      <c r="I4309">
        <v>299</v>
      </c>
      <c r="J4309">
        <v>239</v>
      </c>
      <c r="K4309" t="s">
        <v>1097</v>
      </c>
      <c r="L4309">
        <v>717</v>
      </c>
      <c r="M4309" t="s">
        <v>1093</v>
      </c>
      <c r="N4309" t="s">
        <v>1099</v>
      </c>
      <c r="O4309">
        <f>Table1[[#This Row],[Unit_Price]]*Table1[[#This Row],[Quantity]]</f>
        <v>225</v>
      </c>
    </row>
    <row r="4310" spans="1:15" x14ac:dyDescent="0.3">
      <c r="A4310" t="s">
        <v>6134</v>
      </c>
      <c r="B4310" t="s">
        <v>3265</v>
      </c>
      <c r="C4310" t="s">
        <v>42</v>
      </c>
      <c r="D4310" t="s">
        <v>1073</v>
      </c>
      <c r="E4310">
        <v>1</v>
      </c>
      <c r="F4310">
        <f>_xlfn.XLOOKUP(Table1[[#This Row],[ProductID]],Products!A:A,Products!D:D,,0)</f>
        <v>100</v>
      </c>
      <c r="I4310">
        <v>349</v>
      </c>
      <c r="J4310">
        <v>314</v>
      </c>
      <c r="K4310" t="s">
        <v>1107</v>
      </c>
      <c r="L4310">
        <v>314</v>
      </c>
      <c r="M4310" t="s">
        <v>1093</v>
      </c>
      <c r="N4310" t="s">
        <v>1094</v>
      </c>
      <c r="O4310">
        <f>Table1[[#This Row],[Unit_Price]]*Table1[[#This Row],[Quantity]]</f>
        <v>100</v>
      </c>
    </row>
    <row r="4311" spans="1:15" x14ac:dyDescent="0.3">
      <c r="A4311" t="s">
        <v>6135</v>
      </c>
      <c r="B4311" t="s">
        <v>1389</v>
      </c>
      <c r="C4311" t="s">
        <v>465</v>
      </c>
      <c r="D4311" t="s">
        <v>1055</v>
      </c>
      <c r="E4311">
        <v>1</v>
      </c>
      <c r="F4311">
        <f>_xlfn.XLOOKUP(Table1[[#This Row],[ProductID]],Products!A:A,Products!D:D,,0)</f>
        <v>75</v>
      </c>
      <c r="I4311">
        <v>299</v>
      </c>
      <c r="J4311">
        <v>254</v>
      </c>
      <c r="K4311" t="s">
        <v>1092</v>
      </c>
      <c r="L4311">
        <v>254</v>
      </c>
      <c r="M4311" t="s">
        <v>1093</v>
      </c>
      <c r="N4311" t="s">
        <v>1099</v>
      </c>
      <c r="O4311">
        <f>Table1[[#This Row],[Unit_Price]]*Table1[[#This Row],[Quantity]]</f>
        <v>75</v>
      </c>
    </row>
    <row r="4312" spans="1:15" x14ac:dyDescent="0.3">
      <c r="A4312" t="s">
        <v>6136</v>
      </c>
      <c r="B4312" t="s">
        <v>1738</v>
      </c>
      <c r="C4312" t="s">
        <v>303</v>
      </c>
      <c r="D4312" t="s">
        <v>1062</v>
      </c>
      <c r="E4312">
        <v>2</v>
      </c>
      <c r="F4312">
        <f>_xlfn.XLOOKUP(Table1[[#This Row],[ProductID]],Products!A:A,Products!D:D,,0)</f>
        <v>95</v>
      </c>
      <c r="I4312">
        <v>349</v>
      </c>
      <c r="J4312">
        <v>297</v>
      </c>
      <c r="K4312" t="s">
        <v>1092</v>
      </c>
      <c r="L4312">
        <v>594</v>
      </c>
      <c r="M4312" t="s">
        <v>1126</v>
      </c>
      <c r="N4312" t="s">
        <v>1099</v>
      </c>
      <c r="O4312">
        <f>Table1[[#This Row],[Unit_Price]]*Table1[[#This Row],[Quantity]]</f>
        <v>190</v>
      </c>
    </row>
    <row r="4313" spans="1:15" x14ac:dyDescent="0.3">
      <c r="A4313" t="s">
        <v>6137</v>
      </c>
      <c r="B4313" t="s">
        <v>2812</v>
      </c>
      <c r="C4313" t="s">
        <v>755</v>
      </c>
      <c r="D4313" t="s">
        <v>1055</v>
      </c>
      <c r="E4313">
        <v>1</v>
      </c>
      <c r="F4313">
        <f>_xlfn.XLOOKUP(Table1[[#This Row],[ProductID]],Products!A:A,Products!D:D,,0)</f>
        <v>75</v>
      </c>
      <c r="I4313">
        <v>299</v>
      </c>
      <c r="J4313">
        <v>269</v>
      </c>
      <c r="K4313" t="s">
        <v>1107</v>
      </c>
      <c r="L4313">
        <v>269</v>
      </c>
      <c r="M4313" t="s">
        <v>1093</v>
      </c>
      <c r="N4313" t="s">
        <v>1094</v>
      </c>
      <c r="O4313">
        <f>Table1[[#This Row],[Unit_Price]]*Table1[[#This Row],[Quantity]]</f>
        <v>75</v>
      </c>
    </row>
    <row r="4314" spans="1:15" x14ac:dyDescent="0.3">
      <c r="A4314" t="s">
        <v>6138</v>
      </c>
      <c r="B4314" t="s">
        <v>1321</v>
      </c>
      <c r="C4314" t="s">
        <v>249</v>
      </c>
      <c r="D4314" t="s">
        <v>1078</v>
      </c>
      <c r="E4314">
        <v>1</v>
      </c>
      <c r="F4314">
        <f>_xlfn.XLOOKUP(Table1[[#This Row],[ProductID]],Products!A:A,Products!D:D,,0)</f>
        <v>80</v>
      </c>
      <c r="I4314">
        <v>499</v>
      </c>
      <c r="J4314">
        <v>449</v>
      </c>
      <c r="K4314" t="s">
        <v>1107</v>
      </c>
      <c r="L4314">
        <v>449</v>
      </c>
      <c r="M4314" t="s">
        <v>1098</v>
      </c>
      <c r="N4314" t="s">
        <v>1099</v>
      </c>
      <c r="O4314">
        <f>Table1[[#This Row],[Unit_Price]]*Table1[[#This Row],[Quantity]]</f>
        <v>80</v>
      </c>
    </row>
    <row r="4315" spans="1:15" x14ac:dyDescent="0.3">
      <c r="A4315" t="s">
        <v>6139</v>
      </c>
      <c r="B4315" t="s">
        <v>1801</v>
      </c>
      <c r="C4315" t="s">
        <v>559</v>
      </c>
      <c r="D4315" t="s">
        <v>1053</v>
      </c>
      <c r="E4315">
        <v>1</v>
      </c>
      <c r="F4315">
        <f>_xlfn.XLOOKUP(Table1[[#This Row],[ProductID]],Products!A:A,Products!D:D,,0)</f>
        <v>200</v>
      </c>
      <c r="I4315">
        <v>899</v>
      </c>
      <c r="J4315">
        <v>764</v>
      </c>
      <c r="K4315" t="s">
        <v>1092</v>
      </c>
      <c r="L4315">
        <v>764</v>
      </c>
      <c r="M4315" t="s">
        <v>1098</v>
      </c>
      <c r="N4315" t="s">
        <v>1099</v>
      </c>
      <c r="O4315">
        <f>Table1[[#This Row],[Unit_Price]]*Table1[[#This Row],[Quantity]]</f>
        <v>200</v>
      </c>
    </row>
    <row r="4316" spans="1:15" x14ac:dyDescent="0.3">
      <c r="A4316" t="s">
        <v>6140</v>
      </c>
      <c r="B4316" t="s">
        <v>3096</v>
      </c>
      <c r="C4316" t="s">
        <v>321</v>
      </c>
      <c r="D4316" t="s">
        <v>1059</v>
      </c>
      <c r="E4316">
        <v>4</v>
      </c>
      <c r="F4316">
        <f>_xlfn.XLOOKUP(Table1[[#This Row],[ProductID]],Products!A:A,Products!D:D,,0)</f>
        <v>110</v>
      </c>
      <c r="I4316">
        <v>399</v>
      </c>
      <c r="J4316">
        <v>359</v>
      </c>
      <c r="K4316" t="s">
        <v>1107</v>
      </c>
      <c r="L4316">
        <v>1436</v>
      </c>
      <c r="M4316" t="s">
        <v>1126</v>
      </c>
      <c r="N4316" t="s">
        <v>1099</v>
      </c>
      <c r="O4316">
        <f>Table1[[#This Row],[Unit_Price]]*Table1[[#This Row],[Quantity]]</f>
        <v>440</v>
      </c>
    </row>
    <row r="4317" spans="1:15" x14ac:dyDescent="0.3">
      <c r="A4317" t="s">
        <v>6141</v>
      </c>
      <c r="B4317" t="s">
        <v>1653</v>
      </c>
      <c r="C4317" t="s">
        <v>99</v>
      </c>
      <c r="D4317" t="s">
        <v>1073</v>
      </c>
      <c r="E4317">
        <v>1</v>
      </c>
      <c r="F4317">
        <f>_xlfn.XLOOKUP(Table1[[#This Row],[ProductID]],Products!A:A,Products!D:D,,0)</f>
        <v>100</v>
      </c>
      <c r="I4317">
        <v>349</v>
      </c>
      <c r="J4317">
        <v>297</v>
      </c>
      <c r="K4317" t="s">
        <v>1092</v>
      </c>
      <c r="L4317">
        <v>297</v>
      </c>
      <c r="M4317" t="s">
        <v>1098</v>
      </c>
      <c r="N4317" t="s">
        <v>1099</v>
      </c>
      <c r="O4317">
        <f>Table1[[#This Row],[Unit_Price]]*Table1[[#This Row],[Quantity]]</f>
        <v>100</v>
      </c>
    </row>
    <row r="4318" spans="1:15" x14ac:dyDescent="0.3">
      <c r="A4318" t="s">
        <v>6142</v>
      </c>
      <c r="B4318" t="s">
        <v>1432</v>
      </c>
      <c r="C4318" t="s">
        <v>289</v>
      </c>
      <c r="D4318" t="s">
        <v>1055</v>
      </c>
      <c r="E4318">
        <v>1</v>
      </c>
      <c r="F4318">
        <f>_xlfn.XLOOKUP(Table1[[#This Row],[ProductID]],Products!A:A,Products!D:D,,0)</f>
        <v>75</v>
      </c>
      <c r="I4318">
        <v>299</v>
      </c>
      <c r="J4318">
        <v>299</v>
      </c>
      <c r="K4318" t="s">
        <v>1102</v>
      </c>
      <c r="L4318">
        <v>299</v>
      </c>
      <c r="M4318" t="s">
        <v>1098</v>
      </c>
      <c r="N4318" t="s">
        <v>1099</v>
      </c>
      <c r="O4318">
        <f>Table1[[#This Row],[Unit_Price]]*Table1[[#This Row],[Quantity]]</f>
        <v>75</v>
      </c>
    </row>
    <row r="4319" spans="1:15" x14ac:dyDescent="0.3">
      <c r="A4319" t="s">
        <v>6143</v>
      </c>
      <c r="B4319" t="s">
        <v>2730</v>
      </c>
      <c r="C4319" t="s">
        <v>931</v>
      </c>
      <c r="D4319" t="s">
        <v>1062</v>
      </c>
      <c r="E4319">
        <v>2</v>
      </c>
      <c r="F4319">
        <f>_xlfn.XLOOKUP(Table1[[#This Row],[ProductID]],Products!A:A,Products!D:D,,0)</f>
        <v>95</v>
      </c>
      <c r="I4319">
        <v>349</v>
      </c>
      <c r="J4319">
        <v>297</v>
      </c>
      <c r="K4319" t="s">
        <v>1092</v>
      </c>
      <c r="L4319">
        <v>594</v>
      </c>
      <c r="M4319" t="s">
        <v>1098</v>
      </c>
      <c r="N4319" t="s">
        <v>1099</v>
      </c>
      <c r="O4319">
        <f>Table1[[#This Row],[Unit_Price]]*Table1[[#This Row],[Quantity]]</f>
        <v>190</v>
      </c>
    </row>
    <row r="4320" spans="1:15" x14ac:dyDescent="0.3">
      <c r="A4320" t="s">
        <v>6144</v>
      </c>
      <c r="B4320" t="s">
        <v>1622</v>
      </c>
      <c r="C4320" t="s">
        <v>767</v>
      </c>
      <c r="D4320" t="s">
        <v>1053</v>
      </c>
      <c r="E4320">
        <v>2</v>
      </c>
      <c r="F4320">
        <f>_xlfn.XLOOKUP(Table1[[#This Row],[ProductID]],Products!A:A,Products!D:D,,0)</f>
        <v>200</v>
      </c>
      <c r="I4320">
        <v>899</v>
      </c>
      <c r="J4320">
        <v>809</v>
      </c>
      <c r="K4320" t="s">
        <v>1107</v>
      </c>
      <c r="L4320">
        <v>1618</v>
      </c>
      <c r="M4320" t="s">
        <v>1098</v>
      </c>
      <c r="N4320" t="s">
        <v>1099</v>
      </c>
      <c r="O4320">
        <f>Table1[[#This Row],[Unit_Price]]*Table1[[#This Row],[Quantity]]</f>
        <v>400</v>
      </c>
    </row>
    <row r="4321" spans="1:15" x14ac:dyDescent="0.3">
      <c r="A4321" t="s">
        <v>6145</v>
      </c>
      <c r="B4321" t="s">
        <v>1539</v>
      </c>
      <c r="C4321" t="s">
        <v>427</v>
      </c>
      <c r="D4321" t="s">
        <v>1051</v>
      </c>
      <c r="E4321">
        <v>2</v>
      </c>
      <c r="F4321">
        <f>_xlfn.XLOOKUP(Table1[[#This Row],[ProductID]],Products!A:A,Products!D:D,,0)</f>
        <v>150</v>
      </c>
      <c r="I4321">
        <v>499</v>
      </c>
      <c r="J4321">
        <v>424</v>
      </c>
      <c r="K4321" t="s">
        <v>1092</v>
      </c>
      <c r="L4321">
        <v>848</v>
      </c>
      <c r="M4321" t="s">
        <v>1093</v>
      </c>
      <c r="N4321" t="s">
        <v>1123</v>
      </c>
      <c r="O4321">
        <f>Table1[[#This Row],[Unit_Price]]*Table1[[#This Row],[Quantity]]</f>
        <v>300</v>
      </c>
    </row>
    <row r="4322" spans="1:15" x14ac:dyDescent="0.3">
      <c r="A4322" t="s">
        <v>6146</v>
      </c>
      <c r="B4322" t="s">
        <v>3591</v>
      </c>
      <c r="C4322" t="s">
        <v>819</v>
      </c>
      <c r="D4322" t="s">
        <v>1059</v>
      </c>
      <c r="E4322">
        <v>1</v>
      </c>
      <c r="F4322">
        <f>_xlfn.XLOOKUP(Table1[[#This Row],[ProductID]],Products!A:A,Products!D:D,,0)</f>
        <v>110</v>
      </c>
      <c r="I4322">
        <v>399</v>
      </c>
      <c r="J4322">
        <v>359</v>
      </c>
      <c r="K4322" t="s">
        <v>1107</v>
      </c>
      <c r="L4322">
        <v>359</v>
      </c>
      <c r="M4322" t="s">
        <v>1126</v>
      </c>
      <c r="N4322" t="s">
        <v>1099</v>
      </c>
      <c r="O4322">
        <f>Table1[[#This Row],[Unit_Price]]*Table1[[#This Row],[Quantity]]</f>
        <v>110</v>
      </c>
    </row>
    <row r="4323" spans="1:15" x14ac:dyDescent="0.3">
      <c r="A4323" t="s">
        <v>6147</v>
      </c>
      <c r="B4323" t="s">
        <v>1953</v>
      </c>
      <c r="C4323" t="s">
        <v>597</v>
      </c>
      <c r="D4323" t="s">
        <v>1062</v>
      </c>
      <c r="E4323">
        <v>1</v>
      </c>
      <c r="F4323">
        <f>_xlfn.XLOOKUP(Table1[[#This Row],[ProductID]],Products!A:A,Products!D:D,,0)</f>
        <v>95</v>
      </c>
      <c r="I4323">
        <v>349</v>
      </c>
      <c r="J4323">
        <v>279</v>
      </c>
      <c r="K4323" t="s">
        <v>1097</v>
      </c>
      <c r="L4323">
        <v>279</v>
      </c>
      <c r="M4323" t="s">
        <v>1098</v>
      </c>
      <c r="N4323" t="s">
        <v>1099</v>
      </c>
      <c r="O4323">
        <f>Table1[[#This Row],[Unit_Price]]*Table1[[#This Row],[Quantity]]</f>
        <v>95</v>
      </c>
    </row>
    <row r="4324" spans="1:15" x14ac:dyDescent="0.3">
      <c r="A4324" t="s">
        <v>6148</v>
      </c>
      <c r="B4324" t="s">
        <v>2549</v>
      </c>
      <c r="C4324" t="s">
        <v>429</v>
      </c>
      <c r="D4324" t="s">
        <v>1078</v>
      </c>
      <c r="E4324">
        <v>2</v>
      </c>
      <c r="F4324">
        <f>_xlfn.XLOOKUP(Table1[[#This Row],[ProductID]],Products!A:A,Products!D:D,,0)</f>
        <v>80</v>
      </c>
      <c r="I4324">
        <v>499</v>
      </c>
      <c r="J4324">
        <v>424</v>
      </c>
      <c r="K4324" t="s">
        <v>1092</v>
      </c>
      <c r="L4324">
        <v>848</v>
      </c>
      <c r="M4324" t="s">
        <v>1093</v>
      </c>
      <c r="N4324" t="s">
        <v>1099</v>
      </c>
      <c r="O4324">
        <f>Table1[[#This Row],[Unit_Price]]*Table1[[#This Row],[Quantity]]</f>
        <v>160</v>
      </c>
    </row>
    <row r="4325" spans="1:15" x14ac:dyDescent="0.3">
      <c r="A4325" t="s">
        <v>6149</v>
      </c>
      <c r="B4325" t="s">
        <v>1563</v>
      </c>
      <c r="C4325" t="s">
        <v>553</v>
      </c>
      <c r="D4325" t="s">
        <v>1053</v>
      </c>
      <c r="E4325">
        <v>1</v>
      </c>
      <c r="F4325">
        <f>_xlfn.XLOOKUP(Table1[[#This Row],[ProductID]],Products!A:A,Products!D:D,,0)</f>
        <v>200</v>
      </c>
      <c r="I4325">
        <v>899</v>
      </c>
      <c r="J4325">
        <v>899</v>
      </c>
      <c r="K4325" t="s">
        <v>1102</v>
      </c>
      <c r="L4325">
        <v>899</v>
      </c>
      <c r="M4325" t="s">
        <v>1118</v>
      </c>
      <c r="N4325" t="s">
        <v>1099</v>
      </c>
      <c r="O4325">
        <f>Table1[[#This Row],[Unit_Price]]*Table1[[#This Row],[Quantity]]</f>
        <v>200</v>
      </c>
    </row>
    <row r="4326" spans="1:15" x14ac:dyDescent="0.3">
      <c r="A4326" t="s">
        <v>6150</v>
      </c>
      <c r="B4326" t="s">
        <v>2245</v>
      </c>
      <c r="C4326" t="s">
        <v>573</v>
      </c>
      <c r="D4326" t="s">
        <v>1053</v>
      </c>
      <c r="E4326">
        <v>2</v>
      </c>
      <c r="F4326">
        <f>_xlfn.XLOOKUP(Table1[[#This Row],[ProductID]],Products!A:A,Products!D:D,,0)</f>
        <v>200</v>
      </c>
      <c r="I4326">
        <v>899</v>
      </c>
      <c r="J4326">
        <v>899</v>
      </c>
      <c r="K4326" t="s">
        <v>1102</v>
      </c>
      <c r="L4326">
        <v>1798</v>
      </c>
      <c r="M4326" t="s">
        <v>1098</v>
      </c>
      <c r="N4326" t="s">
        <v>1099</v>
      </c>
      <c r="O4326">
        <f>Table1[[#This Row],[Unit_Price]]*Table1[[#This Row],[Quantity]]</f>
        <v>400</v>
      </c>
    </row>
    <row r="4327" spans="1:15" x14ac:dyDescent="0.3">
      <c r="A4327" t="s">
        <v>6151</v>
      </c>
      <c r="B4327" t="s">
        <v>3397</v>
      </c>
      <c r="C4327" t="s">
        <v>803</v>
      </c>
      <c r="D4327" t="s">
        <v>1071</v>
      </c>
      <c r="E4327">
        <v>1</v>
      </c>
      <c r="F4327">
        <f>_xlfn.XLOOKUP(Table1[[#This Row],[ProductID]],Products!A:A,Products!D:D,,0)</f>
        <v>125</v>
      </c>
      <c r="I4327">
        <v>399</v>
      </c>
      <c r="J4327">
        <v>319</v>
      </c>
      <c r="K4327" t="s">
        <v>1097</v>
      </c>
      <c r="L4327">
        <v>319</v>
      </c>
      <c r="M4327" t="s">
        <v>1098</v>
      </c>
      <c r="N4327" t="s">
        <v>1099</v>
      </c>
      <c r="O4327">
        <f>Table1[[#This Row],[Unit_Price]]*Table1[[#This Row],[Quantity]]</f>
        <v>125</v>
      </c>
    </row>
    <row r="4328" spans="1:15" x14ac:dyDescent="0.3">
      <c r="A4328" t="s">
        <v>6152</v>
      </c>
      <c r="B4328" t="s">
        <v>1763</v>
      </c>
      <c r="C4328" t="s">
        <v>917</v>
      </c>
      <c r="D4328" t="s">
        <v>1057</v>
      </c>
      <c r="E4328">
        <v>4</v>
      </c>
      <c r="F4328">
        <f>_xlfn.XLOOKUP(Table1[[#This Row],[ProductID]],Products!A:A,Products!D:D,,0)</f>
        <v>130</v>
      </c>
      <c r="I4328">
        <v>549</v>
      </c>
      <c r="J4328">
        <v>549</v>
      </c>
      <c r="K4328" t="s">
        <v>1102</v>
      </c>
      <c r="L4328">
        <v>2196</v>
      </c>
      <c r="M4328" t="s">
        <v>1098</v>
      </c>
      <c r="N4328" t="s">
        <v>1099</v>
      </c>
      <c r="O4328">
        <f>Table1[[#This Row],[Unit_Price]]*Table1[[#This Row],[Quantity]]</f>
        <v>520</v>
      </c>
    </row>
    <row r="4329" spans="1:15" x14ac:dyDescent="0.3">
      <c r="A4329" t="s">
        <v>6153</v>
      </c>
      <c r="B4329" t="s">
        <v>1482</v>
      </c>
      <c r="C4329" t="s">
        <v>373</v>
      </c>
      <c r="D4329" t="s">
        <v>1075</v>
      </c>
      <c r="E4329">
        <v>1</v>
      </c>
      <c r="F4329">
        <f>_xlfn.XLOOKUP(Table1[[#This Row],[ProductID]],Products!A:A,Products!D:D,,0)</f>
        <v>80</v>
      </c>
      <c r="I4329">
        <v>499</v>
      </c>
      <c r="J4329">
        <v>449</v>
      </c>
      <c r="K4329" t="s">
        <v>1107</v>
      </c>
      <c r="L4329">
        <v>449</v>
      </c>
      <c r="M4329" t="s">
        <v>1098</v>
      </c>
      <c r="N4329" t="s">
        <v>1099</v>
      </c>
      <c r="O4329">
        <f>Table1[[#This Row],[Unit_Price]]*Table1[[#This Row],[Quantity]]</f>
        <v>80</v>
      </c>
    </row>
    <row r="4330" spans="1:15" x14ac:dyDescent="0.3">
      <c r="A4330" t="s">
        <v>6154</v>
      </c>
      <c r="B4330" t="s">
        <v>3881</v>
      </c>
      <c r="C4330" t="s">
        <v>893</v>
      </c>
      <c r="D4330" t="s">
        <v>1073</v>
      </c>
      <c r="E4330">
        <v>1</v>
      </c>
      <c r="F4330">
        <f>_xlfn.XLOOKUP(Table1[[#This Row],[ProductID]],Products!A:A,Products!D:D,,0)</f>
        <v>100</v>
      </c>
      <c r="I4330">
        <v>349</v>
      </c>
      <c r="J4330">
        <v>297</v>
      </c>
      <c r="K4330" t="s">
        <v>1092</v>
      </c>
      <c r="L4330">
        <v>297</v>
      </c>
      <c r="M4330" t="s">
        <v>1098</v>
      </c>
      <c r="N4330" t="s">
        <v>1099</v>
      </c>
      <c r="O4330">
        <f>Table1[[#This Row],[Unit_Price]]*Table1[[#This Row],[Quantity]]</f>
        <v>100</v>
      </c>
    </row>
    <row r="4331" spans="1:15" x14ac:dyDescent="0.3">
      <c r="A4331" t="s">
        <v>6155</v>
      </c>
      <c r="B4331" t="s">
        <v>1370</v>
      </c>
      <c r="C4331" t="s">
        <v>405</v>
      </c>
      <c r="D4331" t="s">
        <v>1064</v>
      </c>
      <c r="E4331">
        <v>3</v>
      </c>
      <c r="F4331">
        <f>_xlfn.XLOOKUP(Table1[[#This Row],[ProductID]],Products!A:A,Products!D:D,,0)</f>
        <v>160</v>
      </c>
      <c r="I4331">
        <v>699</v>
      </c>
      <c r="J4331">
        <v>594</v>
      </c>
      <c r="K4331" t="s">
        <v>1092</v>
      </c>
      <c r="L4331">
        <v>1782</v>
      </c>
      <c r="M4331" t="s">
        <v>1126</v>
      </c>
      <c r="N4331" t="s">
        <v>1099</v>
      </c>
      <c r="O4331">
        <f>Table1[[#This Row],[Unit_Price]]*Table1[[#This Row],[Quantity]]</f>
        <v>480</v>
      </c>
    </row>
    <row r="4332" spans="1:15" x14ac:dyDescent="0.3">
      <c r="A4332" t="s">
        <v>6156</v>
      </c>
      <c r="B4332" t="s">
        <v>1327</v>
      </c>
      <c r="C4332" t="s">
        <v>837</v>
      </c>
      <c r="D4332" t="s">
        <v>1068</v>
      </c>
      <c r="E4332">
        <v>3</v>
      </c>
      <c r="F4332">
        <f>_xlfn.XLOOKUP(Table1[[#This Row],[ProductID]],Products!A:A,Products!D:D,,0)</f>
        <v>180</v>
      </c>
      <c r="I4332">
        <v>449</v>
      </c>
      <c r="J4332">
        <v>382</v>
      </c>
      <c r="K4332" t="s">
        <v>1092</v>
      </c>
      <c r="L4332">
        <v>1146</v>
      </c>
      <c r="M4332" t="s">
        <v>1098</v>
      </c>
      <c r="N4332" t="s">
        <v>1099</v>
      </c>
      <c r="O4332">
        <f>Table1[[#This Row],[Unit_Price]]*Table1[[#This Row],[Quantity]]</f>
        <v>540</v>
      </c>
    </row>
    <row r="4333" spans="1:15" x14ac:dyDescent="0.3">
      <c r="A4333" t="s">
        <v>6157</v>
      </c>
      <c r="B4333" t="s">
        <v>1319</v>
      </c>
      <c r="C4333" t="s">
        <v>933</v>
      </c>
      <c r="D4333" t="s">
        <v>1080</v>
      </c>
      <c r="E4333">
        <v>1</v>
      </c>
      <c r="F4333">
        <f>_xlfn.XLOOKUP(Table1[[#This Row],[ProductID]],Products!A:A,Products!D:D,,0)</f>
        <v>45</v>
      </c>
      <c r="I4333">
        <v>249</v>
      </c>
      <c r="J4333">
        <v>199</v>
      </c>
      <c r="K4333" t="s">
        <v>1097</v>
      </c>
      <c r="L4333">
        <v>199</v>
      </c>
      <c r="M4333" t="s">
        <v>1098</v>
      </c>
      <c r="N4333" t="s">
        <v>1099</v>
      </c>
      <c r="O4333">
        <f>Table1[[#This Row],[Unit_Price]]*Table1[[#This Row],[Quantity]]</f>
        <v>45</v>
      </c>
    </row>
    <row r="4334" spans="1:15" x14ac:dyDescent="0.3">
      <c r="A4334" t="s">
        <v>6158</v>
      </c>
      <c r="B4334" t="s">
        <v>2862</v>
      </c>
      <c r="C4334" t="s">
        <v>931</v>
      </c>
      <c r="D4334" t="s">
        <v>1075</v>
      </c>
      <c r="E4334">
        <v>2</v>
      </c>
      <c r="F4334">
        <f>_xlfn.XLOOKUP(Table1[[#This Row],[ProductID]],Products!A:A,Products!D:D,,0)</f>
        <v>80</v>
      </c>
      <c r="I4334">
        <v>499</v>
      </c>
      <c r="J4334">
        <v>449</v>
      </c>
      <c r="K4334" t="s">
        <v>1107</v>
      </c>
      <c r="L4334">
        <v>898</v>
      </c>
      <c r="M4334" t="s">
        <v>1098</v>
      </c>
      <c r="N4334" t="s">
        <v>1099</v>
      </c>
      <c r="O4334">
        <f>Table1[[#This Row],[Unit_Price]]*Table1[[#This Row],[Quantity]]</f>
        <v>160</v>
      </c>
    </row>
    <row r="4335" spans="1:15" x14ac:dyDescent="0.3">
      <c r="A4335" t="s">
        <v>6159</v>
      </c>
      <c r="B4335" t="s">
        <v>2224</v>
      </c>
      <c r="C4335" t="s">
        <v>469</v>
      </c>
      <c r="D4335" t="s">
        <v>1066</v>
      </c>
      <c r="E4335">
        <v>2</v>
      </c>
      <c r="F4335">
        <f>_xlfn.XLOOKUP(Table1[[#This Row],[ProductID]],Products!A:A,Products!D:D,,0)</f>
        <v>140</v>
      </c>
      <c r="I4335">
        <v>499</v>
      </c>
      <c r="J4335">
        <v>449</v>
      </c>
      <c r="K4335" t="s">
        <v>1107</v>
      </c>
      <c r="L4335">
        <v>898</v>
      </c>
      <c r="M4335" t="s">
        <v>1093</v>
      </c>
      <c r="N4335" t="s">
        <v>1123</v>
      </c>
      <c r="O4335">
        <f>Table1[[#This Row],[Unit_Price]]*Table1[[#This Row],[Quantity]]</f>
        <v>280</v>
      </c>
    </row>
    <row r="4336" spans="1:15" x14ac:dyDescent="0.3">
      <c r="A4336" t="s">
        <v>6160</v>
      </c>
      <c r="B4336" t="s">
        <v>2267</v>
      </c>
      <c r="C4336" t="s">
        <v>893</v>
      </c>
      <c r="D4336" t="s">
        <v>1073</v>
      </c>
      <c r="E4336">
        <v>1</v>
      </c>
      <c r="F4336">
        <f>_xlfn.XLOOKUP(Table1[[#This Row],[ProductID]],Products!A:A,Products!D:D,,0)</f>
        <v>100</v>
      </c>
      <c r="I4336">
        <v>349</v>
      </c>
      <c r="J4336">
        <v>279</v>
      </c>
      <c r="K4336" t="s">
        <v>1097</v>
      </c>
      <c r="L4336">
        <v>279</v>
      </c>
      <c r="M4336" t="s">
        <v>1098</v>
      </c>
      <c r="N4336" t="s">
        <v>1099</v>
      </c>
      <c r="O4336">
        <f>Table1[[#This Row],[Unit_Price]]*Table1[[#This Row],[Quantity]]</f>
        <v>100</v>
      </c>
    </row>
    <row r="4337" spans="1:15" x14ac:dyDescent="0.3">
      <c r="A4337" t="s">
        <v>6161</v>
      </c>
      <c r="B4337" t="s">
        <v>2312</v>
      </c>
      <c r="C4337" t="s">
        <v>76</v>
      </c>
      <c r="D4337" t="s">
        <v>1053</v>
      </c>
      <c r="E4337">
        <v>1</v>
      </c>
      <c r="F4337">
        <f>_xlfn.XLOOKUP(Table1[[#This Row],[ProductID]],Products!A:A,Products!D:D,,0)</f>
        <v>200</v>
      </c>
      <c r="I4337">
        <v>899</v>
      </c>
      <c r="J4337">
        <v>809</v>
      </c>
      <c r="K4337" t="s">
        <v>1107</v>
      </c>
      <c r="L4337">
        <v>809</v>
      </c>
      <c r="M4337" t="s">
        <v>1093</v>
      </c>
      <c r="N4337" t="s">
        <v>1094</v>
      </c>
      <c r="O4337">
        <f>Table1[[#This Row],[Unit_Price]]*Table1[[#This Row],[Quantity]]</f>
        <v>200</v>
      </c>
    </row>
    <row r="4338" spans="1:15" x14ac:dyDescent="0.3">
      <c r="A4338" t="s">
        <v>6162</v>
      </c>
      <c r="B4338" t="s">
        <v>4565</v>
      </c>
      <c r="C4338" t="s">
        <v>653</v>
      </c>
      <c r="D4338" t="s">
        <v>1068</v>
      </c>
      <c r="E4338">
        <v>4</v>
      </c>
      <c r="F4338">
        <f>_xlfn.XLOOKUP(Table1[[#This Row],[ProductID]],Products!A:A,Products!D:D,,0)</f>
        <v>180</v>
      </c>
      <c r="I4338">
        <v>449</v>
      </c>
      <c r="J4338">
        <v>449</v>
      </c>
      <c r="K4338" t="s">
        <v>1102</v>
      </c>
      <c r="L4338">
        <v>1796</v>
      </c>
      <c r="M4338" t="s">
        <v>1093</v>
      </c>
      <c r="N4338" t="s">
        <v>1094</v>
      </c>
      <c r="O4338">
        <f>Table1[[#This Row],[Unit_Price]]*Table1[[#This Row],[Quantity]]</f>
        <v>720</v>
      </c>
    </row>
    <row r="4339" spans="1:15" x14ac:dyDescent="0.3">
      <c r="A4339" t="s">
        <v>6163</v>
      </c>
      <c r="B4339" t="s">
        <v>1422</v>
      </c>
      <c r="C4339" t="s">
        <v>601</v>
      </c>
      <c r="D4339" t="s">
        <v>1062</v>
      </c>
      <c r="E4339">
        <v>1</v>
      </c>
      <c r="F4339">
        <f>_xlfn.XLOOKUP(Table1[[#This Row],[ProductID]],Products!A:A,Products!D:D,,0)</f>
        <v>95</v>
      </c>
      <c r="I4339">
        <v>349</v>
      </c>
      <c r="J4339">
        <v>314</v>
      </c>
      <c r="K4339" t="s">
        <v>1107</v>
      </c>
      <c r="L4339">
        <v>314</v>
      </c>
      <c r="M4339" t="s">
        <v>1093</v>
      </c>
      <c r="N4339" t="s">
        <v>1099</v>
      </c>
      <c r="O4339">
        <f>Table1[[#This Row],[Unit_Price]]*Table1[[#This Row],[Quantity]]</f>
        <v>95</v>
      </c>
    </row>
    <row r="4340" spans="1:15" x14ac:dyDescent="0.3">
      <c r="A4340" t="s">
        <v>6164</v>
      </c>
      <c r="B4340" t="s">
        <v>1120</v>
      </c>
      <c r="C4340" t="s">
        <v>241</v>
      </c>
      <c r="D4340" t="s">
        <v>1048</v>
      </c>
      <c r="E4340">
        <v>3</v>
      </c>
      <c r="F4340">
        <f>_xlfn.XLOOKUP(Table1[[#This Row],[ProductID]],Products!A:A,Products!D:D,,0)</f>
        <v>120</v>
      </c>
      <c r="I4340">
        <v>599</v>
      </c>
      <c r="J4340">
        <v>509</v>
      </c>
      <c r="K4340" t="s">
        <v>1092</v>
      </c>
      <c r="L4340">
        <v>1527</v>
      </c>
      <c r="M4340" t="s">
        <v>1098</v>
      </c>
      <c r="N4340" t="s">
        <v>1094</v>
      </c>
      <c r="O4340">
        <f>Table1[[#This Row],[Unit_Price]]*Table1[[#This Row],[Quantity]]</f>
        <v>360</v>
      </c>
    </row>
    <row r="4341" spans="1:15" x14ac:dyDescent="0.3">
      <c r="A4341" t="s">
        <v>6165</v>
      </c>
      <c r="B4341" t="s">
        <v>2971</v>
      </c>
      <c r="C4341" t="s">
        <v>607</v>
      </c>
      <c r="D4341" t="s">
        <v>1055</v>
      </c>
      <c r="E4341">
        <v>1</v>
      </c>
      <c r="F4341">
        <f>_xlfn.XLOOKUP(Table1[[#This Row],[ProductID]],Products!A:A,Products!D:D,,0)</f>
        <v>75</v>
      </c>
      <c r="I4341">
        <v>299</v>
      </c>
      <c r="J4341">
        <v>269</v>
      </c>
      <c r="K4341" t="s">
        <v>1107</v>
      </c>
      <c r="L4341">
        <v>269</v>
      </c>
      <c r="M4341" t="s">
        <v>1098</v>
      </c>
      <c r="N4341" t="s">
        <v>1099</v>
      </c>
      <c r="O4341">
        <f>Table1[[#This Row],[Unit_Price]]*Table1[[#This Row],[Quantity]]</f>
        <v>75</v>
      </c>
    </row>
    <row r="4342" spans="1:15" x14ac:dyDescent="0.3">
      <c r="A4342" t="s">
        <v>6166</v>
      </c>
      <c r="B4342" t="s">
        <v>1493</v>
      </c>
      <c r="C4342" t="s">
        <v>437</v>
      </c>
      <c r="D4342" t="s">
        <v>1062</v>
      </c>
      <c r="E4342">
        <v>1</v>
      </c>
      <c r="F4342">
        <f>_xlfn.XLOOKUP(Table1[[#This Row],[ProductID]],Products!A:A,Products!D:D,,0)</f>
        <v>95</v>
      </c>
      <c r="I4342">
        <v>349</v>
      </c>
      <c r="J4342">
        <v>314</v>
      </c>
      <c r="K4342" t="s">
        <v>1107</v>
      </c>
      <c r="L4342">
        <v>314</v>
      </c>
      <c r="M4342" t="s">
        <v>1098</v>
      </c>
      <c r="N4342" t="s">
        <v>1099</v>
      </c>
      <c r="O4342">
        <f>Table1[[#This Row],[Unit_Price]]*Table1[[#This Row],[Quantity]]</f>
        <v>95</v>
      </c>
    </row>
    <row r="4343" spans="1:15" x14ac:dyDescent="0.3">
      <c r="A4343" t="s">
        <v>6167</v>
      </c>
      <c r="B4343" t="s">
        <v>3280</v>
      </c>
      <c r="C4343" t="s">
        <v>539</v>
      </c>
      <c r="D4343" t="s">
        <v>1080</v>
      </c>
      <c r="E4343">
        <v>1</v>
      </c>
      <c r="F4343">
        <f>_xlfn.XLOOKUP(Table1[[#This Row],[ProductID]],Products!A:A,Products!D:D,,0)</f>
        <v>45</v>
      </c>
      <c r="I4343">
        <v>249</v>
      </c>
      <c r="J4343">
        <v>212</v>
      </c>
      <c r="K4343" t="s">
        <v>1092</v>
      </c>
      <c r="L4343">
        <v>212</v>
      </c>
      <c r="M4343" t="s">
        <v>1093</v>
      </c>
      <c r="N4343" t="s">
        <v>1099</v>
      </c>
      <c r="O4343">
        <f>Table1[[#This Row],[Unit_Price]]*Table1[[#This Row],[Quantity]]</f>
        <v>45</v>
      </c>
    </row>
    <row r="4344" spans="1:15" x14ac:dyDescent="0.3">
      <c r="A4344" t="s">
        <v>6168</v>
      </c>
      <c r="B4344" t="s">
        <v>1805</v>
      </c>
      <c r="C4344" t="s">
        <v>1001</v>
      </c>
      <c r="D4344" t="s">
        <v>1048</v>
      </c>
      <c r="E4344">
        <v>1</v>
      </c>
      <c r="F4344">
        <f>_xlfn.XLOOKUP(Table1[[#This Row],[ProductID]],Products!A:A,Products!D:D,,0)</f>
        <v>120</v>
      </c>
      <c r="I4344">
        <v>599</v>
      </c>
      <c r="J4344">
        <v>599</v>
      </c>
      <c r="K4344" t="s">
        <v>1102</v>
      </c>
      <c r="L4344">
        <v>599</v>
      </c>
      <c r="M4344" t="s">
        <v>1098</v>
      </c>
      <c r="N4344" t="s">
        <v>1099</v>
      </c>
      <c r="O4344">
        <f>Table1[[#This Row],[Unit_Price]]*Table1[[#This Row],[Quantity]]</f>
        <v>120</v>
      </c>
    </row>
    <row r="4345" spans="1:15" x14ac:dyDescent="0.3">
      <c r="A4345" t="s">
        <v>6169</v>
      </c>
      <c r="B4345" t="s">
        <v>1321</v>
      </c>
      <c r="C4345" t="s">
        <v>943</v>
      </c>
      <c r="D4345" t="s">
        <v>1053</v>
      </c>
      <c r="E4345">
        <v>1</v>
      </c>
      <c r="F4345">
        <f>_xlfn.XLOOKUP(Table1[[#This Row],[ProductID]],Products!A:A,Products!D:D,,0)</f>
        <v>200</v>
      </c>
      <c r="I4345">
        <v>899</v>
      </c>
      <c r="J4345">
        <v>764</v>
      </c>
      <c r="K4345" t="s">
        <v>1092</v>
      </c>
      <c r="L4345">
        <v>764</v>
      </c>
      <c r="M4345" t="s">
        <v>1098</v>
      </c>
      <c r="N4345" t="s">
        <v>1099</v>
      </c>
      <c r="O4345">
        <f>Table1[[#This Row],[Unit_Price]]*Table1[[#This Row],[Quantity]]</f>
        <v>200</v>
      </c>
    </row>
    <row r="4346" spans="1:15" x14ac:dyDescent="0.3">
      <c r="A4346" t="s">
        <v>6170</v>
      </c>
      <c r="B4346" t="s">
        <v>3250</v>
      </c>
      <c r="C4346" t="s">
        <v>20</v>
      </c>
      <c r="D4346" t="s">
        <v>1071</v>
      </c>
      <c r="E4346">
        <v>1</v>
      </c>
      <c r="F4346">
        <f>_xlfn.XLOOKUP(Table1[[#This Row],[ProductID]],Products!A:A,Products!D:D,,0)</f>
        <v>125</v>
      </c>
      <c r="I4346">
        <v>399</v>
      </c>
      <c r="J4346">
        <v>399</v>
      </c>
      <c r="K4346" t="s">
        <v>1102</v>
      </c>
      <c r="L4346">
        <v>399</v>
      </c>
      <c r="M4346" t="s">
        <v>1126</v>
      </c>
      <c r="N4346" t="s">
        <v>1099</v>
      </c>
      <c r="O4346">
        <f>Table1[[#This Row],[Unit_Price]]*Table1[[#This Row],[Quantity]]</f>
        <v>125</v>
      </c>
    </row>
    <row r="4347" spans="1:15" x14ac:dyDescent="0.3">
      <c r="A4347" t="s">
        <v>6171</v>
      </c>
      <c r="B4347" t="s">
        <v>1428</v>
      </c>
      <c r="C4347" t="s">
        <v>87</v>
      </c>
      <c r="D4347" t="s">
        <v>1066</v>
      </c>
      <c r="E4347">
        <v>1</v>
      </c>
      <c r="F4347">
        <f>_xlfn.XLOOKUP(Table1[[#This Row],[ProductID]],Products!A:A,Products!D:D,,0)</f>
        <v>140</v>
      </c>
      <c r="I4347">
        <v>499</v>
      </c>
      <c r="J4347">
        <v>399</v>
      </c>
      <c r="K4347" t="s">
        <v>1097</v>
      </c>
      <c r="L4347">
        <v>399</v>
      </c>
      <c r="M4347" t="s">
        <v>1098</v>
      </c>
      <c r="N4347" t="s">
        <v>1099</v>
      </c>
      <c r="O4347">
        <f>Table1[[#This Row],[Unit_Price]]*Table1[[#This Row],[Quantity]]</f>
        <v>140</v>
      </c>
    </row>
    <row r="4348" spans="1:15" x14ac:dyDescent="0.3">
      <c r="A4348" t="s">
        <v>6172</v>
      </c>
      <c r="B4348" t="s">
        <v>1865</v>
      </c>
      <c r="C4348" t="s">
        <v>731</v>
      </c>
      <c r="D4348" t="s">
        <v>1057</v>
      </c>
      <c r="E4348">
        <v>3</v>
      </c>
      <c r="F4348">
        <f>_xlfn.XLOOKUP(Table1[[#This Row],[ProductID]],Products!A:A,Products!D:D,,0)</f>
        <v>130</v>
      </c>
      <c r="I4348">
        <v>549</v>
      </c>
      <c r="J4348">
        <v>549</v>
      </c>
      <c r="K4348" t="s">
        <v>1102</v>
      </c>
      <c r="L4348">
        <v>1647</v>
      </c>
      <c r="M4348" t="s">
        <v>1098</v>
      </c>
      <c r="N4348" t="s">
        <v>1099</v>
      </c>
      <c r="O4348">
        <f>Table1[[#This Row],[Unit_Price]]*Table1[[#This Row],[Quantity]]</f>
        <v>390</v>
      </c>
    </row>
    <row r="4349" spans="1:15" x14ac:dyDescent="0.3">
      <c r="A4349" t="s">
        <v>6173</v>
      </c>
      <c r="B4349" t="s">
        <v>1712</v>
      </c>
      <c r="C4349" t="s">
        <v>138</v>
      </c>
      <c r="D4349" t="s">
        <v>1057</v>
      </c>
      <c r="E4349">
        <v>1</v>
      </c>
      <c r="F4349">
        <f>_xlfn.XLOOKUP(Table1[[#This Row],[ProductID]],Products!A:A,Products!D:D,,0)</f>
        <v>130</v>
      </c>
      <c r="I4349">
        <v>549</v>
      </c>
      <c r="J4349">
        <v>494</v>
      </c>
      <c r="K4349" t="s">
        <v>1107</v>
      </c>
      <c r="L4349">
        <v>494</v>
      </c>
      <c r="M4349" t="s">
        <v>1098</v>
      </c>
      <c r="N4349" t="s">
        <v>1099</v>
      </c>
      <c r="O4349">
        <f>Table1[[#This Row],[Unit_Price]]*Table1[[#This Row],[Quantity]]</f>
        <v>130</v>
      </c>
    </row>
    <row r="4350" spans="1:15" x14ac:dyDescent="0.3">
      <c r="A4350" t="s">
        <v>6174</v>
      </c>
      <c r="B4350" t="s">
        <v>1612</v>
      </c>
      <c r="C4350" t="s">
        <v>513</v>
      </c>
      <c r="D4350" t="s">
        <v>1073</v>
      </c>
      <c r="E4350">
        <v>1</v>
      </c>
      <c r="F4350">
        <f>_xlfn.XLOOKUP(Table1[[#This Row],[ProductID]],Products!A:A,Products!D:D,,0)</f>
        <v>100</v>
      </c>
      <c r="I4350">
        <v>349</v>
      </c>
      <c r="J4350">
        <v>314</v>
      </c>
      <c r="K4350" t="s">
        <v>1107</v>
      </c>
      <c r="L4350">
        <v>314</v>
      </c>
      <c r="M4350" t="s">
        <v>1098</v>
      </c>
      <c r="N4350" t="s">
        <v>1099</v>
      </c>
      <c r="O4350">
        <f>Table1[[#This Row],[Unit_Price]]*Table1[[#This Row],[Quantity]]</f>
        <v>100</v>
      </c>
    </row>
    <row r="4351" spans="1:15" x14ac:dyDescent="0.3">
      <c r="A4351" t="s">
        <v>6175</v>
      </c>
      <c r="B4351" t="s">
        <v>1490</v>
      </c>
      <c r="C4351" t="s">
        <v>427</v>
      </c>
      <c r="D4351" t="s">
        <v>1057</v>
      </c>
      <c r="E4351">
        <v>1</v>
      </c>
      <c r="F4351">
        <f>_xlfn.XLOOKUP(Table1[[#This Row],[ProductID]],Products!A:A,Products!D:D,,0)</f>
        <v>130</v>
      </c>
      <c r="I4351">
        <v>549</v>
      </c>
      <c r="J4351">
        <v>494</v>
      </c>
      <c r="K4351" t="s">
        <v>1107</v>
      </c>
      <c r="L4351">
        <v>494</v>
      </c>
      <c r="M4351" t="s">
        <v>1093</v>
      </c>
      <c r="N4351" t="s">
        <v>1099</v>
      </c>
      <c r="O4351">
        <f>Table1[[#This Row],[Unit_Price]]*Table1[[#This Row],[Quantity]]</f>
        <v>130</v>
      </c>
    </row>
    <row r="4352" spans="1:15" x14ac:dyDescent="0.3">
      <c r="A4352" t="s">
        <v>6176</v>
      </c>
      <c r="B4352" t="s">
        <v>2231</v>
      </c>
      <c r="C4352" t="s">
        <v>455</v>
      </c>
      <c r="D4352" t="s">
        <v>1066</v>
      </c>
      <c r="E4352">
        <v>4</v>
      </c>
      <c r="F4352">
        <f>_xlfn.XLOOKUP(Table1[[#This Row],[ProductID]],Products!A:A,Products!D:D,,0)</f>
        <v>140</v>
      </c>
      <c r="I4352">
        <v>499</v>
      </c>
      <c r="J4352">
        <v>399</v>
      </c>
      <c r="K4352" t="s">
        <v>1097</v>
      </c>
      <c r="L4352">
        <v>1596</v>
      </c>
      <c r="M4352" t="s">
        <v>1093</v>
      </c>
      <c r="N4352" t="s">
        <v>1094</v>
      </c>
      <c r="O4352">
        <f>Table1[[#This Row],[Unit_Price]]*Table1[[#This Row],[Quantity]]</f>
        <v>560</v>
      </c>
    </row>
    <row r="4353" spans="1:15" x14ac:dyDescent="0.3">
      <c r="A4353" t="s">
        <v>6177</v>
      </c>
      <c r="B4353" t="s">
        <v>2294</v>
      </c>
      <c r="C4353" t="s">
        <v>599</v>
      </c>
      <c r="D4353" t="s">
        <v>1062</v>
      </c>
      <c r="E4353">
        <v>1</v>
      </c>
      <c r="F4353">
        <f>_xlfn.XLOOKUP(Table1[[#This Row],[ProductID]],Products!A:A,Products!D:D,,0)</f>
        <v>95</v>
      </c>
      <c r="I4353">
        <v>349</v>
      </c>
      <c r="J4353">
        <v>349</v>
      </c>
      <c r="K4353" t="s">
        <v>1102</v>
      </c>
      <c r="L4353">
        <v>349</v>
      </c>
      <c r="M4353" t="s">
        <v>1098</v>
      </c>
      <c r="N4353" t="s">
        <v>1099</v>
      </c>
      <c r="O4353">
        <f>Table1[[#This Row],[Unit_Price]]*Table1[[#This Row],[Quantity]]</f>
        <v>95</v>
      </c>
    </row>
    <row r="4354" spans="1:15" x14ac:dyDescent="0.3">
      <c r="A4354" t="s">
        <v>6178</v>
      </c>
      <c r="B4354" t="s">
        <v>4090</v>
      </c>
      <c r="C4354" t="s">
        <v>719</v>
      </c>
      <c r="D4354" t="s">
        <v>1080</v>
      </c>
      <c r="E4354">
        <v>2</v>
      </c>
      <c r="F4354">
        <f>_xlfn.XLOOKUP(Table1[[#This Row],[ProductID]],Products!A:A,Products!D:D,,0)</f>
        <v>45</v>
      </c>
      <c r="I4354">
        <v>249</v>
      </c>
      <c r="J4354">
        <v>224</v>
      </c>
      <c r="K4354" t="s">
        <v>1107</v>
      </c>
      <c r="L4354">
        <v>448</v>
      </c>
      <c r="M4354" t="s">
        <v>1098</v>
      </c>
      <c r="N4354" t="s">
        <v>1094</v>
      </c>
      <c r="O4354">
        <f>Table1[[#This Row],[Unit_Price]]*Table1[[#This Row],[Quantity]]</f>
        <v>90</v>
      </c>
    </row>
    <row r="4355" spans="1:15" x14ac:dyDescent="0.3">
      <c r="A4355" t="s">
        <v>6179</v>
      </c>
      <c r="B4355" t="s">
        <v>2896</v>
      </c>
      <c r="C4355" t="s">
        <v>263</v>
      </c>
      <c r="D4355" t="s">
        <v>1071</v>
      </c>
      <c r="E4355">
        <v>1</v>
      </c>
      <c r="F4355">
        <f>_xlfn.XLOOKUP(Table1[[#This Row],[ProductID]],Products!A:A,Products!D:D,,0)</f>
        <v>125</v>
      </c>
      <c r="I4355">
        <v>399</v>
      </c>
      <c r="J4355">
        <v>359</v>
      </c>
      <c r="K4355" t="s">
        <v>1107</v>
      </c>
      <c r="L4355">
        <v>359</v>
      </c>
      <c r="M4355" t="s">
        <v>1126</v>
      </c>
      <c r="N4355" t="s">
        <v>1099</v>
      </c>
      <c r="O4355">
        <f>Table1[[#This Row],[Unit_Price]]*Table1[[#This Row],[Quantity]]</f>
        <v>125</v>
      </c>
    </row>
    <row r="4356" spans="1:15" x14ac:dyDescent="0.3">
      <c r="A4356" t="s">
        <v>6180</v>
      </c>
      <c r="B4356" t="s">
        <v>1855</v>
      </c>
      <c r="C4356" t="s">
        <v>791</v>
      </c>
      <c r="D4356" t="s">
        <v>1064</v>
      </c>
      <c r="E4356">
        <v>1</v>
      </c>
      <c r="F4356">
        <f>_xlfn.XLOOKUP(Table1[[#This Row],[ProductID]],Products!A:A,Products!D:D,,0)</f>
        <v>160</v>
      </c>
      <c r="I4356">
        <v>699</v>
      </c>
      <c r="J4356">
        <v>594</v>
      </c>
      <c r="K4356" t="s">
        <v>1092</v>
      </c>
      <c r="L4356">
        <v>594</v>
      </c>
      <c r="M4356" t="s">
        <v>1098</v>
      </c>
      <c r="N4356" t="s">
        <v>1099</v>
      </c>
      <c r="O4356">
        <f>Table1[[#This Row],[Unit_Price]]*Table1[[#This Row],[Quantity]]</f>
        <v>160</v>
      </c>
    </row>
    <row r="4357" spans="1:15" x14ac:dyDescent="0.3">
      <c r="A4357" t="s">
        <v>6181</v>
      </c>
      <c r="B4357" t="s">
        <v>1339</v>
      </c>
      <c r="C4357" t="s">
        <v>83</v>
      </c>
      <c r="D4357" t="s">
        <v>1055</v>
      </c>
      <c r="E4357">
        <v>1</v>
      </c>
      <c r="F4357">
        <f>_xlfn.XLOOKUP(Table1[[#This Row],[ProductID]],Products!A:A,Products!D:D,,0)</f>
        <v>75</v>
      </c>
      <c r="I4357">
        <v>299</v>
      </c>
      <c r="J4357">
        <v>269</v>
      </c>
      <c r="K4357" t="s">
        <v>1107</v>
      </c>
      <c r="L4357">
        <v>269</v>
      </c>
      <c r="M4357" t="s">
        <v>1093</v>
      </c>
      <c r="N4357" t="s">
        <v>1099</v>
      </c>
      <c r="O4357">
        <f>Table1[[#This Row],[Unit_Price]]*Table1[[#This Row],[Quantity]]</f>
        <v>75</v>
      </c>
    </row>
    <row r="4358" spans="1:15" x14ac:dyDescent="0.3">
      <c r="A4358" t="s">
        <v>6182</v>
      </c>
      <c r="B4358" t="s">
        <v>3944</v>
      </c>
      <c r="C4358" t="s">
        <v>673</v>
      </c>
      <c r="D4358" t="s">
        <v>1062</v>
      </c>
      <c r="E4358">
        <v>2</v>
      </c>
      <c r="F4358">
        <f>_xlfn.XLOOKUP(Table1[[#This Row],[ProductID]],Products!A:A,Products!D:D,,0)</f>
        <v>95</v>
      </c>
      <c r="I4358">
        <v>349</v>
      </c>
      <c r="J4358">
        <v>279</v>
      </c>
      <c r="K4358" t="s">
        <v>1097</v>
      </c>
      <c r="L4358">
        <v>558</v>
      </c>
      <c r="M4358" t="s">
        <v>1126</v>
      </c>
      <c r="N4358" t="s">
        <v>1099</v>
      </c>
      <c r="O4358">
        <f>Table1[[#This Row],[Unit_Price]]*Table1[[#This Row],[Quantity]]</f>
        <v>190</v>
      </c>
    </row>
    <row r="4359" spans="1:15" x14ac:dyDescent="0.3">
      <c r="A4359" t="s">
        <v>6183</v>
      </c>
      <c r="B4359" t="s">
        <v>1523</v>
      </c>
      <c r="C4359" t="s">
        <v>44</v>
      </c>
      <c r="D4359" t="s">
        <v>1075</v>
      </c>
      <c r="E4359">
        <v>1</v>
      </c>
      <c r="F4359">
        <f>_xlfn.XLOOKUP(Table1[[#This Row],[ProductID]],Products!A:A,Products!D:D,,0)</f>
        <v>80</v>
      </c>
      <c r="I4359">
        <v>499</v>
      </c>
      <c r="J4359">
        <v>499</v>
      </c>
      <c r="K4359" t="s">
        <v>1102</v>
      </c>
      <c r="L4359">
        <v>499</v>
      </c>
      <c r="M4359" t="s">
        <v>1098</v>
      </c>
      <c r="N4359" t="s">
        <v>1099</v>
      </c>
      <c r="O4359">
        <f>Table1[[#This Row],[Unit_Price]]*Table1[[#This Row],[Quantity]]</f>
        <v>80</v>
      </c>
    </row>
    <row r="4360" spans="1:15" x14ac:dyDescent="0.3">
      <c r="A4360" t="s">
        <v>6184</v>
      </c>
      <c r="B4360" t="s">
        <v>1248</v>
      </c>
      <c r="C4360" t="s">
        <v>247</v>
      </c>
      <c r="D4360" t="s">
        <v>1080</v>
      </c>
      <c r="E4360">
        <v>3</v>
      </c>
      <c r="F4360">
        <f>_xlfn.XLOOKUP(Table1[[#This Row],[ProductID]],Products!A:A,Products!D:D,,0)</f>
        <v>45</v>
      </c>
      <c r="I4360">
        <v>249</v>
      </c>
      <c r="J4360">
        <v>212</v>
      </c>
      <c r="K4360" t="s">
        <v>1092</v>
      </c>
      <c r="L4360">
        <v>636</v>
      </c>
      <c r="M4360" t="s">
        <v>1093</v>
      </c>
      <c r="N4360" t="s">
        <v>1094</v>
      </c>
      <c r="O4360">
        <f>Table1[[#This Row],[Unit_Price]]*Table1[[#This Row],[Quantity]]</f>
        <v>135</v>
      </c>
    </row>
    <row r="4361" spans="1:15" x14ac:dyDescent="0.3">
      <c r="A4361" t="s">
        <v>6185</v>
      </c>
      <c r="B4361" t="s">
        <v>2518</v>
      </c>
      <c r="C4361" t="s">
        <v>955</v>
      </c>
      <c r="D4361" t="s">
        <v>1064</v>
      </c>
      <c r="E4361">
        <v>1</v>
      </c>
      <c r="F4361">
        <f>_xlfn.XLOOKUP(Table1[[#This Row],[ProductID]],Products!A:A,Products!D:D,,0)</f>
        <v>160</v>
      </c>
      <c r="I4361">
        <v>699</v>
      </c>
      <c r="J4361">
        <v>594</v>
      </c>
      <c r="K4361" t="s">
        <v>1092</v>
      </c>
      <c r="L4361">
        <v>594</v>
      </c>
      <c r="M4361" t="s">
        <v>1098</v>
      </c>
      <c r="N4361" t="s">
        <v>1099</v>
      </c>
      <c r="O4361">
        <f>Table1[[#This Row],[Unit_Price]]*Table1[[#This Row],[Quantity]]</f>
        <v>160</v>
      </c>
    </row>
    <row r="4362" spans="1:15" x14ac:dyDescent="0.3">
      <c r="A4362" t="s">
        <v>6186</v>
      </c>
      <c r="B4362" t="s">
        <v>2001</v>
      </c>
      <c r="C4362" t="s">
        <v>413</v>
      </c>
      <c r="D4362" t="s">
        <v>1055</v>
      </c>
      <c r="E4362">
        <v>1</v>
      </c>
      <c r="F4362">
        <f>_xlfn.XLOOKUP(Table1[[#This Row],[ProductID]],Products!A:A,Products!D:D,,0)</f>
        <v>75</v>
      </c>
      <c r="I4362">
        <v>299</v>
      </c>
      <c r="J4362">
        <v>239</v>
      </c>
      <c r="K4362" t="s">
        <v>1097</v>
      </c>
      <c r="L4362">
        <v>239</v>
      </c>
      <c r="M4362" t="s">
        <v>1098</v>
      </c>
      <c r="N4362" t="s">
        <v>1099</v>
      </c>
      <c r="O4362">
        <f>Table1[[#This Row],[Unit_Price]]*Table1[[#This Row],[Quantity]]</f>
        <v>75</v>
      </c>
    </row>
    <row r="4363" spans="1:15" x14ac:dyDescent="0.3">
      <c r="A4363" t="s">
        <v>6187</v>
      </c>
      <c r="B4363" t="s">
        <v>1664</v>
      </c>
      <c r="C4363" t="s">
        <v>154</v>
      </c>
      <c r="D4363" t="s">
        <v>1071</v>
      </c>
      <c r="E4363">
        <v>2</v>
      </c>
      <c r="F4363">
        <f>_xlfn.XLOOKUP(Table1[[#This Row],[ProductID]],Products!A:A,Products!D:D,,0)</f>
        <v>125</v>
      </c>
      <c r="I4363">
        <v>399</v>
      </c>
      <c r="J4363">
        <v>359</v>
      </c>
      <c r="K4363" t="s">
        <v>1107</v>
      </c>
      <c r="L4363">
        <v>718</v>
      </c>
      <c r="M4363" t="s">
        <v>1093</v>
      </c>
      <c r="N4363" t="s">
        <v>1099</v>
      </c>
      <c r="O4363">
        <f>Table1[[#This Row],[Unit_Price]]*Table1[[#This Row],[Quantity]]</f>
        <v>250</v>
      </c>
    </row>
    <row r="4364" spans="1:15" x14ac:dyDescent="0.3">
      <c r="A4364" t="s">
        <v>6188</v>
      </c>
      <c r="B4364" t="s">
        <v>1690</v>
      </c>
      <c r="C4364" t="s">
        <v>877</v>
      </c>
      <c r="D4364" t="s">
        <v>1057</v>
      </c>
      <c r="E4364">
        <v>1</v>
      </c>
      <c r="F4364">
        <f>_xlfn.XLOOKUP(Table1[[#This Row],[ProductID]],Products!A:A,Products!D:D,,0)</f>
        <v>130</v>
      </c>
      <c r="I4364">
        <v>549</v>
      </c>
      <c r="J4364">
        <v>549</v>
      </c>
      <c r="K4364" t="s">
        <v>1102</v>
      </c>
      <c r="L4364">
        <v>549</v>
      </c>
      <c r="M4364" t="s">
        <v>1093</v>
      </c>
      <c r="N4364" t="s">
        <v>1099</v>
      </c>
      <c r="O4364">
        <f>Table1[[#This Row],[Unit_Price]]*Table1[[#This Row],[Quantity]]</f>
        <v>130</v>
      </c>
    </row>
    <row r="4365" spans="1:15" x14ac:dyDescent="0.3">
      <c r="A4365" t="s">
        <v>6189</v>
      </c>
      <c r="B4365" t="s">
        <v>2213</v>
      </c>
      <c r="C4365" t="s">
        <v>727</v>
      </c>
      <c r="D4365" t="s">
        <v>1080</v>
      </c>
      <c r="E4365">
        <v>1</v>
      </c>
      <c r="F4365">
        <f>_xlfn.XLOOKUP(Table1[[#This Row],[ProductID]],Products!A:A,Products!D:D,,0)</f>
        <v>45</v>
      </c>
      <c r="I4365">
        <v>249</v>
      </c>
      <c r="J4365">
        <v>224</v>
      </c>
      <c r="K4365" t="s">
        <v>1107</v>
      </c>
      <c r="L4365">
        <v>224</v>
      </c>
      <c r="M4365" t="s">
        <v>1093</v>
      </c>
      <c r="N4365" t="s">
        <v>1099</v>
      </c>
      <c r="O4365">
        <f>Table1[[#This Row],[Unit_Price]]*Table1[[#This Row],[Quantity]]</f>
        <v>45</v>
      </c>
    </row>
    <row r="4366" spans="1:15" x14ac:dyDescent="0.3">
      <c r="A4366" t="s">
        <v>6190</v>
      </c>
      <c r="B4366" t="s">
        <v>1958</v>
      </c>
      <c r="C4366" t="s">
        <v>699</v>
      </c>
      <c r="D4366" t="s">
        <v>1062</v>
      </c>
      <c r="E4366">
        <v>1</v>
      </c>
      <c r="F4366">
        <f>_xlfn.XLOOKUP(Table1[[#This Row],[ProductID]],Products!A:A,Products!D:D,,0)</f>
        <v>95</v>
      </c>
      <c r="I4366">
        <v>349</v>
      </c>
      <c r="J4366">
        <v>314</v>
      </c>
      <c r="K4366" t="s">
        <v>1107</v>
      </c>
      <c r="L4366">
        <v>314</v>
      </c>
      <c r="M4366" t="s">
        <v>1093</v>
      </c>
      <c r="N4366" t="s">
        <v>1123</v>
      </c>
      <c r="O4366">
        <f>Table1[[#This Row],[Unit_Price]]*Table1[[#This Row],[Quantity]]</f>
        <v>95</v>
      </c>
    </row>
    <row r="4367" spans="1:15" x14ac:dyDescent="0.3">
      <c r="A4367" t="s">
        <v>6191</v>
      </c>
      <c r="B4367" t="s">
        <v>2496</v>
      </c>
      <c r="C4367" t="s">
        <v>877</v>
      </c>
      <c r="D4367" t="s">
        <v>1068</v>
      </c>
      <c r="E4367">
        <v>3</v>
      </c>
      <c r="F4367">
        <f>_xlfn.XLOOKUP(Table1[[#This Row],[ProductID]],Products!A:A,Products!D:D,,0)</f>
        <v>180</v>
      </c>
      <c r="I4367">
        <v>449</v>
      </c>
      <c r="J4367">
        <v>382</v>
      </c>
      <c r="K4367" t="s">
        <v>1092</v>
      </c>
      <c r="L4367">
        <v>1146</v>
      </c>
      <c r="M4367" t="s">
        <v>1093</v>
      </c>
      <c r="N4367" t="s">
        <v>1099</v>
      </c>
      <c r="O4367">
        <f>Table1[[#This Row],[Unit_Price]]*Table1[[#This Row],[Quantity]]</f>
        <v>540</v>
      </c>
    </row>
    <row r="4368" spans="1:15" x14ac:dyDescent="0.3">
      <c r="A4368" t="s">
        <v>6192</v>
      </c>
      <c r="B4368" t="s">
        <v>2654</v>
      </c>
      <c r="C4368" t="s">
        <v>419</v>
      </c>
      <c r="D4368" t="s">
        <v>1059</v>
      </c>
      <c r="E4368">
        <v>1</v>
      </c>
      <c r="F4368">
        <f>_xlfn.XLOOKUP(Table1[[#This Row],[ProductID]],Products!A:A,Products!D:D,,0)</f>
        <v>110</v>
      </c>
      <c r="I4368">
        <v>399</v>
      </c>
      <c r="J4368">
        <v>399</v>
      </c>
      <c r="K4368" t="s">
        <v>1102</v>
      </c>
      <c r="L4368">
        <v>399</v>
      </c>
      <c r="M4368" t="s">
        <v>1098</v>
      </c>
      <c r="N4368" t="s">
        <v>1099</v>
      </c>
      <c r="O4368">
        <f>Table1[[#This Row],[Unit_Price]]*Table1[[#This Row],[Quantity]]</f>
        <v>110</v>
      </c>
    </row>
    <row r="4369" spans="1:15" x14ac:dyDescent="0.3">
      <c r="A4369" t="s">
        <v>6193</v>
      </c>
      <c r="B4369" t="s">
        <v>1136</v>
      </c>
      <c r="C4369" t="s">
        <v>863</v>
      </c>
      <c r="D4369" t="s">
        <v>1075</v>
      </c>
      <c r="E4369">
        <v>2</v>
      </c>
      <c r="F4369">
        <f>_xlfn.XLOOKUP(Table1[[#This Row],[ProductID]],Products!A:A,Products!D:D,,0)</f>
        <v>80</v>
      </c>
      <c r="I4369">
        <v>499</v>
      </c>
      <c r="J4369">
        <v>499</v>
      </c>
      <c r="K4369" t="s">
        <v>1102</v>
      </c>
      <c r="L4369">
        <v>998</v>
      </c>
      <c r="M4369" t="s">
        <v>1093</v>
      </c>
      <c r="N4369" t="s">
        <v>1099</v>
      </c>
      <c r="O4369">
        <f>Table1[[#This Row],[Unit_Price]]*Table1[[#This Row],[Quantity]]</f>
        <v>160</v>
      </c>
    </row>
    <row r="4370" spans="1:15" x14ac:dyDescent="0.3">
      <c r="A4370" t="s">
        <v>6194</v>
      </c>
      <c r="B4370" t="s">
        <v>3567</v>
      </c>
      <c r="C4370" t="s">
        <v>47</v>
      </c>
      <c r="D4370" t="s">
        <v>1057</v>
      </c>
      <c r="E4370">
        <v>1</v>
      </c>
      <c r="F4370">
        <f>_xlfn.XLOOKUP(Table1[[#This Row],[ProductID]],Products!A:A,Products!D:D,,0)</f>
        <v>130</v>
      </c>
      <c r="I4370">
        <v>549</v>
      </c>
      <c r="J4370">
        <v>549</v>
      </c>
      <c r="K4370" t="s">
        <v>1102</v>
      </c>
      <c r="L4370">
        <v>549</v>
      </c>
      <c r="M4370" t="s">
        <v>1093</v>
      </c>
      <c r="N4370" t="s">
        <v>1099</v>
      </c>
      <c r="O4370">
        <f>Table1[[#This Row],[Unit_Price]]*Table1[[#This Row],[Quantity]]</f>
        <v>130</v>
      </c>
    </row>
    <row r="4371" spans="1:15" x14ac:dyDescent="0.3">
      <c r="A4371" t="s">
        <v>6195</v>
      </c>
      <c r="B4371" t="s">
        <v>1537</v>
      </c>
      <c r="C4371" t="s">
        <v>863</v>
      </c>
      <c r="D4371" t="s">
        <v>1053</v>
      </c>
      <c r="E4371">
        <v>2</v>
      </c>
      <c r="F4371">
        <f>_xlfn.XLOOKUP(Table1[[#This Row],[ProductID]],Products!A:A,Products!D:D,,0)</f>
        <v>200</v>
      </c>
      <c r="I4371">
        <v>899</v>
      </c>
      <c r="J4371">
        <v>809</v>
      </c>
      <c r="K4371" t="s">
        <v>1107</v>
      </c>
      <c r="L4371">
        <v>1618</v>
      </c>
      <c r="M4371" t="s">
        <v>1093</v>
      </c>
      <c r="N4371" t="s">
        <v>1099</v>
      </c>
      <c r="O4371">
        <f>Table1[[#This Row],[Unit_Price]]*Table1[[#This Row],[Quantity]]</f>
        <v>400</v>
      </c>
    </row>
    <row r="4372" spans="1:15" x14ac:dyDescent="0.3">
      <c r="A4372" t="s">
        <v>6196</v>
      </c>
      <c r="B4372" t="s">
        <v>2075</v>
      </c>
      <c r="C4372" t="s">
        <v>118</v>
      </c>
      <c r="D4372" t="s">
        <v>1071</v>
      </c>
      <c r="E4372">
        <v>3</v>
      </c>
      <c r="F4372">
        <f>_xlfn.XLOOKUP(Table1[[#This Row],[ProductID]],Products!A:A,Products!D:D,,0)</f>
        <v>125</v>
      </c>
      <c r="I4372">
        <v>399</v>
      </c>
      <c r="J4372">
        <v>319</v>
      </c>
      <c r="K4372" t="s">
        <v>1097</v>
      </c>
      <c r="L4372">
        <v>957</v>
      </c>
      <c r="M4372" t="s">
        <v>1126</v>
      </c>
      <c r="N4372" t="s">
        <v>1099</v>
      </c>
      <c r="O4372">
        <f>Table1[[#This Row],[Unit_Price]]*Table1[[#This Row],[Quantity]]</f>
        <v>375</v>
      </c>
    </row>
    <row r="4373" spans="1:15" x14ac:dyDescent="0.3">
      <c r="A4373" t="s">
        <v>6197</v>
      </c>
      <c r="B4373" t="s">
        <v>2254</v>
      </c>
      <c r="C4373" t="s">
        <v>991</v>
      </c>
      <c r="D4373" t="s">
        <v>1075</v>
      </c>
      <c r="E4373">
        <v>1</v>
      </c>
      <c r="F4373">
        <f>_xlfn.XLOOKUP(Table1[[#This Row],[ProductID]],Products!A:A,Products!D:D,,0)</f>
        <v>80</v>
      </c>
      <c r="I4373">
        <v>499</v>
      </c>
      <c r="J4373">
        <v>449</v>
      </c>
      <c r="K4373" t="s">
        <v>1107</v>
      </c>
      <c r="L4373">
        <v>449</v>
      </c>
      <c r="M4373" t="s">
        <v>1093</v>
      </c>
      <c r="N4373" t="s">
        <v>1099</v>
      </c>
      <c r="O4373">
        <f>Table1[[#This Row],[Unit_Price]]*Table1[[#This Row],[Quantity]]</f>
        <v>80</v>
      </c>
    </row>
    <row r="4374" spans="1:15" x14ac:dyDescent="0.3">
      <c r="A4374" t="s">
        <v>6198</v>
      </c>
      <c r="B4374" t="s">
        <v>3944</v>
      </c>
      <c r="C4374" t="s">
        <v>597</v>
      </c>
      <c r="D4374" t="s">
        <v>1071</v>
      </c>
      <c r="E4374">
        <v>4</v>
      </c>
      <c r="F4374">
        <f>_xlfn.XLOOKUP(Table1[[#This Row],[ProductID]],Products!A:A,Products!D:D,,0)</f>
        <v>125</v>
      </c>
      <c r="I4374">
        <v>399</v>
      </c>
      <c r="J4374">
        <v>359</v>
      </c>
      <c r="K4374" t="s">
        <v>1107</v>
      </c>
      <c r="L4374">
        <v>1436</v>
      </c>
      <c r="M4374" t="s">
        <v>1098</v>
      </c>
      <c r="N4374" t="s">
        <v>1099</v>
      </c>
      <c r="O4374">
        <f>Table1[[#This Row],[Unit_Price]]*Table1[[#This Row],[Quantity]]</f>
        <v>500</v>
      </c>
    </row>
    <row r="4375" spans="1:15" x14ac:dyDescent="0.3">
      <c r="A4375" t="s">
        <v>6199</v>
      </c>
      <c r="B4375" t="s">
        <v>3280</v>
      </c>
      <c r="C4375" t="s">
        <v>763</v>
      </c>
      <c r="D4375" t="s">
        <v>1048</v>
      </c>
      <c r="E4375">
        <v>1</v>
      </c>
      <c r="F4375">
        <f>_xlfn.XLOOKUP(Table1[[#This Row],[ProductID]],Products!A:A,Products!D:D,,0)</f>
        <v>120</v>
      </c>
      <c r="I4375">
        <v>599</v>
      </c>
      <c r="J4375">
        <v>479</v>
      </c>
      <c r="K4375" t="s">
        <v>1097</v>
      </c>
      <c r="L4375">
        <v>479</v>
      </c>
      <c r="M4375" t="s">
        <v>1093</v>
      </c>
      <c r="N4375" t="s">
        <v>1099</v>
      </c>
      <c r="O4375">
        <f>Table1[[#This Row],[Unit_Price]]*Table1[[#This Row],[Quantity]]</f>
        <v>120</v>
      </c>
    </row>
    <row r="4376" spans="1:15" x14ac:dyDescent="0.3">
      <c r="A4376" t="s">
        <v>6200</v>
      </c>
      <c r="B4376" t="s">
        <v>1459</v>
      </c>
      <c r="C4376" t="s">
        <v>695</v>
      </c>
      <c r="D4376" t="s">
        <v>1062</v>
      </c>
      <c r="E4376">
        <v>3</v>
      </c>
      <c r="F4376">
        <f>_xlfn.XLOOKUP(Table1[[#This Row],[ProductID]],Products!A:A,Products!D:D,,0)</f>
        <v>95</v>
      </c>
      <c r="I4376">
        <v>349</v>
      </c>
      <c r="J4376">
        <v>349</v>
      </c>
      <c r="K4376" t="s">
        <v>1102</v>
      </c>
      <c r="L4376">
        <v>1047</v>
      </c>
      <c r="M4376" t="s">
        <v>1093</v>
      </c>
      <c r="N4376" t="s">
        <v>1094</v>
      </c>
      <c r="O4376">
        <f>Table1[[#This Row],[Unit_Price]]*Table1[[#This Row],[Quantity]]</f>
        <v>285</v>
      </c>
    </row>
    <row r="4377" spans="1:15" x14ac:dyDescent="0.3">
      <c r="A4377" t="s">
        <v>6201</v>
      </c>
      <c r="B4377" t="s">
        <v>3026</v>
      </c>
      <c r="C4377" t="s">
        <v>219</v>
      </c>
      <c r="D4377" t="s">
        <v>1071</v>
      </c>
      <c r="E4377">
        <v>1</v>
      </c>
      <c r="F4377">
        <f>_xlfn.XLOOKUP(Table1[[#This Row],[ProductID]],Products!A:A,Products!D:D,,0)</f>
        <v>125</v>
      </c>
      <c r="I4377">
        <v>399</v>
      </c>
      <c r="J4377">
        <v>359</v>
      </c>
      <c r="K4377" t="s">
        <v>1107</v>
      </c>
      <c r="L4377">
        <v>359</v>
      </c>
      <c r="M4377" t="s">
        <v>1098</v>
      </c>
      <c r="N4377" t="s">
        <v>1099</v>
      </c>
      <c r="O4377">
        <f>Table1[[#This Row],[Unit_Price]]*Table1[[#This Row],[Quantity]]</f>
        <v>125</v>
      </c>
    </row>
    <row r="4378" spans="1:15" x14ac:dyDescent="0.3">
      <c r="A4378" t="s">
        <v>6202</v>
      </c>
      <c r="B4378" t="s">
        <v>3213</v>
      </c>
      <c r="C4378" t="s">
        <v>481</v>
      </c>
      <c r="D4378" t="s">
        <v>1068</v>
      </c>
      <c r="E4378">
        <v>2</v>
      </c>
      <c r="F4378">
        <f>_xlfn.XLOOKUP(Table1[[#This Row],[ProductID]],Products!A:A,Products!D:D,,0)</f>
        <v>180</v>
      </c>
      <c r="I4378">
        <v>449</v>
      </c>
      <c r="J4378">
        <v>449</v>
      </c>
      <c r="K4378" t="s">
        <v>1102</v>
      </c>
      <c r="L4378">
        <v>898</v>
      </c>
      <c r="M4378" t="s">
        <v>1098</v>
      </c>
      <c r="N4378" t="s">
        <v>1099</v>
      </c>
      <c r="O4378">
        <f>Table1[[#This Row],[Unit_Price]]*Table1[[#This Row],[Quantity]]</f>
        <v>360</v>
      </c>
    </row>
    <row r="4379" spans="1:15" x14ac:dyDescent="0.3">
      <c r="A4379" t="s">
        <v>6203</v>
      </c>
      <c r="B4379" t="s">
        <v>1898</v>
      </c>
      <c r="C4379" t="s">
        <v>239</v>
      </c>
      <c r="D4379" t="s">
        <v>1059</v>
      </c>
      <c r="E4379">
        <v>1</v>
      </c>
      <c r="F4379">
        <f>_xlfn.XLOOKUP(Table1[[#This Row],[ProductID]],Products!A:A,Products!D:D,,0)</f>
        <v>110</v>
      </c>
      <c r="I4379">
        <v>399</v>
      </c>
      <c r="J4379">
        <v>319</v>
      </c>
      <c r="K4379" t="s">
        <v>1097</v>
      </c>
      <c r="L4379">
        <v>319</v>
      </c>
      <c r="M4379" t="s">
        <v>1093</v>
      </c>
      <c r="N4379" t="s">
        <v>1123</v>
      </c>
      <c r="O4379">
        <f>Table1[[#This Row],[Unit_Price]]*Table1[[#This Row],[Quantity]]</f>
        <v>110</v>
      </c>
    </row>
    <row r="4380" spans="1:15" x14ac:dyDescent="0.3">
      <c r="A4380" t="s">
        <v>6204</v>
      </c>
      <c r="B4380" t="s">
        <v>1484</v>
      </c>
      <c r="C4380" t="s">
        <v>585</v>
      </c>
      <c r="D4380" t="s">
        <v>1059</v>
      </c>
      <c r="E4380">
        <v>1</v>
      </c>
      <c r="F4380">
        <f>_xlfn.XLOOKUP(Table1[[#This Row],[ProductID]],Products!A:A,Products!D:D,,0)</f>
        <v>110</v>
      </c>
      <c r="I4380">
        <v>399</v>
      </c>
      <c r="J4380">
        <v>359</v>
      </c>
      <c r="K4380" t="s">
        <v>1107</v>
      </c>
      <c r="L4380">
        <v>359</v>
      </c>
      <c r="M4380" t="s">
        <v>1093</v>
      </c>
      <c r="N4380" t="s">
        <v>1099</v>
      </c>
      <c r="O4380">
        <f>Table1[[#This Row],[Unit_Price]]*Table1[[#This Row],[Quantity]]</f>
        <v>110</v>
      </c>
    </row>
    <row r="4381" spans="1:15" x14ac:dyDescent="0.3">
      <c r="A4381" t="s">
        <v>6205</v>
      </c>
      <c r="B4381" t="s">
        <v>1563</v>
      </c>
      <c r="C4381" t="s">
        <v>877</v>
      </c>
      <c r="D4381" t="s">
        <v>1053</v>
      </c>
      <c r="E4381">
        <v>4</v>
      </c>
      <c r="F4381">
        <f>_xlfn.XLOOKUP(Table1[[#This Row],[ProductID]],Products!A:A,Products!D:D,,0)</f>
        <v>200</v>
      </c>
      <c r="I4381">
        <v>899</v>
      </c>
      <c r="J4381">
        <v>809</v>
      </c>
      <c r="K4381" t="s">
        <v>1107</v>
      </c>
      <c r="L4381">
        <v>3236</v>
      </c>
      <c r="M4381" t="s">
        <v>1098</v>
      </c>
      <c r="N4381" t="s">
        <v>1099</v>
      </c>
      <c r="O4381">
        <f>Table1[[#This Row],[Unit_Price]]*Table1[[#This Row],[Quantity]]</f>
        <v>800</v>
      </c>
    </row>
    <row r="4382" spans="1:15" x14ac:dyDescent="0.3">
      <c r="A4382" t="s">
        <v>6206</v>
      </c>
      <c r="B4382" t="s">
        <v>2832</v>
      </c>
      <c r="C4382" t="s">
        <v>799</v>
      </c>
      <c r="D4382" t="s">
        <v>1059</v>
      </c>
      <c r="E4382">
        <v>1</v>
      </c>
      <c r="F4382">
        <f>_xlfn.XLOOKUP(Table1[[#This Row],[ProductID]],Products!A:A,Products!D:D,,0)</f>
        <v>110</v>
      </c>
      <c r="I4382">
        <v>399</v>
      </c>
      <c r="J4382">
        <v>399</v>
      </c>
      <c r="K4382" t="s">
        <v>1102</v>
      </c>
      <c r="L4382">
        <v>399</v>
      </c>
      <c r="M4382" t="s">
        <v>1118</v>
      </c>
      <c r="N4382" t="s">
        <v>1099</v>
      </c>
      <c r="O4382">
        <f>Table1[[#This Row],[Unit_Price]]*Table1[[#This Row],[Quantity]]</f>
        <v>110</v>
      </c>
    </row>
    <row r="4383" spans="1:15" x14ac:dyDescent="0.3">
      <c r="A4383" t="s">
        <v>6207</v>
      </c>
      <c r="B4383" t="s">
        <v>1226</v>
      </c>
      <c r="C4383" t="s">
        <v>69</v>
      </c>
      <c r="D4383" t="s">
        <v>1051</v>
      </c>
      <c r="E4383">
        <v>2</v>
      </c>
      <c r="F4383">
        <f>_xlfn.XLOOKUP(Table1[[#This Row],[ProductID]],Products!A:A,Products!D:D,,0)</f>
        <v>150</v>
      </c>
      <c r="I4383">
        <v>499</v>
      </c>
      <c r="J4383">
        <v>424</v>
      </c>
      <c r="K4383" t="s">
        <v>1092</v>
      </c>
      <c r="L4383">
        <v>848</v>
      </c>
      <c r="M4383" t="s">
        <v>1098</v>
      </c>
      <c r="N4383" t="s">
        <v>1099</v>
      </c>
      <c r="O4383">
        <f>Table1[[#This Row],[Unit_Price]]*Table1[[#This Row],[Quantity]]</f>
        <v>300</v>
      </c>
    </row>
    <row r="4384" spans="1:15" x14ac:dyDescent="0.3">
      <c r="A4384" t="s">
        <v>6208</v>
      </c>
      <c r="B4384" t="s">
        <v>3989</v>
      </c>
      <c r="C4384" t="s">
        <v>977</v>
      </c>
      <c r="D4384" t="s">
        <v>1071</v>
      </c>
      <c r="E4384">
        <v>2</v>
      </c>
      <c r="F4384">
        <f>_xlfn.XLOOKUP(Table1[[#This Row],[ProductID]],Products!A:A,Products!D:D,,0)</f>
        <v>125</v>
      </c>
      <c r="I4384">
        <v>399</v>
      </c>
      <c r="J4384">
        <v>399</v>
      </c>
      <c r="K4384" t="s">
        <v>1102</v>
      </c>
      <c r="L4384">
        <v>798</v>
      </c>
      <c r="M4384" t="s">
        <v>1098</v>
      </c>
      <c r="N4384" t="s">
        <v>1099</v>
      </c>
      <c r="O4384">
        <f>Table1[[#This Row],[Unit_Price]]*Table1[[#This Row],[Quantity]]</f>
        <v>250</v>
      </c>
    </row>
    <row r="4385" spans="1:15" x14ac:dyDescent="0.3">
      <c r="A4385" t="s">
        <v>6209</v>
      </c>
      <c r="B4385" t="s">
        <v>2898</v>
      </c>
      <c r="C4385" t="s">
        <v>831</v>
      </c>
      <c r="D4385" t="s">
        <v>1051</v>
      </c>
      <c r="E4385">
        <v>2</v>
      </c>
      <c r="F4385">
        <f>_xlfn.XLOOKUP(Table1[[#This Row],[ProductID]],Products!A:A,Products!D:D,,0)</f>
        <v>150</v>
      </c>
      <c r="I4385">
        <v>499</v>
      </c>
      <c r="J4385">
        <v>499</v>
      </c>
      <c r="K4385" t="s">
        <v>1102</v>
      </c>
      <c r="L4385">
        <v>998</v>
      </c>
      <c r="M4385" t="s">
        <v>1098</v>
      </c>
      <c r="N4385" t="s">
        <v>1123</v>
      </c>
      <c r="O4385">
        <f>Table1[[#This Row],[Unit_Price]]*Table1[[#This Row],[Quantity]]</f>
        <v>300</v>
      </c>
    </row>
    <row r="4386" spans="1:15" x14ac:dyDescent="0.3">
      <c r="A4386" t="s">
        <v>6210</v>
      </c>
      <c r="B4386" t="s">
        <v>3591</v>
      </c>
      <c r="C4386" t="s">
        <v>679</v>
      </c>
      <c r="D4386" t="s">
        <v>1057</v>
      </c>
      <c r="E4386">
        <v>4</v>
      </c>
      <c r="F4386">
        <f>_xlfn.XLOOKUP(Table1[[#This Row],[ProductID]],Products!A:A,Products!D:D,,0)</f>
        <v>130</v>
      </c>
      <c r="I4386">
        <v>549</v>
      </c>
      <c r="J4386">
        <v>494</v>
      </c>
      <c r="K4386" t="s">
        <v>1107</v>
      </c>
      <c r="L4386">
        <v>1976</v>
      </c>
      <c r="M4386" t="s">
        <v>1093</v>
      </c>
      <c r="N4386" t="s">
        <v>1094</v>
      </c>
      <c r="O4386">
        <f>Table1[[#This Row],[Unit_Price]]*Table1[[#This Row],[Quantity]]</f>
        <v>520</v>
      </c>
    </row>
    <row r="4387" spans="1:15" x14ac:dyDescent="0.3">
      <c r="A4387" t="s">
        <v>6211</v>
      </c>
      <c r="B4387" t="s">
        <v>1408</v>
      </c>
      <c r="C4387" t="s">
        <v>289</v>
      </c>
      <c r="D4387" t="s">
        <v>1066</v>
      </c>
      <c r="E4387">
        <v>2</v>
      </c>
      <c r="F4387">
        <f>_xlfn.XLOOKUP(Table1[[#This Row],[ProductID]],Products!A:A,Products!D:D,,0)</f>
        <v>140</v>
      </c>
      <c r="I4387">
        <v>499</v>
      </c>
      <c r="J4387">
        <v>399</v>
      </c>
      <c r="K4387" t="s">
        <v>1097</v>
      </c>
      <c r="L4387">
        <v>798</v>
      </c>
      <c r="M4387" t="s">
        <v>1093</v>
      </c>
      <c r="N4387" t="s">
        <v>1099</v>
      </c>
      <c r="O4387">
        <f>Table1[[#This Row],[Unit_Price]]*Table1[[#This Row],[Quantity]]</f>
        <v>280</v>
      </c>
    </row>
    <row r="4388" spans="1:15" x14ac:dyDescent="0.3">
      <c r="A4388" t="s">
        <v>6212</v>
      </c>
      <c r="B4388" t="s">
        <v>1565</v>
      </c>
      <c r="C4388" t="s">
        <v>837</v>
      </c>
      <c r="D4388" t="s">
        <v>1053</v>
      </c>
      <c r="E4388">
        <v>2</v>
      </c>
      <c r="F4388">
        <f>_xlfn.XLOOKUP(Table1[[#This Row],[ProductID]],Products!A:A,Products!D:D,,0)</f>
        <v>200</v>
      </c>
      <c r="I4388">
        <v>899</v>
      </c>
      <c r="J4388">
        <v>719</v>
      </c>
      <c r="K4388" t="s">
        <v>1097</v>
      </c>
      <c r="L4388">
        <v>1438</v>
      </c>
      <c r="M4388" t="s">
        <v>1093</v>
      </c>
      <c r="N4388" t="s">
        <v>1099</v>
      </c>
      <c r="O4388">
        <f>Table1[[#This Row],[Unit_Price]]*Table1[[#This Row],[Quantity]]</f>
        <v>400</v>
      </c>
    </row>
    <row r="4389" spans="1:15" x14ac:dyDescent="0.3">
      <c r="A4389" t="s">
        <v>6213</v>
      </c>
      <c r="B4389" t="s">
        <v>3179</v>
      </c>
      <c r="C4389" t="s">
        <v>779</v>
      </c>
      <c r="D4389" t="s">
        <v>1059</v>
      </c>
      <c r="E4389">
        <v>1</v>
      </c>
      <c r="F4389">
        <f>_xlfn.XLOOKUP(Table1[[#This Row],[ProductID]],Products!A:A,Products!D:D,,0)</f>
        <v>110</v>
      </c>
      <c r="I4389">
        <v>399</v>
      </c>
      <c r="J4389">
        <v>319</v>
      </c>
      <c r="K4389" t="s">
        <v>1097</v>
      </c>
      <c r="L4389">
        <v>319</v>
      </c>
      <c r="M4389" t="s">
        <v>1093</v>
      </c>
      <c r="N4389" t="s">
        <v>1099</v>
      </c>
      <c r="O4389">
        <f>Table1[[#This Row],[Unit_Price]]*Table1[[#This Row],[Quantity]]</f>
        <v>110</v>
      </c>
    </row>
    <row r="4390" spans="1:15" x14ac:dyDescent="0.3">
      <c r="A4390" t="s">
        <v>6214</v>
      </c>
      <c r="B4390" t="s">
        <v>3043</v>
      </c>
      <c r="C4390" t="s">
        <v>533</v>
      </c>
      <c r="D4390" t="s">
        <v>1059</v>
      </c>
      <c r="E4390">
        <v>3</v>
      </c>
      <c r="F4390">
        <f>_xlfn.XLOOKUP(Table1[[#This Row],[ProductID]],Products!A:A,Products!D:D,,0)</f>
        <v>110</v>
      </c>
      <c r="I4390">
        <v>399</v>
      </c>
      <c r="J4390">
        <v>359</v>
      </c>
      <c r="K4390" t="s">
        <v>1107</v>
      </c>
      <c r="L4390">
        <v>1077</v>
      </c>
      <c r="M4390" t="s">
        <v>1098</v>
      </c>
      <c r="N4390" t="s">
        <v>1099</v>
      </c>
      <c r="O4390">
        <f>Table1[[#This Row],[Unit_Price]]*Table1[[#This Row],[Quantity]]</f>
        <v>330</v>
      </c>
    </row>
    <row r="4391" spans="1:15" x14ac:dyDescent="0.3">
      <c r="A4391" t="s">
        <v>6215</v>
      </c>
      <c r="B4391" t="s">
        <v>1500</v>
      </c>
      <c r="C4391" t="s">
        <v>205</v>
      </c>
      <c r="D4391" t="s">
        <v>1068</v>
      </c>
      <c r="E4391">
        <v>4</v>
      </c>
      <c r="F4391">
        <f>_xlfn.XLOOKUP(Table1[[#This Row],[ProductID]],Products!A:A,Products!D:D,,0)</f>
        <v>180</v>
      </c>
      <c r="I4391">
        <v>449</v>
      </c>
      <c r="J4391">
        <v>449</v>
      </c>
      <c r="K4391" t="s">
        <v>1102</v>
      </c>
      <c r="L4391">
        <v>1796</v>
      </c>
      <c r="M4391" t="s">
        <v>1098</v>
      </c>
      <c r="N4391" t="s">
        <v>1099</v>
      </c>
      <c r="O4391">
        <f>Table1[[#This Row],[Unit_Price]]*Table1[[#This Row],[Quantity]]</f>
        <v>720</v>
      </c>
    </row>
    <row r="4392" spans="1:15" x14ac:dyDescent="0.3">
      <c r="A4392" t="s">
        <v>6216</v>
      </c>
      <c r="B4392" t="s">
        <v>2169</v>
      </c>
      <c r="C4392" t="s">
        <v>1037</v>
      </c>
      <c r="D4392" t="s">
        <v>1057</v>
      </c>
      <c r="E4392">
        <v>3</v>
      </c>
      <c r="F4392">
        <f>_xlfn.XLOOKUP(Table1[[#This Row],[ProductID]],Products!A:A,Products!D:D,,0)</f>
        <v>130</v>
      </c>
      <c r="I4392">
        <v>549</v>
      </c>
      <c r="J4392">
        <v>439</v>
      </c>
      <c r="K4392" t="s">
        <v>1097</v>
      </c>
      <c r="L4392">
        <v>1317</v>
      </c>
      <c r="M4392" t="s">
        <v>1093</v>
      </c>
      <c r="N4392" t="s">
        <v>1099</v>
      </c>
      <c r="O4392">
        <f>Table1[[#This Row],[Unit_Price]]*Table1[[#This Row],[Quantity]]</f>
        <v>390</v>
      </c>
    </row>
    <row r="4393" spans="1:15" x14ac:dyDescent="0.3">
      <c r="A4393" t="s">
        <v>6217</v>
      </c>
      <c r="B4393" t="s">
        <v>1310</v>
      </c>
      <c r="C4393" t="s">
        <v>319</v>
      </c>
      <c r="D4393" t="s">
        <v>1062</v>
      </c>
      <c r="E4393">
        <v>1</v>
      </c>
      <c r="F4393">
        <f>_xlfn.XLOOKUP(Table1[[#This Row],[ProductID]],Products!A:A,Products!D:D,,0)</f>
        <v>95</v>
      </c>
      <c r="I4393">
        <v>349</v>
      </c>
      <c r="J4393">
        <v>297</v>
      </c>
      <c r="K4393" t="s">
        <v>1092</v>
      </c>
      <c r="L4393">
        <v>297</v>
      </c>
      <c r="M4393" t="s">
        <v>1098</v>
      </c>
      <c r="N4393" t="s">
        <v>1099</v>
      </c>
      <c r="O4393">
        <f>Table1[[#This Row],[Unit_Price]]*Table1[[#This Row],[Quantity]]</f>
        <v>95</v>
      </c>
    </row>
    <row r="4394" spans="1:15" x14ac:dyDescent="0.3">
      <c r="A4394" t="s">
        <v>6218</v>
      </c>
      <c r="B4394" t="s">
        <v>4376</v>
      </c>
      <c r="C4394" t="s">
        <v>152</v>
      </c>
      <c r="D4394" t="s">
        <v>1048</v>
      </c>
      <c r="E4394">
        <v>1</v>
      </c>
      <c r="F4394">
        <f>_xlfn.XLOOKUP(Table1[[#This Row],[ProductID]],Products!A:A,Products!D:D,,0)</f>
        <v>120</v>
      </c>
      <c r="I4394">
        <v>599</v>
      </c>
      <c r="J4394">
        <v>599</v>
      </c>
      <c r="K4394" t="s">
        <v>1102</v>
      </c>
      <c r="L4394">
        <v>599</v>
      </c>
      <c r="M4394" t="s">
        <v>1098</v>
      </c>
      <c r="N4394" t="s">
        <v>1099</v>
      </c>
      <c r="O4394">
        <f>Table1[[#This Row],[Unit_Price]]*Table1[[#This Row],[Quantity]]</f>
        <v>120</v>
      </c>
    </row>
    <row r="4395" spans="1:15" x14ac:dyDescent="0.3">
      <c r="A4395" t="s">
        <v>6219</v>
      </c>
      <c r="B4395" t="s">
        <v>2395</v>
      </c>
      <c r="C4395" t="s">
        <v>281</v>
      </c>
      <c r="D4395" t="s">
        <v>1057</v>
      </c>
      <c r="E4395">
        <v>3</v>
      </c>
      <c r="F4395">
        <f>_xlfn.XLOOKUP(Table1[[#This Row],[ProductID]],Products!A:A,Products!D:D,,0)</f>
        <v>130</v>
      </c>
      <c r="I4395">
        <v>549</v>
      </c>
      <c r="J4395">
        <v>494</v>
      </c>
      <c r="K4395" t="s">
        <v>1107</v>
      </c>
      <c r="L4395">
        <v>1482</v>
      </c>
      <c r="M4395" t="s">
        <v>1098</v>
      </c>
      <c r="N4395" t="s">
        <v>1099</v>
      </c>
      <c r="O4395">
        <f>Table1[[#This Row],[Unit_Price]]*Table1[[#This Row],[Quantity]]</f>
        <v>390</v>
      </c>
    </row>
    <row r="4396" spans="1:15" x14ac:dyDescent="0.3">
      <c r="A4396" t="s">
        <v>6220</v>
      </c>
      <c r="B4396" t="s">
        <v>2227</v>
      </c>
      <c r="C4396" t="s">
        <v>947</v>
      </c>
      <c r="D4396" t="s">
        <v>1048</v>
      </c>
      <c r="E4396">
        <v>1</v>
      </c>
      <c r="F4396">
        <f>_xlfn.XLOOKUP(Table1[[#This Row],[ProductID]],Products!A:A,Products!D:D,,0)</f>
        <v>120</v>
      </c>
      <c r="I4396">
        <v>599</v>
      </c>
      <c r="J4396">
        <v>599</v>
      </c>
      <c r="K4396" t="s">
        <v>1102</v>
      </c>
      <c r="L4396">
        <v>599</v>
      </c>
      <c r="M4396" t="s">
        <v>1093</v>
      </c>
      <c r="N4396" t="s">
        <v>1099</v>
      </c>
      <c r="O4396">
        <f>Table1[[#This Row],[Unit_Price]]*Table1[[#This Row],[Quantity]]</f>
        <v>120</v>
      </c>
    </row>
    <row r="4397" spans="1:15" x14ac:dyDescent="0.3">
      <c r="A4397" t="s">
        <v>6221</v>
      </c>
      <c r="B4397" t="s">
        <v>4096</v>
      </c>
      <c r="C4397" t="s">
        <v>65</v>
      </c>
      <c r="D4397" t="s">
        <v>1057</v>
      </c>
      <c r="E4397">
        <v>1</v>
      </c>
      <c r="F4397">
        <f>_xlfn.XLOOKUP(Table1[[#This Row],[ProductID]],Products!A:A,Products!D:D,,0)</f>
        <v>130</v>
      </c>
      <c r="I4397">
        <v>549</v>
      </c>
      <c r="J4397">
        <v>494</v>
      </c>
      <c r="K4397" t="s">
        <v>1107</v>
      </c>
      <c r="L4397">
        <v>494</v>
      </c>
      <c r="M4397" t="s">
        <v>1098</v>
      </c>
      <c r="N4397" t="s">
        <v>1099</v>
      </c>
      <c r="O4397">
        <f>Table1[[#This Row],[Unit_Price]]*Table1[[#This Row],[Quantity]]</f>
        <v>130</v>
      </c>
    </row>
    <row r="4398" spans="1:15" x14ac:dyDescent="0.3">
      <c r="A4398" t="s">
        <v>6222</v>
      </c>
      <c r="B4398" t="s">
        <v>1180</v>
      </c>
      <c r="C4398" t="s">
        <v>425</v>
      </c>
      <c r="D4398" t="s">
        <v>1057</v>
      </c>
      <c r="E4398">
        <v>3</v>
      </c>
      <c r="F4398">
        <f>_xlfn.XLOOKUP(Table1[[#This Row],[ProductID]],Products!A:A,Products!D:D,,0)</f>
        <v>130</v>
      </c>
      <c r="I4398">
        <v>549</v>
      </c>
      <c r="J4398">
        <v>549</v>
      </c>
      <c r="K4398" t="s">
        <v>1102</v>
      </c>
      <c r="L4398">
        <v>1647</v>
      </c>
      <c r="M4398" t="s">
        <v>1098</v>
      </c>
      <c r="N4398" t="s">
        <v>1099</v>
      </c>
      <c r="O4398">
        <f>Table1[[#This Row],[Unit_Price]]*Table1[[#This Row],[Quantity]]</f>
        <v>390</v>
      </c>
    </row>
    <row r="4399" spans="1:15" x14ac:dyDescent="0.3">
      <c r="A4399" t="s">
        <v>6223</v>
      </c>
      <c r="B4399" t="s">
        <v>3411</v>
      </c>
      <c r="C4399" t="s">
        <v>695</v>
      </c>
      <c r="D4399" t="s">
        <v>1064</v>
      </c>
      <c r="E4399">
        <v>1</v>
      </c>
      <c r="F4399">
        <f>_xlfn.XLOOKUP(Table1[[#This Row],[ProductID]],Products!A:A,Products!D:D,,0)</f>
        <v>160</v>
      </c>
      <c r="I4399">
        <v>699</v>
      </c>
      <c r="J4399">
        <v>559</v>
      </c>
      <c r="K4399" t="s">
        <v>1097</v>
      </c>
      <c r="L4399">
        <v>559</v>
      </c>
      <c r="M4399" t="s">
        <v>1098</v>
      </c>
      <c r="N4399" t="s">
        <v>1099</v>
      </c>
      <c r="O4399">
        <f>Table1[[#This Row],[Unit_Price]]*Table1[[#This Row],[Quantity]]</f>
        <v>160</v>
      </c>
    </row>
    <row r="4400" spans="1:15" x14ac:dyDescent="0.3">
      <c r="A4400" t="s">
        <v>6224</v>
      </c>
      <c r="B4400" t="s">
        <v>2461</v>
      </c>
      <c r="C4400" t="s">
        <v>869</v>
      </c>
      <c r="D4400" t="s">
        <v>1057</v>
      </c>
      <c r="E4400">
        <v>1</v>
      </c>
      <c r="F4400">
        <f>_xlfn.XLOOKUP(Table1[[#This Row],[ProductID]],Products!A:A,Products!D:D,,0)</f>
        <v>130</v>
      </c>
      <c r="I4400">
        <v>549</v>
      </c>
      <c r="J4400">
        <v>439</v>
      </c>
      <c r="K4400" t="s">
        <v>1097</v>
      </c>
      <c r="L4400">
        <v>439</v>
      </c>
      <c r="M4400" t="s">
        <v>1098</v>
      </c>
      <c r="N4400" t="s">
        <v>1099</v>
      </c>
      <c r="O4400">
        <f>Table1[[#This Row],[Unit_Price]]*Table1[[#This Row],[Quantity]]</f>
        <v>130</v>
      </c>
    </row>
    <row r="4401" spans="1:15" x14ac:dyDescent="0.3">
      <c r="A4401" t="s">
        <v>6225</v>
      </c>
      <c r="B4401" t="s">
        <v>1826</v>
      </c>
      <c r="C4401" t="s">
        <v>587</v>
      </c>
      <c r="D4401" t="s">
        <v>1073</v>
      </c>
      <c r="E4401">
        <v>1</v>
      </c>
      <c r="F4401">
        <f>_xlfn.XLOOKUP(Table1[[#This Row],[ProductID]],Products!A:A,Products!D:D,,0)</f>
        <v>100</v>
      </c>
      <c r="I4401">
        <v>349</v>
      </c>
      <c r="J4401">
        <v>349</v>
      </c>
      <c r="K4401" t="s">
        <v>1102</v>
      </c>
      <c r="L4401">
        <v>349</v>
      </c>
      <c r="M4401" t="s">
        <v>1093</v>
      </c>
      <c r="N4401" t="s">
        <v>1094</v>
      </c>
      <c r="O4401">
        <f>Table1[[#This Row],[Unit_Price]]*Table1[[#This Row],[Quantity]]</f>
        <v>100</v>
      </c>
    </row>
    <row r="4402" spans="1:15" x14ac:dyDescent="0.3">
      <c r="A4402" t="s">
        <v>6226</v>
      </c>
      <c r="B4402" t="s">
        <v>1465</v>
      </c>
      <c r="C4402" t="s">
        <v>74</v>
      </c>
      <c r="D4402" t="s">
        <v>1059</v>
      </c>
      <c r="E4402">
        <v>1</v>
      </c>
      <c r="F4402">
        <f>_xlfn.XLOOKUP(Table1[[#This Row],[ProductID]],Products!A:A,Products!D:D,,0)</f>
        <v>110</v>
      </c>
      <c r="I4402">
        <v>399</v>
      </c>
      <c r="J4402">
        <v>399</v>
      </c>
      <c r="K4402" t="s">
        <v>1102</v>
      </c>
      <c r="L4402">
        <v>399</v>
      </c>
      <c r="M4402" t="s">
        <v>1098</v>
      </c>
      <c r="N4402" t="s">
        <v>1099</v>
      </c>
      <c r="O4402">
        <f>Table1[[#This Row],[Unit_Price]]*Table1[[#This Row],[Quantity]]</f>
        <v>110</v>
      </c>
    </row>
    <row r="4403" spans="1:15" x14ac:dyDescent="0.3">
      <c r="A4403" t="s">
        <v>6227</v>
      </c>
      <c r="B4403" t="s">
        <v>1457</v>
      </c>
      <c r="C4403" t="s">
        <v>571</v>
      </c>
      <c r="D4403" t="s">
        <v>1080</v>
      </c>
      <c r="E4403">
        <v>2</v>
      </c>
      <c r="F4403">
        <f>_xlfn.XLOOKUP(Table1[[#This Row],[ProductID]],Products!A:A,Products!D:D,,0)</f>
        <v>45</v>
      </c>
      <c r="I4403">
        <v>249</v>
      </c>
      <c r="J4403">
        <v>224</v>
      </c>
      <c r="K4403" t="s">
        <v>1107</v>
      </c>
      <c r="L4403">
        <v>448</v>
      </c>
      <c r="M4403" t="s">
        <v>1118</v>
      </c>
      <c r="N4403" t="s">
        <v>1099</v>
      </c>
      <c r="O4403">
        <f>Table1[[#This Row],[Unit_Price]]*Table1[[#This Row],[Quantity]]</f>
        <v>90</v>
      </c>
    </row>
    <row r="4404" spans="1:15" x14ac:dyDescent="0.3">
      <c r="A4404" t="s">
        <v>6228</v>
      </c>
      <c r="B4404" t="s">
        <v>3206</v>
      </c>
      <c r="C4404" t="s">
        <v>747</v>
      </c>
      <c r="D4404" t="s">
        <v>1055</v>
      </c>
      <c r="E4404">
        <v>1</v>
      </c>
      <c r="F4404">
        <f>_xlfn.XLOOKUP(Table1[[#This Row],[ProductID]],Products!A:A,Products!D:D,,0)</f>
        <v>75</v>
      </c>
      <c r="I4404">
        <v>299</v>
      </c>
      <c r="J4404">
        <v>254</v>
      </c>
      <c r="K4404" t="s">
        <v>1092</v>
      </c>
      <c r="L4404">
        <v>254</v>
      </c>
      <c r="M4404" t="s">
        <v>1093</v>
      </c>
      <c r="N4404" t="s">
        <v>1123</v>
      </c>
      <c r="O4404">
        <f>Table1[[#This Row],[Unit_Price]]*Table1[[#This Row],[Quantity]]</f>
        <v>75</v>
      </c>
    </row>
    <row r="4405" spans="1:15" x14ac:dyDescent="0.3">
      <c r="A4405" t="s">
        <v>6229</v>
      </c>
      <c r="B4405" t="s">
        <v>1447</v>
      </c>
      <c r="C4405" t="s">
        <v>367</v>
      </c>
      <c r="D4405" t="s">
        <v>1073</v>
      </c>
      <c r="E4405">
        <v>3</v>
      </c>
      <c r="F4405">
        <f>_xlfn.XLOOKUP(Table1[[#This Row],[ProductID]],Products!A:A,Products!D:D,,0)</f>
        <v>100</v>
      </c>
      <c r="I4405">
        <v>349</v>
      </c>
      <c r="J4405">
        <v>349</v>
      </c>
      <c r="K4405" t="s">
        <v>1102</v>
      </c>
      <c r="L4405">
        <v>1047</v>
      </c>
      <c r="M4405" t="s">
        <v>1093</v>
      </c>
      <c r="N4405" t="s">
        <v>1099</v>
      </c>
      <c r="O4405">
        <f>Table1[[#This Row],[Unit_Price]]*Table1[[#This Row],[Quantity]]</f>
        <v>300</v>
      </c>
    </row>
    <row r="4406" spans="1:15" x14ac:dyDescent="0.3">
      <c r="A4406" t="s">
        <v>6230</v>
      </c>
      <c r="B4406" t="s">
        <v>2682</v>
      </c>
      <c r="C4406" t="s">
        <v>1021</v>
      </c>
      <c r="D4406" t="s">
        <v>1075</v>
      </c>
      <c r="E4406">
        <v>1</v>
      </c>
      <c r="F4406">
        <f>_xlfn.XLOOKUP(Table1[[#This Row],[ProductID]],Products!A:A,Products!D:D,,0)</f>
        <v>80</v>
      </c>
      <c r="I4406">
        <v>499</v>
      </c>
      <c r="J4406">
        <v>499</v>
      </c>
      <c r="K4406" t="s">
        <v>1102</v>
      </c>
      <c r="L4406">
        <v>499</v>
      </c>
      <c r="M4406" t="s">
        <v>1093</v>
      </c>
      <c r="N4406" t="s">
        <v>1099</v>
      </c>
      <c r="O4406">
        <f>Table1[[#This Row],[Unit_Price]]*Table1[[#This Row],[Quantity]]</f>
        <v>80</v>
      </c>
    </row>
    <row r="4407" spans="1:15" x14ac:dyDescent="0.3">
      <c r="A4407" t="s">
        <v>6231</v>
      </c>
      <c r="B4407" t="s">
        <v>1381</v>
      </c>
      <c r="C4407" t="s">
        <v>569</v>
      </c>
      <c r="D4407" t="s">
        <v>1064</v>
      </c>
      <c r="E4407">
        <v>2</v>
      </c>
      <c r="F4407">
        <f>_xlfn.XLOOKUP(Table1[[#This Row],[ProductID]],Products!A:A,Products!D:D,,0)</f>
        <v>160</v>
      </c>
      <c r="I4407">
        <v>699</v>
      </c>
      <c r="J4407">
        <v>559</v>
      </c>
      <c r="K4407" t="s">
        <v>1097</v>
      </c>
      <c r="L4407">
        <v>1118</v>
      </c>
      <c r="M4407" t="s">
        <v>1098</v>
      </c>
      <c r="N4407" t="s">
        <v>1099</v>
      </c>
      <c r="O4407">
        <f>Table1[[#This Row],[Unit_Price]]*Table1[[#This Row],[Quantity]]</f>
        <v>320</v>
      </c>
    </row>
    <row r="4408" spans="1:15" x14ac:dyDescent="0.3">
      <c r="A4408" t="s">
        <v>6232</v>
      </c>
      <c r="B4408" t="s">
        <v>2754</v>
      </c>
      <c r="C4408" t="s">
        <v>467</v>
      </c>
      <c r="D4408" t="s">
        <v>1068</v>
      </c>
      <c r="E4408">
        <v>1</v>
      </c>
      <c r="F4408">
        <f>_xlfn.XLOOKUP(Table1[[#This Row],[ProductID]],Products!A:A,Products!D:D,,0)</f>
        <v>180</v>
      </c>
      <c r="I4408">
        <v>449</v>
      </c>
      <c r="J4408">
        <v>449</v>
      </c>
      <c r="K4408" t="s">
        <v>1102</v>
      </c>
      <c r="L4408">
        <v>449</v>
      </c>
      <c r="M4408" t="s">
        <v>1093</v>
      </c>
      <c r="N4408" t="s">
        <v>1094</v>
      </c>
      <c r="O4408">
        <f>Table1[[#This Row],[Unit_Price]]*Table1[[#This Row],[Quantity]]</f>
        <v>180</v>
      </c>
    </row>
    <row r="4409" spans="1:15" x14ac:dyDescent="0.3">
      <c r="A4409" t="s">
        <v>6233</v>
      </c>
      <c r="B4409" t="s">
        <v>3135</v>
      </c>
      <c r="C4409" t="s">
        <v>535</v>
      </c>
      <c r="D4409" t="s">
        <v>1059</v>
      </c>
      <c r="E4409">
        <v>2</v>
      </c>
      <c r="F4409">
        <f>_xlfn.XLOOKUP(Table1[[#This Row],[ProductID]],Products!A:A,Products!D:D,,0)</f>
        <v>110</v>
      </c>
      <c r="I4409">
        <v>399</v>
      </c>
      <c r="J4409">
        <v>339</v>
      </c>
      <c r="K4409" t="s">
        <v>1092</v>
      </c>
      <c r="L4409">
        <v>678</v>
      </c>
      <c r="M4409" t="s">
        <v>1098</v>
      </c>
      <c r="N4409" t="s">
        <v>1099</v>
      </c>
      <c r="O4409">
        <f>Table1[[#This Row],[Unit_Price]]*Table1[[#This Row],[Quantity]]</f>
        <v>220</v>
      </c>
    </row>
    <row r="4410" spans="1:15" x14ac:dyDescent="0.3">
      <c r="A4410" t="s">
        <v>6234</v>
      </c>
      <c r="B4410" t="s">
        <v>3723</v>
      </c>
      <c r="C4410" t="s">
        <v>551</v>
      </c>
      <c r="D4410" t="s">
        <v>1080</v>
      </c>
      <c r="E4410">
        <v>1</v>
      </c>
      <c r="F4410">
        <f>_xlfn.XLOOKUP(Table1[[#This Row],[ProductID]],Products!A:A,Products!D:D,,0)</f>
        <v>45</v>
      </c>
      <c r="I4410">
        <v>249</v>
      </c>
      <c r="J4410">
        <v>224</v>
      </c>
      <c r="K4410" t="s">
        <v>1107</v>
      </c>
      <c r="L4410">
        <v>224</v>
      </c>
      <c r="M4410" t="s">
        <v>1098</v>
      </c>
      <c r="N4410" t="s">
        <v>1099</v>
      </c>
      <c r="O4410">
        <f>Table1[[#This Row],[Unit_Price]]*Table1[[#This Row],[Quantity]]</f>
        <v>45</v>
      </c>
    </row>
    <row r="4411" spans="1:15" x14ac:dyDescent="0.3">
      <c r="A4411" t="s">
        <v>6235</v>
      </c>
      <c r="B4411" t="s">
        <v>5684</v>
      </c>
      <c r="C4411" t="s">
        <v>927</v>
      </c>
      <c r="D4411" t="s">
        <v>1051</v>
      </c>
      <c r="E4411">
        <v>1</v>
      </c>
      <c r="F4411">
        <f>_xlfn.XLOOKUP(Table1[[#This Row],[ProductID]],Products!A:A,Products!D:D,,0)</f>
        <v>150</v>
      </c>
      <c r="I4411">
        <v>499</v>
      </c>
      <c r="J4411">
        <v>449</v>
      </c>
      <c r="K4411" t="s">
        <v>1107</v>
      </c>
      <c r="L4411">
        <v>449</v>
      </c>
      <c r="M4411" t="s">
        <v>1098</v>
      </c>
      <c r="N4411" t="s">
        <v>1099</v>
      </c>
      <c r="O4411">
        <f>Table1[[#This Row],[Unit_Price]]*Table1[[#This Row],[Quantity]]</f>
        <v>150</v>
      </c>
    </row>
    <row r="4412" spans="1:15" x14ac:dyDescent="0.3">
      <c r="A4412" t="s">
        <v>6236</v>
      </c>
      <c r="B4412" t="s">
        <v>1339</v>
      </c>
      <c r="C4412" t="s">
        <v>451</v>
      </c>
      <c r="D4412" t="s">
        <v>1073</v>
      </c>
      <c r="E4412">
        <v>1</v>
      </c>
      <c r="F4412">
        <f>_xlfn.XLOOKUP(Table1[[#This Row],[ProductID]],Products!A:A,Products!D:D,,0)</f>
        <v>100</v>
      </c>
      <c r="I4412">
        <v>349</v>
      </c>
      <c r="J4412">
        <v>314</v>
      </c>
      <c r="K4412" t="s">
        <v>1107</v>
      </c>
      <c r="L4412">
        <v>314</v>
      </c>
      <c r="M4412" t="s">
        <v>1093</v>
      </c>
      <c r="N4412" t="s">
        <v>1099</v>
      </c>
      <c r="O4412">
        <f>Table1[[#This Row],[Unit_Price]]*Table1[[#This Row],[Quantity]]</f>
        <v>100</v>
      </c>
    </row>
    <row r="4413" spans="1:15" x14ac:dyDescent="0.3">
      <c r="A4413" t="s">
        <v>6237</v>
      </c>
      <c r="B4413" t="s">
        <v>4351</v>
      </c>
      <c r="C4413" t="s">
        <v>927</v>
      </c>
      <c r="D4413" t="s">
        <v>1053</v>
      </c>
      <c r="E4413">
        <v>1</v>
      </c>
      <c r="F4413">
        <f>_xlfn.XLOOKUP(Table1[[#This Row],[ProductID]],Products!A:A,Products!D:D,,0)</f>
        <v>200</v>
      </c>
      <c r="I4413">
        <v>899</v>
      </c>
      <c r="J4413">
        <v>764</v>
      </c>
      <c r="K4413" t="s">
        <v>1092</v>
      </c>
      <c r="L4413">
        <v>764</v>
      </c>
      <c r="M4413" t="s">
        <v>1126</v>
      </c>
      <c r="N4413" t="s">
        <v>1099</v>
      </c>
      <c r="O4413">
        <f>Table1[[#This Row],[Unit_Price]]*Table1[[#This Row],[Quantity]]</f>
        <v>200</v>
      </c>
    </row>
    <row r="4414" spans="1:15" x14ac:dyDescent="0.3">
      <c r="A4414" t="s">
        <v>6238</v>
      </c>
      <c r="B4414" t="s">
        <v>1698</v>
      </c>
      <c r="C4414" t="s">
        <v>969</v>
      </c>
      <c r="D4414" t="s">
        <v>1064</v>
      </c>
      <c r="E4414">
        <v>4</v>
      </c>
      <c r="F4414">
        <f>_xlfn.XLOOKUP(Table1[[#This Row],[ProductID]],Products!A:A,Products!D:D,,0)</f>
        <v>160</v>
      </c>
      <c r="I4414">
        <v>699</v>
      </c>
      <c r="J4414">
        <v>699</v>
      </c>
      <c r="K4414" t="s">
        <v>1102</v>
      </c>
      <c r="L4414">
        <v>2796</v>
      </c>
      <c r="M4414" t="s">
        <v>1098</v>
      </c>
      <c r="N4414" t="s">
        <v>1099</v>
      </c>
      <c r="O4414">
        <f>Table1[[#This Row],[Unit_Price]]*Table1[[#This Row],[Quantity]]</f>
        <v>640</v>
      </c>
    </row>
    <row r="4415" spans="1:15" x14ac:dyDescent="0.3">
      <c r="A4415" t="s">
        <v>6239</v>
      </c>
      <c r="B4415" t="s">
        <v>3507</v>
      </c>
      <c r="C4415" t="s">
        <v>677</v>
      </c>
      <c r="D4415" t="s">
        <v>1066</v>
      </c>
      <c r="E4415">
        <v>1</v>
      </c>
      <c r="F4415">
        <f>_xlfn.XLOOKUP(Table1[[#This Row],[ProductID]],Products!A:A,Products!D:D,,0)</f>
        <v>140</v>
      </c>
      <c r="I4415">
        <v>499</v>
      </c>
      <c r="J4415">
        <v>449</v>
      </c>
      <c r="K4415" t="s">
        <v>1107</v>
      </c>
      <c r="L4415">
        <v>449</v>
      </c>
      <c r="M4415" t="s">
        <v>1098</v>
      </c>
      <c r="N4415" t="s">
        <v>1099</v>
      </c>
      <c r="O4415">
        <f>Table1[[#This Row],[Unit_Price]]*Table1[[#This Row],[Quantity]]</f>
        <v>140</v>
      </c>
    </row>
    <row r="4416" spans="1:15" x14ac:dyDescent="0.3">
      <c r="A4416" t="s">
        <v>6240</v>
      </c>
      <c r="B4416" t="s">
        <v>2025</v>
      </c>
      <c r="C4416" t="s">
        <v>609</v>
      </c>
      <c r="D4416" t="s">
        <v>1080</v>
      </c>
      <c r="E4416">
        <v>3</v>
      </c>
      <c r="F4416">
        <f>_xlfn.XLOOKUP(Table1[[#This Row],[ProductID]],Products!A:A,Products!D:D,,0)</f>
        <v>45</v>
      </c>
      <c r="I4416">
        <v>249</v>
      </c>
      <c r="J4416">
        <v>249</v>
      </c>
      <c r="K4416" t="s">
        <v>1102</v>
      </c>
      <c r="L4416">
        <v>747</v>
      </c>
      <c r="M4416" t="s">
        <v>1098</v>
      </c>
      <c r="N4416" t="s">
        <v>1099</v>
      </c>
      <c r="O4416">
        <f>Table1[[#This Row],[Unit_Price]]*Table1[[#This Row],[Quantity]]</f>
        <v>135</v>
      </c>
    </row>
    <row r="4417" spans="1:15" x14ac:dyDescent="0.3">
      <c r="A4417" t="s">
        <v>6241</v>
      </c>
      <c r="B4417" t="s">
        <v>1551</v>
      </c>
      <c r="C4417" t="s">
        <v>1009</v>
      </c>
      <c r="D4417" t="s">
        <v>1068</v>
      </c>
      <c r="E4417">
        <v>3</v>
      </c>
      <c r="F4417">
        <f>_xlfn.XLOOKUP(Table1[[#This Row],[ProductID]],Products!A:A,Products!D:D,,0)</f>
        <v>180</v>
      </c>
      <c r="I4417">
        <v>449</v>
      </c>
      <c r="J4417">
        <v>404</v>
      </c>
      <c r="K4417" t="s">
        <v>1107</v>
      </c>
      <c r="L4417">
        <v>1212</v>
      </c>
      <c r="M4417" t="s">
        <v>1093</v>
      </c>
      <c r="N4417" t="s">
        <v>1094</v>
      </c>
      <c r="O4417">
        <f>Table1[[#This Row],[Unit_Price]]*Table1[[#This Row],[Quantity]]</f>
        <v>540</v>
      </c>
    </row>
    <row r="4418" spans="1:15" x14ac:dyDescent="0.3">
      <c r="A4418" t="s">
        <v>6242</v>
      </c>
      <c r="B4418" t="s">
        <v>1931</v>
      </c>
      <c r="C4418" t="s">
        <v>423</v>
      </c>
      <c r="D4418" t="s">
        <v>1064</v>
      </c>
      <c r="E4418">
        <v>1</v>
      </c>
      <c r="F4418">
        <f>_xlfn.XLOOKUP(Table1[[#This Row],[ProductID]],Products!A:A,Products!D:D,,0)</f>
        <v>160</v>
      </c>
      <c r="I4418">
        <v>699</v>
      </c>
      <c r="J4418">
        <v>559</v>
      </c>
      <c r="K4418" t="s">
        <v>1097</v>
      </c>
      <c r="L4418">
        <v>559</v>
      </c>
      <c r="M4418" t="s">
        <v>1093</v>
      </c>
      <c r="N4418" t="s">
        <v>1099</v>
      </c>
      <c r="O4418">
        <f>Table1[[#This Row],[Unit_Price]]*Table1[[#This Row],[Quantity]]</f>
        <v>160</v>
      </c>
    </row>
    <row r="4419" spans="1:15" x14ac:dyDescent="0.3">
      <c r="A4419" t="s">
        <v>6243</v>
      </c>
      <c r="B4419" t="s">
        <v>3080</v>
      </c>
      <c r="C4419" t="s">
        <v>419</v>
      </c>
      <c r="D4419" t="s">
        <v>1080</v>
      </c>
      <c r="E4419">
        <v>1</v>
      </c>
      <c r="F4419">
        <f>_xlfn.XLOOKUP(Table1[[#This Row],[ProductID]],Products!A:A,Products!D:D,,0)</f>
        <v>45</v>
      </c>
      <c r="I4419">
        <v>249</v>
      </c>
      <c r="J4419">
        <v>224</v>
      </c>
      <c r="K4419" t="s">
        <v>1107</v>
      </c>
      <c r="L4419">
        <v>224</v>
      </c>
      <c r="M4419" t="s">
        <v>1093</v>
      </c>
      <c r="N4419" t="s">
        <v>1094</v>
      </c>
      <c r="O4419">
        <f>Table1[[#This Row],[Unit_Price]]*Table1[[#This Row],[Quantity]]</f>
        <v>45</v>
      </c>
    </row>
    <row r="4420" spans="1:15" x14ac:dyDescent="0.3">
      <c r="A4420" t="s">
        <v>6244</v>
      </c>
      <c r="B4420" t="s">
        <v>2751</v>
      </c>
      <c r="C4420" t="s">
        <v>85</v>
      </c>
      <c r="D4420" t="s">
        <v>1071</v>
      </c>
      <c r="E4420">
        <v>1</v>
      </c>
      <c r="F4420">
        <f>_xlfn.XLOOKUP(Table1[[#This Row],[ProductID]],Products!A:A,Products!D:D,,0)</f>
        <v>125</v>
      </c>
      <c r="I4420">
        <v>399</v>
      </c>
      <c r="J4420">
        <v>319</v>
      </c>
      <c r="K4420" t="s">
        <v>1097</v>
      </c>
      <c r="L4420">
        <v>319</v>
      </c>
      <c r="M4420" t="s">
        <v>1093</v>
      </c>
      <c r="N4420" t="s">
        <v>1123</v>
      </c>
      <c r="O4420">
        <f>Table1[[#This Row],[Unit_Price]]*Table1[[#This Row],[Quantity]]</f>
        <v>125</v>
      </c>
    </row>
    <row r="4421" spans="1:15" x14ac:dyDescent="0.3">
      <c r="A4421" t="s">
        <v>6245</v>
      </c>
      <c r="B4421" t="s">
        <v>3826</v>
      </c>
      <c r="C4421" t="s">
        <v>138</v>
      </c>
      <c r="D4421" t="s">
        <v>1062</v>
      </c>
      <c r="E4421">
        <v>3</v>
      </c>
      <c r="F4421">
        <f>_xlfn.XLOOKUP(Table1[[#This Row],[ProductID]],Products!A:A,Products!D:D,,0)</f>
        <v>95</v>
      </c>
      <c r="I4421">
        <v>349</v>
      </c>
      <c r="J4421">
        <v>314</v>
      </c>
      <c r="K4421" t="s">
        <v>1107</v>
      </c>
      <c r="L4421">
        <v>942</v>
      </c>
      <c r="M4421" t="s">
        <v>1093</v>
      </c>
      <c r="N4421" t="s">
        <v>1099</v>
      </c>
      <c r="O4421">
        <f>Table1[[#This Row],[Unit_Price]]*Table1[[#This Row],[Quantity]]</f>
        <v>285</v>
      </c>
    </row>
    <row r="4422" spans="1:15" x14ac:dyDescent="0.3">
      <c r="A4422" t="s">
        <v>6246</v>
      </c>
      <c r="B4422" t="s">
        <v>2516</v>
      </c>
      <c r="C4422" t="s">
        <v>651</v>
      </c>
      <c r="D4422" t="s">
        <v>1062</v>
      </c>
      <c r="E4422">
        <v>3</v>
      </c>
      <c r="F4422">
        <f>_xlfn.XLOOKUP(Table1[[#This Row],[ProductID]],Products!A:A,Products!D:D,,0)</f>
        <v>95</v>
      </c>
      <c r="I4422">
        <v>349</v>
      </c>
      <c r="J4422">
        <v>314</v>
      </c>
      <c r="K4422" t="s">
        <v>1107</v>
      </c>
      <c r="L4422">
        <v>942</v>
      </c>
      <c r="M4422" t="s">
        <v>1126</v>
      </c>
      <c r="N4422" t="s">
        <v>1099</v>
      </c>
      <c r="O4422">
        <f>Table1[[#This Row],[Unit_Price]]*Table1[[#This Row],[Quantity]]</f>
        <v>285</v>
      </c>
    </row>
    <row r="4423" spans="1:15" x14ac:dyDescent="0.3">
      <c r="A4423" t="s">
        <v>6247</v>
      </c>
      <c r="B4423" t="s">
        <v>1604</v>
      </c>
      <c r="C4423" t="s">
        <v>845</v>
      </c>
      <c r="D4423" t="s">
        <v>1071</v>
      </c>
      <c r="E4423">
        <v>3</v>
      </c>
      <c r="F4423">
        <f>_xlfn.XLOOKUP(Table1[[#This Row],[ProductID]],Products!A:A,Products!D:D,,0)</f>
        <v>125</v>
      </c>
      <c r="I4423">
        <v>399</v>
      </c>
      <c r="J4423">
        <v>359</v>
      </c>
      <c r="K4423" t="s">
        <v>1107</v>
      </c>
      <c r="L4423">
        <v>1077</v>
      </c>
      <c r="M4423" t="s">
        <v>1098</v>
      </c>
      <c r="N4423" t="s">
        <v>1123</v>
      </c>
      <c r="O4423">
        <f>Table1[[#This Row],[Unit_Price]]*Table1[[#This Row],[Quantity]]</f>
        <v>375</v>
      </c>
    </row>
    <row r="4424" spans="1:15" x14ac:dyDescent="0.3">
      <c r="A4424" t="s">
        <v>6248</v>
      </c>
      <c r="B4424" t="s">
        <v>1345</v>
      </c>
      <c r="C4424" t="s">
        <v>87</v>
      </c>
      <c r="D4424" t="s">
        <v>1080</v>
      </c>
      <c r="E4424">
        <v>1</v>
      </c>
      <c r="F4424">
        <f>_xlfn.XLOOKUP(Table1[[#This Row],[ProductID]],Products!A:A,Products!D:D,,0)</f>
        <v>45</v>
      </c>
      <c r="I4424">
        <v>249</v>
      </c>
      <c r="J4424">
        <v>224</v>
      </c>
      <c r="K4424" t="s">
        <v>1107</v>
      </c>
      <c r="L4424">
        <v>224</v>
      </c>
      <c r="M4424" t="s">
        <v>1093</v>
      </c>
      <c r="N4424" t="s">
        <v>1099</v>
      </c>
      <c r="O4424">
        <f>Table1[[#This Row],[Unit_Price]]*Table1[[#This Row],[Quantity]]</f>
        <v>45</v>
      </c>
    </row>
    <row r="4425" spans="1:15" x14ac:dyDescent="0.3">
      <c r="A4425" t="s">
        <v>6249</v>
      </c>
      <c r="B4425" t="s">
        <v>1172</v>
      </c>
      <c r="C4425" t="s">
        <v>899</v>
      </c>
      <c r="D4425" t="s">
        <v>1057</v>
      </c>
      <c r="E4425">
        <v>4</v>
      </c>
      <c r="F4425">
        <f>_xlfn.XLOOKUP(Table1[[#This Row],[ProductID]],Products!A:A,Products!D:D,,0)</f>
        <v>130</v>
      </c>
      <c r="I4425">
        <v>549</v>
      </c>
      <c r="J4425">
        <v>494</v>
      </c>
      <c r="K4425" t="s">
        <v>1107</v>
      </c>
      <c r="L4425">
        <v>1976</v>
      </c>
      <c r="M4425" t="s">
        <v>1098</v>
      </c>
      <c r="N4425" t="s">
        <v>1099</v>
      </c>
      <c r="O4425">
        <f>Table1[[#This Row],[Unit_Price]]*Table1[[#This Row],[Quantity]]</f>
        <v>520</v>
      </c>
    </row>
    <row r="4426" spans="1:15" x14ac:dyDescent="0.3">
      <c r="A4426" t="s">
        <v>6250</v>
      </c>
      <c r="B4426" t="s">
        <v>1734</v>
      </c>
      <c r="C4426" t="s">
        <v>106</v>
      </c>
      <c r="D4426" t="s">
        <v>1062</v>
      </c>
      <c r="E4426">
        <v>1</v>
      </c>
      <c r="F4426">
        <f>_xlfn.XLOOKUP(Table1[[#This Row],[ProductID]],Products!A:A,Products!D:D,,0)</f>
        <v>95</v>
      </c>
      <c r="I4426">
        <v>349</v>
      </c>
      <c r="J4426">
        <v>297</v>
      </c>
      <c r="K4426" t="s">
        <v>1092</v>
      </c>
      <c r="L4426">
        <v>297</v>
      </c>
      <c r="M4426" t="s">
        <v>1126</v>
      </c>
      <c r="N4426" t="s">
        <v>1099</v>
      </c>
      <c r="O4426">
        <f>Table1[[#This Row],[Unit_Price]]*Table1[[#This Row],[Quantity]]</f>
        <v>95</v>
      </c>
    </row>
    <row r="4427" spans="1:15" x14ac:dyDescent="0.3">
      <c r="A4427" t="s">
        <v>6251</v>
      </c>
      <c r="B4427" t="s">
        <v>1219</v>
      </c>
      <c r="C4427" t="s">
        <v>81</v>
      </c>
      <c r="D4427" t="s">
        <v>1073</v>
      </c>
      <c r="E4427">
        <v>1</v>
      </c>
      <c r="F4427">
        <f>_xlfn.XLOOKUP(Table1[[#This Row],[ProductID]],Products!A:A,Products!D:D,,0)</f>
        <v>100</v>
      </c>
      <c r="I4427">
        <v>349</v>
      </c>
      <c r="J4427">
        <v>349</v>
      </c>
      <c r="K4427" t="s">
        <v>1102</v>
      </c>
      <c r="L4427">
        <v>349</v>
      </c>
      <c r="M4427" t="s">
        <v>1118</v>
      </c>
      <c r="N4427" t="s">
        <v>1099</v>
      </c>
      <c r="O4427">
        <f>Table1[[#This Row],[Unit_Price]]*Table1[[#This Row],[Quantity]]</f>
        <v>100</v>
      </c>
    </row>
    <row r="4428" spans="1:15" x14ac:dyDescent="0.3">
      <c r="A4428" t="s">
        <v>6252</v>
      </c>
      <c r="B4428" t="s">
        <v>1162</v>
      </c>
      <c r="C4428" t="s">
        <v>739</v>
      </c>
      <c r="D4428" t="s">
        <v>1055</v>
      </c>
      <c r="E4428">
        <v>3</v>
      </c>
      <c r="F4428">
        <f>_xlfn.XLOOKUP(Table1[[#This Row],[ProductID]],Products!A:A,Products!D:D,,0)</f>
        <v>75</v>
      </c>
      <c r="I4428">
        <v>299</v>
      </c>
      <c r="J4428">
        <v>299</v>
      </c>
      <c r="K4428" t="s">
        <v>1102</v>
      </c>
      <c r="L4428">
        <v>897</v>
      </c>
      <c r="M4428" t="s">
        <v>1098</v>
      </c>
      <c r="N4428" t="s">
        <v>1099</v>
      </c>
      <c r="O4428">
        <f>Table1[[#This Row],[Unit_Price]]*Table1[[#This Row],[Quantity]]</f>
        <v>225</v>
      </c>
    </row>
    <row r="4429" spans="1:15" x14ac:dyDescent="0.3">
      <c r="A4429" t="s">
        <v>6253</v>
      </c>
      <c r="B4429" t="s">
        <v>2940</v>
      </c>
      <c r="C4429" t="s">
        <v>573</v>
      </c>
      <c r="D4429" t="s">
        <v>1080</v>
      </c>
      <c r="E4429">
        <v>1</v>
      </c>
      <c r="F4429">
        <f>_xlfn.XLOOKUP(Table1[[#This Row],[ProductID]],Products!A:A,Products!D:D,,0)</f>
        <v>45</v>
      </c>
      <c r="I4429">
        <v>249</v>
      </c>
      <c r="J4429">
        <v>224</v>
      </c>
      <c r="K4429" t="s">
        <v>1107</v>
      </c>
      <c r="L4429">
        <v>224</v>
      </c>
      <c r="M4429" t="s">
        <v>1098</v>
      </c>
      <c r="N4429" t="s">
        <v>1099</v>
      </c>
      <c r="O4429">
        <f>Table1[[#This Row],[Unit_Price]]*Table1[[#This Row],[Quantity]]</f>
        <v>45</v>
      </c>
    </row>
    <row r="4430" spans="1:15" x14ac:dyDescent="0.3">
      <c r="A4430" t="s">
        <v>6254</v>
      </c>
      <c r="B4430" t="s">
        <v>1570</v>
      </c>
      <c r="C4430" t="s">
        <v>717</v>
      </c>
      <c r="D4430" t="s">
        <v>1066</v>
      </c>
      <c r="E4430">
        <v>1</v>
      </c>
      <c r="F4430">
        <f>_xlfn.XLOOKUP(Table1[[#This Row],[ProductID]],Products!A:A,Products!D:D,,0)</f>
        <v>140</v>
      </c>
      <c r="I4430">
        <v>499</v>
      </c>
      <c r="J4430">
        <v>449</v>
      </c>
      <c r="K4430" t="s">
        <v>1107</v>
      </c>
      <c r="L4430">
        <v>449</v>
      </c>
      <c r="M4430" t="s">
        <v>1093</v>
      </c>
      <c r="N4430" t="s">
        <v>1094</v>
      </c>
      <c r="O4430">
        <f>Table1[[#This Row],[Unit_Price]]*Table1[[#This Row],[Quantity]]</f>
        <v>140</v>
      </c>
    </row>
    <row r="4431" spans="1:15" x14ac:dyDescent="0.3">
      <c r="A4431" t="s">
        <v>6255</v>
      </c>
      <c r="B4431" t="s">
        <v>1898</v>
      </c>
      <c r="C4431" t="s">
        <v>631</v>
      </c>
      <c r="D4431" t="s">
        <v>1066</v>
      </c>
      <c r="E4431">
        <v>2</v>
      </c>
      <c r="F4431">
        <f>_xlfn.XLOOKUP(Table1[[#This Row],[ProductID]],Products!A:A,Products!D:D,,0)</f>
        <v>140</v>
      </c>
      <c r="I4431">
        <v>499</v>
      </c>
      <c r="J4431">
        <v>499</v>
      </c>
      <c r="K4431" t="s">
        <v>1102</v>
      </c>
      <c r="L4431">
        <v>998</v>
      </c>
      <c r="M4431" t="s">
        <v>1093</v>
      </c>
      <c r="N4431" t="s">
        <v>1099</v>
      </c>
      <c r="O4431">
        <f>Table1[[#This Row],[Unit_Price]]*Table1[[#This Row],[Quantity]]</f>
        <v>280</v>
      </c>
    </row>
    <row r="4432" spans="1:15" x14ac:dyDescent="0.3">
      <c r="A4432" t="s">
        <v>6256</v>
      </c>
      <c r="B4432" t="s">
        <v>1312</v>
      </c>
      <c r="C4432" t="s">
        <v>431</v>
      </c>
      <c r="D4432" t="s">
        <v>1057</v>
      </c>
      <c r="E4432">
        <v>2</v>
      </c>
      <c r="F4432">
        <f>_xlfn.XLOOKUP(Table1[[#This Row],[ProductID]],Products!A:A,Products!D:D,,0)</f>
        <v>130</v>
      </c>
      <c r="I4432">
        <v>549</v>
      </c>
      <c r="J4432">
        <v>439</v>
      </c>
      <c r="K4432" t="s">
        <v>1097</v>
      </c>
      <c r="L4432">
        <v>878</v>
      </c>
      <c r="M4432" t="s">
        <v>1093</v>
      </c>
      <c r="N4432" t="s">
        <v>1094</v>
      </c>
      <c r="O4432">
        <f>Table1[[#This Row],[Unit_Price]]*Table1[[#This Row],[Quantity]]</f>
        <v>260</v>
      </c>
    </row>
    <row r="4433" spans="1:15" x14ac:dyDescent="0.3">
      <c r="A4433" t="s">
        <v>6257</v>
      </c>
      <c r="B4433" t="s">
        <v>2275</v>
      </c>
      <c r="C4433" t="s">
        <v>653</v>
      </c>
      <c r="D4433" t="s">
        <v>1064</v>
      </c>
      <c r="E4433">
        <v>2</v>
      </c>
      <c r="F4433">
        <f>_xlfn.XLOOKUP(Table1[[#This Row],[ProductID]],Products!A:A,Products!D:D,,0)</f>
        <v>160</v>
      </c>
      <c r="I4433">
        <v>699</v>
      </c>
      <c r="J4433">
        <v>594</v>
      </c>
      <c r="K4433" t="s">
        <v>1092</v>
      </c>
      <c r="L4433">
        <v>1188</v>
      </c>
      <c r="M4433" t="s">
        <v>1098</v>
      </c>
      <c r="N4433" t="s">
        <v>1099</v>
      </c>
      <c r="O4433">
        <f>Table1[[#This Row],[Unit_Price]]*Table1[[#This Row],[Quantity]]</f>
        <v>320</v>
      </c>
    </row>
    <row r="4434" spans="1:15" x14ac:dyDescent="0.3">
      <c r="A4434" t="s">
        <v>6258</v>
      </c>
      <c r="B4434" t="s">
        <v>2251</v>
      </c>
      <c r="C4434" t="s">
        <v>723</v>
      </c>
      <c r="D4434" t="s">
        <v>1053</v>
      </c>
      <c r="E4434">
        <v>1</v>
      </c>
      <c r="F4434">
        <f>_xlfn.XLOOKUP(Table1[[#This Row],[ProductID]],Products!A:A,Products!D:D,,0)</f>
        <v>200</v>
      </c>
      <c r="I4434">
        <v>899</v>
      </c>
      <c r="J4434">
        <v>899</v>
      </c>
      <c r="K4434" t="s">
        <v>1102</v>
      </c>
      <c r="L4434">
        <v>899</v>
      </c>
      <c r="M4434" t="s">
        <v>1093</v>
      </c>
      <c r="N4434" t="s">
        <v>1094</v>
      </c>
      <c r="O4434">
        <f>Table1[[#This Row],[Unit_Price]]*Table1[[#This Row],[Quantity]]</f>
        <v>200</v>
      </c>
    </row>
    <row r="4435" spans="1:15" x14ac:dyDescent="0.3">
      <c r="A4435" t="s">
        <v>6259</v>
      </c>
      <c r="B4435" t="s">
        <v>3577</v>
      </c>
      <c r="C4435" t="s">
        <v>195</v>
      </c>
      <c r="D4435" t="s">
        <v>1078</v>
      </c>
      <c r="E4435">
        <v>2</v>
      </c>
      <c r="F4435">
        <f>_xlfn.XLOOKUP(Table1[[#This Row],[ProductID]],Products!A:A,Products!D:D,,0)</f>
        <v>80</v>
      </c>
      <c r="I4435">
        <v>499</v>
      </c>
      <c r="J4435">
        <v>449</v>
      </c>
      <c r="K4435" t="s">
        <v>1107</v>
      </c>
      <c r="L4435">
        <v>898</v>
      </c>
      <c r="M4435" t="s">
        <v>1118</v>
      </c>
      <c r="N4435" t="s">
        <v>1099</v>
      </c>
      <c r="O4435">
        <f>Table1[[#This Row],[Unit_Price]]*Table1[[#This Row],[Quantity]]</f>
        <v>160</v>
      </c>
    </row>
    <row r="4436" spans="1:15" x14ac:dyDescent="0.3">
      <c r="A4436" t="s">
        <v>6260</v>
      </c>
      <c r="B4436" t="s">
        <v>3650</v>
      </c>
      <c r="C4436" t="s">
        <v>495</v>
      </c>
      <c r="D4436" t="s">
        <v>1064</v>
      </c>
      <c r="E4436">
        <v>1</v>
      </c>
      <c r="F4436">
        <f>_xlfn.XLOOKUP(Table1[[#This Row],[ProductID]],Products!A:A,Products!D:D,,0)</f>
        <v>160</v>
      </c>
      <c r="I4436">
        <v>699</v>
      </c>
      <c r="J4436">
        <v>699</v>
      </c>
      <c r="K4436" t="s">
        <v>1102</v>
      </c>
      <c r="L4436">
        <v>699</v>
      </c>
      <c r="M4436" t="s">
        <v>1093</v>
      </c>
      <c r="N4436" t="s">
        <v>1099</v>
      </c>
      <c r="O4436">
        <f>Table1[[#This Row],[Unit_Price]]*Table1[[#This Row],[Quantity]]</f>
        <v>160</v>
      </c>
    </row>
    <row r="4437" spans="1:15" x14ac:dyDescent="0.3">
      <c r="A4437" t="s">
        <v>6261</v>
      </c>
      <c r="B4437" t="s">
        <v>1402</v>
      </c>
      <c r="C4437" t="s">
        <v>753</v>
      </c>
      <c r="D4437" t="s">
        <v>1059</v>
      </c>
      <c r="E4437">
        <v>1</v>
      </c>
      <c r="F4437">
        <f>_xlfn.XLOOKUP(Table1[[#This Row],[ProductID]],Products!A:A,Products!D:D,,0)</f>
        <v>110</v>
      </c>
      <c r="I4437">
        <v>399</v>
      </c>
      <c r="J4437">
        <v>339</v>
      </c>
      <c r="K4437" t="s">
        <v>1092</v>
      </c>
      <c r="L4437">
        <v>339</v>
      </c>
      <c r="M4437" t="s">
        <v>1126</v>
      </c>
      <c r="N4437" t="s">
        <v>1099</v>
      </c>
      <c r="O4437">
        <f>Table1[[#This Row],[Unit_Price]]*Table1[[#This Row],[Quantity]]</f>
        <v>110</v>
      </c>
    </row>
    <row r="4438" spans="1:15" x14ac:dyDescent="0.3">
      <c r="A4438" t="s">
        <v>6262</v>
      </c>
      <c r="B4438" t="s">
        <v>1272</v>
      </c>
      <c r="C4438" t="s">
        <v>545</v>
      </c>
      <c r="D4438" t="s">
        <v>1059</v>
      </c>
      <c r="E4438">
        <v>1</v>
      </c>
      <c r="F4438">
        <f>_xlfn.XLOOKUP(Table1[[#This Row],[ProductID]],Products!A:A,Products!D:D,,0)</f>
        <v>110</v>
      </c>
      <c r="I4438">
        <v>399</v>
      </c>
      <c r="J4438">
        <v>399</v>
      </c>
      <c r="K4438" t="s">
        <v>1102</v>
      </c>
      <c r="L4438">
        <v>399</v>
      </c>
      <c r="M4438" t="s">
        <v>1098</v>
      </c>
      <c r="N4438" t="s">
        <v>1099</v>
      </c>
      <c r="O4438">
        <f>Table1[[#This Row],[Unit_Price]]*Table1[[#This Row],[Quantity]]</f>
        <v>110</v>
      </c>
    </row>
    <row r="4439" spans="1:15" x14ac:dyDescent="0.3">
      <c r="A4439" t="s">
        <v>6263</v>
      </c>
      <c r="B4439" t="s">
        <v>3470</v>
      </c>
      <c r="C4439" t="s">
        <v>409</v>
      </c>
      <c r="D4439" t="s">
        <v>1053</v>
      </c>
      <c r="E4439">
        <v>1</v>
      </c>
      <c r="F4439">
        <f>_xlfn.XLOOKUP(Table1[[#This Row],[ProductID]],Products!A:A,Products!D:D,,0)</f>
        <v>200</v>
      </c>
      <c r="I4439">
        <v>899</v>
      </c>
      <c r="J4439">
        <v>899</v>
      </c>
      <c r="K4439" t="s">
        <v>1102</v>
      </c>
      <c r="L4439">
        <v>899</v>
      </c>
      <c r="M4439" t="s">
        <v>1118</v>
      </c>
      <c r="N4439" t="s">
        <v>1099</v>
      </c>
      <c r="O4439">
        <f>Table1[[#This Row],[Unit_Price]]*Table1[[#This Row],[Quantity]]</f>
        <v>200</v>
      </c>
    </row>
    <row r="4440" spans="1:15" x14ac:dyDescent="0.3">
      <c r="A4440" t="s">
        <v>6264</v>
      </c>
      <c r="B4440" t="s">
        <v>2812</v>
      </c>
      <c r="C4440" t="s">
        <v>437</v>
      </c>
      <c r="D4440" t="s">
        <v>1068</v>
      </c>
      <c r="E4440">
        <v>2</v>
      </c>
      <c r="F4440">
        <f>_xlfn.XLOOKUP(Table1[[#This Row],[ProductID]],Products!A:A,Products!D:D,,0)</f>
        <v>180</v>
      </c>
      <c r="I4440">
        <v>449</v>
      </c>
      <c r="J4440">
        <v>404</v>
      </c>
      <c r="K4440" t="s">
        <v>1107</v>
      </c>
      <c r="L4440">
        <v>808</v>
      </c>
      <c r="M4440" t="s">
        <v>1098</v>
      </c>
      <c r="N4440" t="s">
        <v>1099</v>
      </c>
      <c r="O4440">
        <f>Table1[[#This Row],[Unit_Price]]*Table1[[#This Row],[Quantity]]</f>
        <v>360</v>
      </c>
    </row>
    <row r="4441" spans="1:15" x14ac:dyDescent="0.3">
      <c r="A4441" t="s">
        <v>6265</v>
      </c>
      <c r="B4441" t="s">
        <v>1172</v>
      </c>
      <c r="C4441" t="s">
        <v>661</v>
      </c>
      <c r="D4441" t="s">
        <v>1071</v>
      </c>
      <c r="E4441">
        <v>1</v>
      </c>
      <c r="F4441">
        <f>_xlfn.XLOOKUP(Table1[[#This Row],[ProductID]],Products!A:A,Products!D:D,,0)</f>
        <v>125</v>
      </c>
      <c r="I4441">
        <v>399</v>
      </c>
      <c r="J4441">
        <v>399</v>
      </c>
      <c r="K4441" t="s">
        <v>1102</v>
      </c>
      <c r="L4441">
        <v>399</v>
      </c>
      <c r="M4441" t="s">
        <v>1093</v>
      </c>
      <c r="N4441" t="s">
        <v>1099</v>
      </c>
      <c r="O4441">
        <f>Table1[[#This Row],[Unit_Price]]*Table1[[#This Row],[Quantity]]</f>
        <v>125</v>
      </c>
    </row>
    <row r="4442" spans="1:15" x14ac:dyDescent="0.3">
      <c r="A4442" t="s">
        <v>6266</v>
      </c>
      <c r="B4442" t="s">
        <v>1432</v>
      </c>
      <c r="C4442" t="s">
        <v>477</v>
      </c>
      <c r="D4442" t="s">
        <v>1053</v>
      </c>
      <c r="E4442">
        <v>1</v>
      </c>
      <c r="F4442">
        <f>_xlfn.XLOOKUP(Table1[[#This Row],[ProductID]],Products!A:A,Products!D:D,,0)</f>
        <v>200</v>
      </c>
      <c r="I4442">
        <v>899</v>
      </c>
      <c r="J4442">
        <v>809</v>
      </c>
      <c r="K4442" t="s">
        <v>1107</v>
      </c>
      <c r="L4442">
        <v>809</v>
      </c>
      <c r="M4442" t="s">
        <v>1098</v>
      </c>
      <c r="N4442" t="s">
        <v>1099</v>
      </c>
      <c r="O4442">
        <f>Table1[[#This Row],[Unit_Price]]*Table1[[#This Row],[Quantity]]</f>
        <v>200</v>
      </c>
    </row>
    <row r="4443" spans="1:15" x14ac:dyDescent="0.3">
      <c r="A4443" t="s">
        <v>6267</v>
      </c>
      <c r="B4443" t="s">
        <v>1909</v>
      </c>
      <c r="C4443" t="s">
        <v>603</v>
      </c>
      <c r="D4443" t="s">
        <v>1053</v>
      </c>
      <c r="E4443">
        <v>1</v>
      </c>
      <c r="F4443">
        <f>_xlfn.XLOOKUP(Table1[[#This Row],[ProductID]],Products!A:A,Products!D:D,,0)</f>
        <v>200</v>
      </c>
      <c r="I4443">
        <v>899</v>
      </c>
      <c r="J4443">
        <v>764</v>
      </c>
      <c r="K4443" t="s">
        <v>1092</v>
      </c>
      <c r="L4443">
        <v>764</v>
      </c>
      <c r="M4443" t="s">
        <v>1098</v>
      </c>
      <c r="N4443" t="s">
        <v>1099</v>
      </c>
      <c r="O4443">
        <f>Table1[[#This Row],[Unit_Price]]*Table1[[#This Row],[Quantity]]</f>
        <v>200</v>
      </c>
    </row>
    <row r="4444" spans="1:15" x14ac:dyDescent="0.3">
      <c r="A4444" t="s">
        <v>6268</v>
      </c>
      <c r="B4444" t="s">
        <v>2454</v>
      </c>
      <c r="C4444" t="s">
        <v>543</v>
      </c>
      <c r="D4444" t="s">
        <v>1073</v>
      </c>
      <c r="E4444">
        <v>1</v>
      </c>
      <c r="F4444">
        <f>_xlfn.XLOOKUP(Table1[[#This Row],[ProductID]],Products!A:A,Products!D:D,,0)</f>
        <v>100</v>
      </c>
      <c r="I4444">
        <v>349</v>
      </c>
      <c r="J4444">
        <v>297</v>
      </c>
      <c r="K4444" t="s">
        <v>1092</v>
      </c>
      <c r="L4444">
        <v>297</v>
      </c>
      <c r="M4444" t="s">
        <v>1098</v>
      </c>
      <c r="N4444" t="s">
        <v>1094</v>
      </c>
      <c r="O4444">
        <f>Table1[[#This Row],[Unit_Price]]*Table1[[#This Row],[Quantity]]</f>
        <v>100</v>
      </c>
    </row>
    <row r="4445" spans="1:15" x14ac:dyDescent="0.3">
      <c r="A4445" t="s">
        <v>6269</v>
      </c>
      <c r="B4445" t="s">
        <v>3881</v>
      </c>
      <c r="C4445" t="s">
        <v>81</v>
      </c>
      <c r="D4445" t="s">
        <v>1059</v>
      </c>
      <c r="E4445">
        <v>1</v>
      </c>
      <c r="F4445">
        <f>_xlfn.XLOOKUP(Table1[[#This Row],[ProductID]],Products!A:A,Products!D:D,,0)</f>
        <v>110</v>
      </c>
      <c r="I4445">
        <v>399</v>
      </c>
      <c r="J4445">
        <v>359</v>
      </c>
      <c r="K4445" t="s">
        <v>1107</v>
      </c>
      <c r="L4445">
        <v>359</v>
      </c>
      <c r="M4445" t="s">
        <v>1126</v>
      </c>
      <c r="N4445" t="s">
        <v>1099</v>
      </c>
      <c r="O4445">
        <f>Table1[[#This Row],[Unit_Price]]*Table1[[#This Row],[Quantity]]</f>
        <v>110</v>
      </c>
    </row>
    <row r="4446" spans="1:15" x14ac:dyDescent="0.3">
      <c r="A4446" t="s">
        <v>6270</v>
      </c>
      <c r="B4446" t="s">
        <v>2832</v>
      </c>
      <c r="C4446" t="s">
        <v>683</v>
      </c>
      <c r="D4446" t="s">
        <v>1080</v>
      </c>
      <c r="E4446">
        <v>4</v>
      </c>
      <c r="F4446">
        <f>_xlfn.XLOOKUP(Table1[[#This Row],[ProductID]],Products!A:A,Products!D:D,,0)</f>
        <v>45</v>
      </c>
      <c r="I4446">
        <v>249</v>
      </c>
      <c r="J4446">
        <v>224</v>
      </c>
      <c r="K4446" t="s">
        <v>1107</v>
      </c>
      <c r="L4446">
        <v>896</v>
      </c>
      <c r="M4446" t="s">
        <v>1098</v>
      </c>
      <c r="N4446" t="s">
        <v>1099</v>
      </c>
      <c r="O4446">
        <f>Table1[[#This Row],[Unit_Price]]*Table1[[#This Row],[Quantity]]</f>
        <v>180</v>
      </c>
    </row>
    <row r="4447" spans="1:15" x14ac:dyDescent="0.3">
      <c r="A4447" t="s">
        <v>6271</v>
      </c>
      <c r="B4447" t="s">
        <v>1634</v>
      </c>
      <c r="C4447" t="s">
        <v>967</v>
      </c>
      <c r="D4447" t="s">
        <v>1059</v>
      </c>
      <c r="E4447">
        <v>3</v>
      </c>
      <c r="F4447">
        <f>_xlfn.XLOOKUP(Table1[[#This Row],[ProductID]],Products!A:A,Products!D:D,,0)</f>
        <v>110</v>
      </c>
      <c r="I4447">
        <v>399</v>
      </c>
      <c r="J4447">
        <v>399</v>
      </c>
      <c r="K4447" t="s">
        <v>1102</v>
      </c>
      <c r="L4447">
        <v>1197</v>
      </c>
      <c r="M4447" t="s">
        <v>1093</v>
      </c>
      <c r="N4447" t="s">
        <v>1094</v>
      </c>
      <c r="O4447">
        <f>Table1[[#This Row],[Unit_Price]]*Table1[[#This Row],[Quantity]]</f>
        <v>330</v>
      </c>
    </row>
    <row r="4448" spans="1:15" x14ac:dyDescent="0.3">
      <c r="A4448" t="s">
        <v>6272</v>
      </c>
      <c r="B4448" t="s">
        <v>2581</v>
      </c>
      <c r="C4448" t="s">
        <v>653</v>
      </c>
      <c r="D4448" t="s">
        <v>1064</v>
      </c>
      <c r="E4448">
        <v>1</v>
      </c>
      <c r="F4448">
        <f>_xlfn.XLOOKUP(Table1[[#This Row],[ProductID]],Products!A:A,Products!D:D,,0)</f>
        <v>160</v>
      </c>
      <c r="I4448">
        <v>699</v>
      </c>
      <c r="J4448">
        <v>594</v>
      </c>
      <c r="K4448" t="s">
        <v>1092</v>
      </c>
      <c r="L4448">
        <v>594</v>
      </c>
      <c r="M4448" t="s">
        <v>1098</v>
      </c>
      <c r="N4448" t="s">
        <v>1099</v>
      </c>
      <c r="O4448">
        <f>Table1[[#This Row],[Unit_Price]]*Table1[[#This Row],[Quantity]]</f>
        <v>160</v>
      </c>
    </row>
    <row r="4449" spans="1:15" x14ac:dyDescent="0.3">
      <c r="A4449" t="s">
        <v>6273</v>
      </c>
      <c r="B4449" t="s">
        <v>2583</v>
      </c>
      <c r="C4449" t="s">
        <v>909</v>
      </c>
      <c r="D4449" t="s">
        <v>1051</v>
      </c>
      <c r="E4449">
        <v>2</v>
      </c>
      <c r="F4449">
        <f>_xlfn.XLOOKUP(Table1[[#This Row],[ProductID]],Products!A:A,Products!D:D,,0)</f>
        <v>150</v>
      </c>
      <c r="I4449">
        <v>499</v>
      </c>
      <c r="J4449">
        <v>499</v>
      </c>
      <c r="K4449" t="s">
        <v>1102</v>
      </c>
      <c r="L4449">
        <v>998</v>
      </c>
      <c r="M4449" t="s">
        <v>1098</v>
      </c>
      <c r="N4449" t="s">
        <v>1099</v>
      </c>
      <c r="O4449">
        <f>Table1[[#This Row],[Unit_Price]]*Table1[[#This Row],[Quantity]]</f>
        <v>300</v>
      </c>
    </row>
    <row r="4450" spans="1:15" x14ac:dyDescent="0.3">
      <c r="A4450" t="s">
        <v>6274</v>
      </c>
      <c r="B4450" t="s">
        <v>3847</v>
      </c>
      <c r="C4450" t="s">
        <v>63</v>
      </c>
      <c r="D4450" t="s">
        <v>1064</v>
      </c>
      <c r="E4450">
        <v>4</v>
      </c>
      <c r="F4450">
        <f>_xlfn.XLOOKUP(Table1[[#This Row],[ProductID]],Products!A:A,Products!D:D,,0)</f>
        <v>160</v>
      </c>
      <c r="I4450">
        <v>699</v>
      </c>
      <c r="J4450">
        <v>699</v>
      </c>
      <c r="K4450" t="s">
        <v>1102</v>
      </c>
      <c r="L4450">
        <v>2796</v>
      </c>
      <c r="M4450" t="s">
        <v>1118</v>
      </c>
      <c r="N4450" t="s">
        <v>1099</v>
      </c>
      <c r="O4450">
        <f>Table1[[#This Row],[Unit_Price]]*Table1[[#This Row],[Quantity]]</f>
        <v>640</v>
      </c>
    </row>
    <row r="4451" spans="1:15" x14ac:dyDescent="0.3">
      <c r="A4451" t="s">
        <v>6275</v>
      </c>
      <c r="B4451" t="s">
        <v>2146</v>
      </c>
      <c r="C4451" t="s">
        <v>925</v>
      </c>
      <c r="D4451" t="s">
        <v>1053</v>
      </c>
      <c r="E4451">
        <v>1</v>
      </c>
      <c r="F4451">
        <f>_xlfn.XLOOKUP(Table1[[#This Row],[ProductID]],Products!A:A,Products!D:D,,0)</f>
        <v>200</v>
      </c>
      <c r="I4451">
        <v>899</v>
      </c>
      <c r="J4451">
        <v>719</v>
      </c>
      <c r="K4451" t="s">
        <v>1097</v>
      </c>
      <c r="L4451">
        <v>719</v>
      </c>
      <c r="M4451" t="s">
        <v>1098</v>
      </c>
      <c r="N4451" t="s">
        <v>1099</v>
      </c>
      <c r="O4451">
        <f>Table1[[#This Row],[Unit_Price]]*Table1[[#This Row],[Quantity]]</f>
        <v>200</v>
      </c>
    </row>
    <row r="4452" spans="1:15" x14ac:dyDescent="0.3">
      <c r="A4452" t="s">
        <v>6276</v>
      </c>
      <c r="B4452" t="s">
        <v>1628</v>
      </c>
      <c r="C4452" t="s">
        <v>551</v>
      </c>
      <c r="D4452" t="s">
        <v>1068</v>
      </c>
      <c r="E4452">
        <v>1</v>
      </c>
      <c r="F4452">
        <f>_xlfn.XLOOKUP(Table1[[#This Row],[ProductID]],Products!A:A,Products!D:D,,0)</f>
        <v>180</v>
      </c>
      <c r="I4452">
        <v>449</v>
      </c>
      <c r="J4452">
        <v>382</v>
      </c>
      <c r="K4452" t="s">
        <v>1092</v>
      </c>
      <c r="L4452">
        <v>382</v>
      </c>
      <c r="M4452" t="s">
        <v>1093</v>
      </c>
      <c r="N4452" t="s">
        <v>1094</v>
      </c>
      <c r="O4452">
        <f>Table1[[#This Row],[Unit_Price]]*Table1[[#This Row],[Quantity]]</f>
        <v>180</v>
      </c>
    </row>
    <row r="4453" spans="1:15" x14ac:dyDescent="0.3">
      <c r="A4453" t="s">
        <v>6277</v>
      </c>
      <c r="B4453" t="s">
        <v>2472</v>
      </c>
      <c r="C4453" t="s">
        <v>279</v>
      </c>
      <c r="D4453" t="s">
        <v>1078</v>
      </c>
      <c r="E4453">
        <v>2</v>
      </c>
      <c r="F4453">
        <f>_xlfn.XLOOKUP(Table1[[#This Row],[ProductID]],Products!A:A,Products!D:D,,0)</f>
        <v>80</v>
      </c>
      <c r="I4453">
        <v>499</v>
      </c>
      <c r="J4453">
        <v>424</v>
      </c>
      <c r="K4453" t="s">
        <v>1092</v>
      </c>
      <c r="L4453">
        <v>848</v>
      </c>
      <c r="M4453" t="s">
        <v>1093</v>
      </c>
      <c r="N4453" t="s">
        <v>1099</v>
      </c>
      <c r="O4453">
        <f>Table1[[#This Row],[Unit_Price]]*Table1[[#This Row],[Quantity]]</f>
        <v>160</v>
      </c>
    </row>
    <row r="4454" spans="1:15" x14ac:dyDescent="0.3">
      <c r="A4454" t="s">
        <v>6278</v>
      </c>
      <c r="B4454" t="s">
        <v>6109</v>
      </c>
      <c r="C4454" t="s">
        <v>587</v>
      </c>
      <c r="D4454" t="s">
        <v>1051</v>
      </c>
      <c r="E4454">
        <v>1</v>
      </c>
      <c r="F4454">
        <f>_xlfn.XLOOKUP(Table1[[#This Row],[ProductID]],Products!A:A,Products!D:D,,0)</f>
        <v>150</v>
      </c>
      <c r="I4454">
        <v>499</v>
      </c>
      <c r="J4454">
        <v>399</v>
      </c>
      <c r="K4454" t="s">
        <v>1097</v>
      </c>
      <c r="L4454">
        <v>399</v>
      </c>
      <c r="M4454" t="s">
        <v>1098</v>
      </c>
      <c r="N4454" t="s">
        <v>1099</v>
      </c>
      <c r="O4454">
        <f>Table1[[#This Row],[Unit_Price]]*Table1[[#This Row],[Quantity]]</f>
        <v>150</v>
      </c>
    </row>
    <row r="4455" spans="1:15" x14ac:dyDescent="0.3">
      <c r="A4455" t="s">
        <v>6279</v>
      </c>
      <c r="B4455" t="s">
        <v>4190</v>
      </c>
      <c r="C4455" t="s">
        <v>939</v>
      </c>
      <c r="D4455" t="s">
        <v>1068</v>
      </c>
      <c r="E4455">
        <v>1</v>
      </c>
      <c r="F4455">
        <f>_xlfn.XLOOKUP(Table1[[#This Row],[ProductID]],Products!A:A,Products!D:D,,0)</f>
        <v>180</v>
      </c>
      <c r="I4455">
        <v>449</v>
      </c>
      <c r="J4455">
        <v>359</v>
      </c>
      <c r="K4455" t="s">
        <v>1097</v>
      </c>
      <c r="L4455">
        <v>359</v>
      </c>
      <c r="M4455" t="s">
        <v>1093</v>
      </c>
      <c r="N4455" t="s">
        <v>1099</v>
      </c>
      <c r="O4455">
        <f>Table1[[#This Row],[Unit_Price]]*Table1[[#This Row],[Quantity]]</f>
        <v>180</v>
      </c>
    </row>
    <row r="4456" spans="1:15" x14ac:dyDescent="0.3">
      <c r="A4456" t="s">
        <v>6280</v>
      </c>
      <c r="B4456" t="s">
        <v>1797</v>
      </c>
      <c r="C4456" t="s">
        <v>515</v>
      </c>
      <c r="D4456" t="s">
        <v>1059</v>
      </c>
      <c r="E4456">
        <v>3</v>
      </c>
      <c r="F4456">
        <f>_xlfn.XLOOKUP(Table1[[#This Row],[ProductID]],Products!A:A,Products!D:D,,0)</f>
        <v>110</v>
      </c>
      <c r="I4456">
        <v>399</v>
      </c>
      <c r="J4456">
        <v>399</v>
      </c>
      <c r="K4456" t="s">
        <v>1102</v>
      </c>
      <c r="L4456">
        <v>1197</v>
      </c>
      <c r="M4456" t="s">
        <v>1098</v>
      </c>
      <c r="N4456" t="s">
        <v>1099</v>
      </c>
      <c r="O4456">
        <f>Table1[[#This Row],[Unit_Price]]*Table1[[#This Row],[Quantity]]</f>
        <v>330</v>
      </c>
    </row>
    <row r="4457" spans="1:15" x14ac:dyDescent="0.3">
      <c r="A4457" t="s">
        <v>6281</v>
      </c>
      <c r="B4457" t="s">
        <v>1600</v>
      </c>
      <c r="C4457" t="s">
        <v>116</v>
      </c>
      <c r="D4457" t="s">
        <v>1051</v>
      </c>
      <c r="E4457">
        <v>1</v>
      </c>
      <c r="F4457">
        <f>_xlfn.XLOOKUP(Table1[[#This Row],[ProductID]],Products!A:A,Products!D:D,,0)</f>
        <v>150</v>
      </c>
      <c r="I4457">
        <v>499</v>
      </c>
      <c r="J4457">
        <v>499</v>
      </c>
      <c r="K4457" t="s">
        <v>1102</v>
      </c>
      <c r="L4457">
        <v>499</v>
      </c>
      <c r="M4457" t="s">
        <v>1098</v>
      </c>
      <c r="N4457" t="s">
        <v>1099</v>
      </c>
      <c r="O4457">
        <f>Table1[[#This Row],[Unit_Price]]*Table1[[#This Row],[Quantity]]</f>
        <v>150</v>
      </c>
    </row>
    <row r="4458" spans="1:15" x14ac:dyDescent="0.3">
      <c r="A4458" t="s">
        <v>6282</v>
      </c>
      <c r="B4458" t="s">
        <v>1709</v>
      </c>
      <c r="C4458" t="s">
        <v>293</v>
      </c>
      <c r="D4458" t="s">
        <v>1055</v>
      </c>
      <c r="E4458">
        <v>2</v>
      </c>
      <c r="F4458">
        <f>_xlfn.XLOOKUP(Table1[[#This Row],[ProductID]],Products!A:A,Products!D:D,,0)</f>
        <v>75</v>
      </c>
      <c r="I4458">
        <v>299</v>
      </c>
      <c r="J4458">
        <v>254</v>
      </c>
      <c r="K4458" t="s">
        <v>1092</v>
      </c>
      <c r="L4458">
        <v>508</v>
      </c>
      <c r="M4458" t="s">
        <v>1098</v>
      </c>
      <c r="N4458" t="s">
        <v>1099</v>
      </c>
      <c r="O4458">
        <f>Table1[[#This Row],[Unit_Price]]*Table1[[#This Row],[Quantity]]</f>
        <v>150</v>
      </c>
    </row>
    <row r="4459" spans="1:15" x14ac:dyDescent="0.3">
      <c r="A4459" t="s">
        <v>6283</v>
      </c>
      <c r="B4459" t="s">
        <v>2701</v>
      </c>
      <c r="C4459" t="s">
        <v>557</v>
      </c>
      <c r="D4459" t="s">
        <v>1048</v>
      </c>
      <c r="E4459">
        <v>4</v>
      </c>
      <c r="F4459">
        <f>_xlfn.XLOOKUP(Table1[[#This Row],[ProductID]],Products!A:A,Products!D:D,,0)</f>
        <v>120</v>
      </c>
      <c r="I4459">
        <v>599</v>
      </c>
      <c r="J4459">
        <v>509</v>
      </c>
      <c r="K4459" t="s">
        <v>1092</v>
      </c>
      <c r="L4459">
        <v>2036</v>
      </c>
      <c r="M4459" t="s">
        <v>1093</v>
      </c>
      <c r="N4459" t="s">
        <v>1099</v>
      </c>
      <c r="O4459">
        <f>Table1[[#This Row],[Unit_Price]]*Table1[[#This Row],[Quantity]]</f>
        <v>480</v>
      </c>
    </row>
    <row r="4460" spans="1:15" x14ac:dyDescent="0.3">
      <c r="A4460" t="s">
        <v>6284</v>
      </c>
      <c r="B4460" t="s">
        <v>3466</v>
      </c>
      <c r="C4460" t="s">
        <v>959</v>
      </c>
      <c r="D4460" t="s">
        <v>1062</v>
      </c>
      <c r="E4460">
        <v>1</v>
      </c>
      <c r="F4460">
        <f>_xlfn.XLOOKUP(Table1[[#This Row],[ProductID]],Products!A:A,Products!D:D,,0)</f>
        <v>95</v>
      </c>
      <c r="I4460">
        <v>349</v>
      </c>
      <c r="J4460">
        <v>279</v>
      </c>
      <c r="K4460" t="s">
        <v>1097</v>
      </c>
      <c r="L4460">
        <v>279</v>
      </c>
      <c r="M4460" t="s">
        <v>1093</v>
      </c>
      <c r="N4460" t="s">
        <v>1099</v>
      </c>
      <c r="O4460">
        <f>Table1[[#This Row],[Unit_Price]]*Table1[[#This Row],[Quantity]]</f>
        <v>95</v>
      </c>
    </row>
    <row r="4461" spans="1:15" x14ac:dyDescent="0.3">
      <c r="A4461" t="s">
        <v>6285</v>
      </c>
      <c r="B4461" t="s">
        <v>3210</v>
      </c>
      <c r="C4461" t="s">
        <v>116</v>
      </c>
      <c r="D4461" t="s">
        <v>1048</v>
      </c>
      <c r="E4461">
        <v>3</v>
      </c>
      <c r="F4461">
        <f>_xlfn.XLOOKUP(Table1[[#This Row],[ProductID]],Products!A:A,Products!D:D,,0)</f>
        <v>120</v>
      </c>
      <c r="I4461">
        <v>599</v>
      </c>
      <c r="J4461">
        <v>539</v>
      </c>
      <c r="K4461" t="s">
        <v>1107</v>
      </c>
      <c r="L4461">
        <v>1617</v>
      </c>
      <c r="M4461" t="s">
        <v>1093</v>
      </c>
      <c r="N4461" t="s">
        <v>1123</v>
      </c>
      <c r="O4461">
        <f>Table1[[#This Row],[Unit_Price]]*Table1[[#This Row],[Quantity]]</f>
        <v>360</v>
      </c>
    </row>
    <row r="4462" spans="1:15" x14ac:dyDescent="0.3">
      <c r="A4462" t="s">
        <v>6286</v>
      </c>
      <c r="B4462" t="s">
        <v>1436</v>
      </c>
      <c r="C4462" t="s">
        <v>731</v>
      </c>
      <c r="D4462" t="s">
        <v>1055</v>
      </c>
      <c r="E4462">
        <v>1</v>
      </c>
      <c r="F4462">
        <f>_xlfn.XLOOKUP(Table1[[#This Row],[ProductID]],Products!A:A,Products!D:D,,0)</f>
        <v>75</v>
      </c>
      <c r="I4462">
        <v>299</v>
      </c>
      <c r="J4462">
        <v>239</v>
      </c>
      <c r="K4462" t="s">
        <v>1097</v>
      </c>
      <c r="L4462">
        <v>239</v>
      </c>
      <c r="M4462" t="s">
        <v>1093</v>
      </c>
      <c r="N4462" t="s">
        <v>1094</v>
      </c>
      <c r="O4462">
        <f>Table1[[#This Row],[Unit_Price]]*Table1[[#This Row],[Quantity]]</f>
        <v>75</v>
      </c>
    </row>
    <row r="4463" spans="1:15" x14ac:dyDescent="0.3">
      <c r="A4463" t="s">
        <v>6287</v>
      </c>
      <c r="B4463" t="s">
        <v>1565</v>
      </c>
      <c r="C4463" t="s">
        <v>891</v>
      </c>
      <c r="D4463" t="s">
        <v>1068</v>
      </c>
      <c r="E4463">
        <v>3</v>
      </c>
      <c r="F4463">
        <f>_xlfn.XLOOKUP(Table1[[#This Row],[ProductID]],Products!A:A,Products!D:D,,0)</f>
        <v>180</v>
      </c>
      <c r="I4463">
        <v>449</v>
      </c>
      <c r="J4463">
        <v>359</v>
      </c>
      <c r="K4463" t="s">
        <v>1097</v>
      </c>
      <c r="L4463">
        <v>1077</v>
      </c>
      <c r="M4463" t="s">
        <v>1098</v>
      </c>
      <c r="N4463" t="s">
        <v>1099</v>
      </c>
      <c r="O4463">
        <f>Table1[[#This Row],[Unit_Price]]*Table1[[#This Row],[Quantity]]</f>
        <v>540</v>
      </c>
    </row>
    <row r="4464" spans="1:15" x14ac:dyDescent="0.3">
      <c r="A4464" t="s">
        <v>6288</v>
      </c>
      <c r="B4464" t="s">
        <v>1242</v>
      </c>
      <c r="C4464" t="s">
        <v>811</v>
      </c>
      <c r="D4464" t="s">
        <v>1055</v>
      </c>
      <c r="E4464">
        <v>1</v>
      </c>
      <c r="F4464">
        <f>_xlfn.XLOOKUP(Table1[[#This Row],[ProductID]],Products!A:A,Products!D:D,,0)</f>
        <v>75</v>
      </c>
      <c r="I4464">
        <v>299</v>
      </c>
      <c r="J4464">
        <v>269</v>
      </c>
      <c r="K4464" t="s">
        <v>1107</v>
      </c>
      <c r="L4464">
        <v>269</v>
      </c>
      <c r="M4464" t="s">
        <v>1126</v>
      </c>
      <c r="N4464" t="s">
        <v>1099</v>
      </c>
      <c r="O4464">
        <f>Table1[[#This Row],[Unit_Price]]*Table1[[#This Row],[Quantity]]</f>
        <v>75</v>
      </c>
    </row>
    <row r="4465" spans="1:15" x14ac:dyDescent="0.3">
      <c r="A4465" t="s">
        <v>6289</v>
      </c>
      <c r="B4465" t="s">
        <v>2856</v>
      </c>
      <c r="C4465" t="s">
        <v>871</v>
      </c>
      <c r="D4465" t="s">
        <v>1068</v>
      </c>
      <c r="E4465">
        <v>4</v>
      </c>
      <c r="F4465">
        <f>_xlfn.XLOOKUP(Table1[[#This Row],[ProductID]],Products!A:A,Products!D:D,,0)</f>
        <v>180</v>
      </c>
      <c r="I4465">
        <v>449</v>
      </c>
      <c r="J4465">
        <v>382</v>
      </c>
      <c r="K4465" t="s">
        <v>1092</v>
      </c>
      <c r="L4465">
        <v>1528</v>
      </c>
      <c r="M4465" t="s">
        <v>1093</v>
      </c>
      <c r="N4465" t="s">
        <v>1099</v>
      </c>
      <c r="O4465">
        <f>Table1[[#This Row],[Unit_Price]]*Table1[[#This Row],[Quantity]]</f>
        <v>720</v>
      </c>
    </row>
    <row r="4466" spans="1:15" x14ac:dyDescent="0.3">
      <c r="A4466" t="s">
        <v>6290</v>
      </c>
      <c r="B4466" t="s">
        <v>1106</v>
      </c>
      <c r="C4466" t="s">
        <v>114</v>
      </c>
      <c r="D4466" t="s">
        <v>1071</v>
      </c>
      <c r="E4466">
        <v>1</v>
      </c>
      <c r="F4466">
        <f>_xlfn.XLOOKUP(Table1[[#This Row],[ProductID]],Products!A:A,Products!D:D,,0)</f>
        <v>125</v>
      </c>
      <c r="I4466">
        <v>399</v>
      </c>
      <c r="J4466">
        <v>399</v>
      </c>
      <c r="K4466" t="s">
        <v>1102</v>
      </c>
      <c r="L4466">
        <v>399</v>
      </c>
      <c r="M4466" t="s">
        <v>1118</v>
      </c>
      <c r="N4466" t="s">
        <v>1099</v>
      </c>
      <c r="O4466">
        <f>Table1[[#This Row],[Unit_Price]]*Table1[[#This Row],[Quantity]]</f>
        <v>125</v>
      </c>
    </row>
    <row r="4467" spans="1:15" x14ac:dyDescent="0.3">
      <c r="A4467" t="s">
        <v>6291</v>
      </c>
      <c r="B4467" t="s">
        <v>1101</v>
      </c>
      <c r="C4467" t="s">
        <v>905</v>
      </c>
      <c r="D4467" t="s">
        <v>1064</v>
      </c>
      <c r="E4467">
        <v>1</v>
      </c>
      <c r="F4467">
        <f>_xlfn.XLOOKUP(Table1[[#This Row],[ProductID]],Products!A:A,Products!D:D,,0)</f>
        <v>160</v>
      </c>
      <c r="I4467">
        <v>699</v>
      </c>
      <c r="J4467">
        <v>699</v>
      </c>
      <c r="K4467" t="s">
        <v>1102</v>
      </c>
      <c r="L4467">
        <v>699</v>
      </c>
      <c r="M4467" t="s">
        <v>1098</v>
      </c>
      <c r="N4467" t="s">
        <v>1094</v>
      </c>
      <c r="O4467">
        <f>Table1[[#This Row],[Unit_Price]]*Table1[[#This Row],[Quantity]]</f>
        <v>160</v>
      </c>
    </row>
    <row r="4468" spans="1:15" x14ac:dyDescent="0.3">
      <c r="A4468" t="s">
        <v>6292</v>
      </c>
      <c r="B4468" t="s">
        <v>2035</v>
      </c>
      <c r="C4468" t="s">
        <v>707</v>
      </c>
      <c r="D4468" t="s">
        <v>1075</v>
      </c>
      <c r="E4468">
        <v>1</v>
      </c>
      <c r="F4468">
        <f>_xlfn.XLOOKUP(Table1[[#This Row],[ProductID]],Products!A:A,Products!D:D,,0)</f>
        <v>80</v>
      </c>
      <c r="I4468">
        <v>499</v>
      </c>
      <c r="J4468">
        <v>424</v>
      </c>
      <c r="K4468" t="s">
        <v>1092</v>
      </c>
      <c r="L4468">
        <v>424</v>
      </c>
      <c r="M4468" t="s">
        <v>1093</v>
      </c>
      <c r="N4468" t="s">
        <v>1099</v>
      </c>
      <c r="O4468">
        <f>Table1[[#This Row],[Unit_Price]]*Table1[[#This Row],[Quantity]]</f>
        <v>80</v>
      </c>
    </row>
    <row r="4469" spans="1:15" x14ac:dyDescent="0.3">
      <c r="A4469" t="s">
        <v>6293</v>
      </c>
      <c r="B4469" t="s">
        <v>1799</v>
      </c>
      <c r="C4469" t="s">
        <v>231</v>
      </c>
      <c r="D4469" t="s">
        <v>1048</v>
      </c>
      <c r="E4469">
        <v>2</v>
      </c>
      <c r="F4469">
        <f>_xlfn.XLOOKUP(Table1[[#This Row],[ProductID]],Products!A:A,Products!D:D,,0)</f>
        <v>120</v>
      </c>
      <c r="I4469">
        <v>599</v>
      </c>
      <c r="J4469">
        <v>539</v>
      </c>
      <c r="K4469" t="s">
        <v>1107</v>
      </c>
      <c r="L4469">
        <v>1078</v>
      </c>
      <c r="M4469" t="s">
        <v>1098</v>
      </c>
      <c r="N4469" t="s">
        <v>1094</v>
      </c>
      <c r="O4469">
        <f>Table1[[#This Row],[Unit_Price]]*Table1[[#This Row],[Quantity]]</f>
        <v>240</v>
      </c>
    </row>
    <row r="4470" spans="1:15" x14ac:dyDescent="0.3">
      <c r="A4470" t="s">
        <v>6294</v>
      </c>
      <c r="B4470" t="s">
        <v>2092</v>
      </c>
      <c r="C4470" t="s">
        <v>413</v>
      </c>
      <c r="D4470" t="s">
        <v>1073</v>
      </c>
      <c r="E4470">
        <v>1</v>
      </c>
      <c r="F4470">
        <f>_xlfn.XLOOKUP(Table1[[#This Row],[ProductID]],Products!A:A,Products!D:D,,0)</f>
        <v>100</v>
      </c>
      <c r="I4470">
        <v>349</v>
      </c>
      <c r="J4470">
        <v>349</v>
      </c>
      <c r="K4470" t="s">
        <v>1102</v>
      </c>
      <c r="L4470">
        <v>349</v>
      </c>
      <c r="M4470" t="s">
        <v>1093</v>
      </c>
      <c r="N4470" t="s">
        <v>1123</v>
      </c>
      <c r="O4470">
        <f>Table1[[#This Row],[Unit_Price]]*Table1[[#This Row],[Quantity]]</f>
        <v>100</v>
      </c>
    </row>
    <row r="4471" spans="1:15" x14ac:dyDescent="0.3">
      <c r="A4471" t="s">
        <v>6295</v>
      </c>
      <c r="B4471" t="s">
        <v>2576</v>
      </c>
      <c r="C4471" t="s">
        <v>361</v>
      </c>
      <c r="D4471" t="s">
        <v>1059</v>
      </c>
      <c r="E4471">
        <v>1</v>
      </c>
      <c r="F4471">
        <f>_xlfn.XLOOKUP(Table1[[#This Row],[ProductID]],Products!A:A,Products!D:D,,0)</f>
        <v>110</v>
      </c>
      <c r="I4471">
        <v>399</v>
      </c>
      <c r="J4471">
        <v>399</v>
      </c>
      <c r="K4471" t="s">
        <v>1102</v>
      </c>
      <c r="L4471">
        <v>399</v>
      </c>
      <c r="M4471" t="s">
        <v>1093</v>
      </c>
      <c r="N4471" t="s">
        <v>1099</v>
      </c>
      <c r="O4471">
        <f>Table1[[#This Row],[Unit_Price]]*Table1[[#This Row],[Quantity]]</f>
        <v>110</v>
      </c>
    </row>
    <row r="4472" spans="1:15" x14ac:dyDescent="0.3">
      <c r="A4472" t="s">
        <v>6296</v>
      </c>
      <c r="B4472" t="s">
        <v>2418</v>
      </c>
      <c r="C4472" t="s">
        <v>1013</v>
      </c>
      <c r="D4472" t="s">
        <v>1062</v>
      </c>
      <c r="E4472">
        <v>1</v>
      </c>
      <c r="F4472">
        <f>_xlfn.XLOOKUP(Table1[[#This Row],[ProductID]],Products!A:A,Products!D:D,,0)</f>
        <v>95</v>
      </c>
      <c r="I4472">
        <v>349</v>
      </c>
      <c r="J4472">
        <v>297</v>
      </c>
      <c r="K4472" t="s">
        <v>1092</v>
      </c>
      <c r="L4472">
        <v>297</v>
      </c>
      <c r="M4472" t="s">
        <v>1118</v>
      </c>
      <c r="N4472" t="s">
        <v>1099</v>
      </c>
      <c r="O4472">
        <f>Table1[[#This Row],[Unit_Price]]*Table1[[#This Row],[Quantity]]</f>
        <v>95</v>
      </c>
    </row>
    <row r="4473" spans="1:15" x14ac:dyDescent="0.3">
      <c r="A4473" t="s">
        <v>6297</v>
      </c>
      <c r="B4473" t="s">
        <v>2075</v>
      </c>
      <c r="C4473" t="s">
        <v>539</v>
      </c>
      <c r="D4473" t="s">
        <v>1075</v>
      </c>
      <c r="E4473">
        <v>1</v>
      </c>
      <c r="F4473">
        <f>_xlfn.XLOOKUP(Table1[[#This Row],[ProductID]],Products!A:A,Products!D:D,,0)</f>
        <v>80</v>
      </c>
      <c r="I4473">
        <v>499</v>
      </c>
      <c r="J4473">
        <v>399</v>
      </c>
      <c r="K4473" t="s">
        <v>1097</v>
      </c>
      <c r="L4473">
        <v>399</v>
      </c>
      <c r="M4473" t="s">
        <v>1093</v>
      </c>
      <c r="N4473" t="s">
        <v>1099</v>
      </c>
      <c r="O4473">
        <f>Table1[[#This Row],[Unit_Price]]*Table1[[#This Row],[Quantity]]</f>
        <v>80</v>
      </c>
    </row>
    <row r="4474" spans="1:15" x14ac:dyDescent="0.3">
      <c r="A4474" t="s">
        <v>6298</v>
      </c>
      <c r="B4474" t="s">
        <v>1252</v>
      </c>
      <c r="C4474" t="s">
        <v>251</v>
      </c>
      <c r="D4474" t="s">
        <v>1066</v>
      </c>
      <c r="E4474">
        <v>1</v>
      </c>
      <c r="F4474">
        <f>_xlfn.XLOOKUP(Table1[[#This Row],[ProductID]],Products!A:A,Products!D:D,,0)</f>
        <v>140</v>
      </c>
      <c r="I4474">
        <v>499</v>
      </c>
      <c r="J4474">
        <v>449</v>
      </c>
      <c r="K4474" t="s">
        <v>1107</v>
      </c>
      <c r="L4474">
        <v>449</v>
      </c>
      <c r="M4474" t="s">
        <v>1126</v>
      </c>
      <c r="N4474" t="s">
        <v>1099</v>
      </c>
      <c r="O4474">
        <f>Table1[[#This Row],[Unit_Price]]*Table1[[#This Row],[Quantity]]</f>
        <v>140</v>
      </c>
    </row>
    <row r="4475" spans="1:15" x14ac:dyDescent="0.3">
      <c r="A4475" t="s">
        <v>6299</v>
      </c>
      <c r="B4475" t="s">
        <v>1688</v>
      </c>
      <c r="C4475" t="s">
        <v>343</v>
      </c>
      <c r="D4475" t="s">
        <v>1059</v>
      </c>
      <c r="E4475">
        <v>2</v>
      </c>
      <c r="F4475">
        <f>_xlfn.XLOOKUP(Table1[[#This Row],[ProductID]],Products!A:A,Products!D:D,,0)</f>
        <v>110</v>
      </c>
      <c r="I4475">
        <v>399</v>
      </c>
      <c r="J4475">
        <v>339</v>
      </c>
      <c r="K4475" t="s">
        <v>1092</v>
      </c>
      <c r="L4475">
        <v>678</v>
      </c>
      <c r="M4475" t="s">
        <v>1098</v>
      </c>
      <c r="N4475" t="s">
        <v>1099</v>
      </c>
      <c r="O4475">
        <f>Table1[[#This Row],[Unit_Price]]*Table1[[#This Row],[Quantity]]</f>
        <v>220</v>
      </c>
    </row>
    <row r="4476" spans="1:15" x14ac:dyDescent="0.3">
      <c r="A4476" t="s">
        <v>6300</v>
      </c>
      <c r="B4476" t="s">
        <v>1111</v>
      </c>
      <c r="C4476" t="s">
        <v>461</v>
      </c>
      <c r="D4476" t="s">
        <v>1064</v>
      </c>
      <c r="E4476">
        <v>1</v>
      </c>
      <c r="F4476">
        <f>_xlfn.XLOOKUP(Table1[[#This Row],[ProductID]],Products!A:A,Products!D:D,,0)</f>
        <v>160</v>
      </c>
      <c r="I4476">
        <v>699</v>
      </c>
      <c r="J4476">
        <v>594</v>
      </c>
      <c r="K4476" t="s">
        <v>1092</v>
      </c>
      <c r="L4476">
        <v>594</v>
      </c>
      <c r="M4476" t="s">
        <v>1093</v>
      </c>
      <c r="N4476" t="s">
        <v>1094</v>
      </c>
      <c r="O4476">
        <f>Table1[[#This Row],[Unit_Price]]*Table1[[#This Row],[Quantity]]</f>
        <v>160</v>
      </c>
    </row>
    <row r="4477" spans="1:15" x14ac:dyDescent="0.3">
      <c r="A4477" t="s">
        <v>6301</v>
      </c>
      <c r="B4477" t="s">
        <v>1875</v>
      </c>
      <c r="C4477" t="s">
        <v>445</v>
      </c>
      <c r="D4477" t="s">
        <v>1071</v>
      </c>
      <c r="E4477">
        <v>4</v>
      </c>
      <c r="F4477">
        <f>_xlfn.XLOOKUP(Table1[[#This Row],[ProductID]],Products!A:A,Products!D:D,,0)</f>
        <v>125</v>
      </c>
      <c r="I4477">
        <v>399</v>
      </c>
      <c r="J4477">
        <v>399</v>
      </c>
      <c r="K4477" t="s">
        <v>1102</v>
      </c>
      <c r="L4477">
        <v>1596</v>
      </c>
      <c r="M4477" t="s">
        <v>1098</v>
      </c>
      <c r="N4477" t="s">
        <v>1099</v>
      </c>
      <c r="O4477">
        <f>Table1[[#This Row],[Unit_Price]]*Table1[[#This Row],[Quantity]]</f>
        <v>500</v>
      </c>
    </row>
    <row r="4478" spans="1:15" x14ac:dyDescent="0.3">
      <c r="A4478" t="s">
        <v>6302</v>
      </c>
      <c r="B4478" t="s">
        <v>1664</v>
      </c>
      <c r="C4478" t="s">
        <v>387</v>
      </c>
      <c r="D4478" t="s">
        <v>1080</v>
      </c>
      <c r="E4478">
        <v>2</v>
      </c>
      <c r="F4478">
        <f>_xlfn.XLOOKUP(Table1[[#This Row],[ProductID]],Products!A:A,Products!D:D,,0)</f>
        <v>45</v>
      </c>
      <c r="I4478">
        <v>249</v>
      </c>
      <c r="J4478">
        <v>249</v>
      </c>
      <c r="K4478" t="s">
        <v>1102</v>
      </c>
      <c r="L4478">
        <v>498</v>
      </c>
      <c r="M4478" t="s">
        <v>1093</v>
      </c>
      <c r="N4478" t="s">
        <v>1094</v>
      </c>
      <c r="O4478">
        <f>Table1[[#This Row],[Unit_Price]]*Table1[[#This Row],[Quantity]]</f>
        <v>90</v>
      </c>
    </row>
    <row r="4479" spans="1:15" x14ac:dyDescent="0.3">
      <c r="A4479" t="s">
        <v>6303</v>
      </c>
      <c r="B4479" t="s">
        <v>2541</v>
      </c>
      <c r="C4479" t="s">
        <v>1019</v>
      </c>
      <c r="D4479" t="s">
        <v>1059</v>
      </c>
      <c r="E4479">
        <v>4</v>
      </c>
      <c r="F4479">
        <f>_xlfn.XLOOKUP(Table1[[#This Row],[ProductID]],Products!A:A,Products!D:D,,0)</f>
        <v>110</v>
      </c>
      <c r="I4479">
        <v>399</v>
      </c>
      <c r="J4479">
        <v>399</v>
      </c>
      <c r="K4479" t="s">
        <v>1102</v>
      </c>
      <c r="L4479">
        <v>1596</v>
      </c>
      <c r="M4479" t="s">
        <v>1093</v>
      </c>
      <c r="N4479" t="s">
        <v>1099</v>
      </c>
      <c r="O4479">
        <f>Table1[[#This Row],[Unit_Price]]*Table1[[#This Row],[Quantity]]</f>
        <v>440</v>
      </c>
    </row>
    <row r="4480" spans="1:15" x14ac:dyDescent="0.3">
      <c r="A4480" t="s">
        <v>6304</v>
      </c>
      <c r="B4480" t="s">
        <v>1122</v>
      </c>
      <c r="C4480" t="s">
        <v>1015</v>
      </c>
      <c r="D4480" t="s">
        <v>1059</v>
      </c>
      <c r="E4480">
        <v>1</v>
      </c>
      <c r="F4480">
        <f>_xlfn.XLOOKUP(Table1[[#This Row],[ProductID]],Products!A:A,Products!D:D,,0)</f>
        <v>110</v>
      </c>
      <c r="I4480">
        <v>399</v>
      </c>
      <c r="J4480">
        <v>319</v>
      </c>
      <c r="K4480" t="s">
        <v>1097</v>
      </c>
      <c r="L4480">
        <v>319</v>
      </c>
      <c r="M4480" t="s">
        <v>1098</v>
      </c>
      <c r="N4480" t="s">
        <v>1099</v>
      </c>
      <c r="O4480">
        <f>Table1[[#This Row],[Unit_Price]]*Table1[[#This Row],[Quantity]]</f>
        <v>110</v>
      </c>
    </row>
    <row r="4481" spans="1:15" x14ac:dyDescent="0.3">
      <c r="A4481" t="s">
        <v>6305</v>
      </c>
      <c r="B4481" t="s">
        <v>3694</v>
      </c>
      <c r="C4481" t="s">
        <v>997</v>
      </c>
      <c r="D4481" t="s">
        <v>1064</v>
      </c>
      <c r="E4481">
        <v>2</v>
      </c>
      <c r="F4481">
        <f>_xlfn.XLOOKUP(Table1[[#This Row],[ProductID]],Products!A:A,Products!D:D,,0)</f>
        <v>160</v>
      </c>
      <c r="I4481">
        <v>699</v>
      </c>
      <c r="J4481">
        <v>629</v>
      </c>
      <c r="K4481" t="s">
        <v>1107</v>
      </c>
      <c r="L4481">
        <v>1258</v>
      </c>
      <c r="M4481" t="s">
        <v>1093</v>
      </c>
      <c r="N4481" t="s">
        <v>1099</v>
      </c>
      <c r="O4481">
        <f>Table1[[#This Row],[Unit_Price]]*Table1[[#This Row],[Quantity]]</f>
        <v>320</v>
      </c>
    </row>
    <row r="4482" spans="1:15" x14ac:dyDescent="0.3">
      <c r="A4482" t="s">
        <v>6306</v>
      </c>
      <c r="B4482" t="s">
        <v>2025</v>
      </c>
      <c r="C4482" t="s">
        <v>837</v>
      </c>
      <c r="D4482" t="s">
        <v>1078</v>
      </c>
      <c r="E4482">
        <v>1</v>
      </c>
      <c r="F4482">
        <f>_xlfn.XLOOKUP(Table1[[#This Row],[ProductID]],Products!A:A,Products!D:D,,0)</f>
        <v>80</v>
      </c>
      <c r="I4482">
        <v>499</v>
      </c>
      <c r="J4482">
        <v>399</v>
      </c>
      <c r="K4482" t="s">
        <v>1097</v>
      </c>
      <c r="L4482">
        <v>399</v>
      </c>
      <c r="M4482" t="s">
        <v>1098</v>
      </c>
      <c r="N4482" t="s">
        <v>1099</v>
      </c>
      <c r="O4482">
        <f>Table1[[#This Row],[Unit_Price]]*Table1[[#This Row],[Quantity]]</f>
        <v>80</v>
      </c>
    </row>
    <row r="4483" spans="1:15" x14ac:dyDescent="0.3">
      <c r="A4483" t="s">
        <v>6307</v>
      </c>
      <c r="B4483" t="s">
        <v>2227</v>
      </c>
      <c r="C4483" t="s">
        <v>237</v>
      </c>
      <c r="D4483" t="s">
        <v>1075</v>
      </c>
      <c r="E4483">
        <v>4</v>
      </c>
      <c r="F4483">
        <f>_xlfn.XLOOKUP(Table1[[#This Row],[ProductID]],Products!A:A,Products!D:D,,0)</f>
        <v>80</v>
      </c>
      <c r="I4483">
        <v>499</v>
      </c>
      <c r="J4483">
        <v>499</v>
      </c>
      <c r="K4483" t="s">
        <v>1102</v>
      </c>
      <c r="L4483">
        <v>1996</v>
      </c>
      <c r="M4483" t="s">
        <v>1098</v>
      </c>
      <c r="N4483" t="s">
        <v>1099</v>
      </c>
      <c r="O4483">
        <f>Table1[[#This Row],[Unit_Price]]*Table1[[#This Row],[Quantity]]</f>
        <v>320</v>
      </c>
    </row>
    <row r="4484" spans="1:15" x14ac:dyDescent="0.3">
      <c r="A4484" t="s">
        <v>6308</v>
      </c>
      <c r="B4484" t="s">
        <v>1842</v>
      </c>
      <c r="C4484" t="s">
        <v>99</v>
      </c>
      <c r="D4484" t="s">
        <v>1075</v>
      </c>
      <c r="E4484">
        <v>1</v>
      </c>
      <c r="F4484">
        <f>_xlfn.XLOOKUP(Table1[[#This Row],[ProductID]],Products!A:A,Products!D:D,,0)</f>
        <v>80</v>
      </c>
      <c r="I4484">
        <v>499</v>
      </c>
      <c r="J4484">
        <v>399</v>
      </c>
      <c r="K4484" t="s">
        <v>1097</v>
      </c>
      <c r="L4484">
        <v>399</v>
      </c>
      <c r="M4484" t="s">
        <v>1126</v>
      </c>
      <c r="N4484" t="s">
        <v>1099</v>
      </c>
      <c r="O4484">
        <f>Table1[[#This Row],[Unit_Price]]*Table1[[#This Row],[Quantity]]</f>
        <v>80</v>
      </c>
    </row>
    <row r="4485" spans="1:15" x14ac:dyDescent="0.3">
      <c r="A4485" t="s">
        <v>6309</v>
      </c>
      <c r="B4485" t="s">
        <v>1258</v>
      </c>
      <c r="C4485" t="s">
        <v>487</v>
      </c>
      <c r="D4485" t="s">
        <v>1075</v>
      </c>
      <c r="E4485">
        <v>1</v>
      </c>
      <c r="F4485">
        <f>_xlfn.XLOOKUP(Table1[[#This Row],[ProductID]],Products!A:A,Products!D:D,,0)</f>
        <v>80</v>
      </c>
      <c r="I4485">
        <v>499</v>
      </c>
      <c r="J4485">
        <v>499</v>
      </c>
      <c r="K4485" t="s">
        <v>1102</v>
      </c>
      <c r="L4485">
        <v>499</v>
      </c>
      <c r="M4485" t="s">
        <v>1118</v>
      </c>
      <c r="N4485" t="s">
        <v>1099</v>
      </c>
      <c r="O4485">
        <f>Table1[[#This Row],[Unit_Price]]*Table1[[#This Row],[Quantity]]</f>
        <v>80</v>
      </c>
    </row>
    <row r="4486" spans="1:15" x14ac:dyDescent="0.3">
      <c r="A4486" t="s">
        <v>6310</v>
      </c>
      <c r="B4486" t="s">
        <v>1331</v>
      </c>
      <c r="C4486" t="s">
        <v>369</v>
      </c>
      <c r="D4486" t="s">
        <v>1071</v>
      </c>
      <c r="E4486">
        <v>1</v>
      </c>
      <c r="F4486">
        <f>_xlfn.XLOOKUP(Table1[[#This Row],[ProductID]],Products!A:A,Products!D:D,,0)</f>
        <v>125</v>
      </c>
      <c r="I4486">
        <v>399</v>
      </c>
      <c r="J4486">
        <v>319</v>
      </c>
      <c r="K4486" t="s">
        <v>1097</v>
      </c>
      <c r="L4486">
        <v>319</v>
      </c>
      <c r="M4486" t="s">
        <v>1098</v>
      </c>
      <c r="N4486" t="s">
        <v>1099</v>
      </c>
      <c r="O4486">
        <f>Table1[[#This Row],[Unit_Price]]*Table1[[#This Row],[Quantity]]</f>
        <v>125</v>
      </c>
    </row>
    <row r="4487" spans="1:15" x14ac:dyDescent="0.3">
      <c r="A4487" t="s">
        <v>6311</v>
      </c>
      <c r="B4487" t="s">
        <v>1575</v>
      </c>
      <c r="C4487" t="s">
        <v>463</v>
      </c>
      <c r="D4487" t="s">
        <v>1062</v>
      </c>
      <c r="E4487">
        <v>1</v>
      </c>
      <c r="F4487">
        <f>_xlfn.XLOOKUP(Table1[[#This Row],[ProductID]],Products!A:A,Products!D:D,,0)</f>
        <v>95</v>
      </c>
      <c r="I4487">
        <v>349</v>
      </c>
      <c r="J4487">
        <v>349</v>
      </c>
      <c r="K4487" t="s">
        <v>1102</v>
      </c>
      <c r="L4487">
        <v>349</v>
      </c>
      <c r="M4487" t="s">
        <v>1098</v>
      </c>
      <c r="N4487" t="s">
        <v>1099</v>
      </c>
      <c r="O4487">
        <f>Table1[[#This Row],[Unit_Price]]*Table1[[#This Row],[Quantity]]</f>
        <v>95</v>
      </c>
    </row>
    <row r="4488" spans="1:15" x14ac:dyDescent="0.3">
      <c r="A4488" t="s">
        <v>6312</v>
      </c>
      <c r="B4488" t="s">
        <v>1799</v>
      </c>
      <c r="C4488" t="s">
        <v>987</v>
      </c>
      <c r="D4488" t="s">
        <v>1051</v>
      </c>
      <c r="E4488">
        <v>1</v>
      </c>
      <c r="F4488">
        <f>_xlfn.XLOOKUP(Table1[[#This Row],[ProductID]],Products!A:A,Products!D:D,,0)</f>
        <v>150</v>
      </c>
      <c r="I4488">
        <v>499</v>
      </c>
      <c r="J4488">
        <v>399</v>
      </c>
      <c r="K4488" t="s">
        <v>1097</v>
      </c>
      <c r="L4488">
        <v>399</v>
      </c>
      <c r="M4488" t="s">
        <v>1093</v>
      </c>
      <c r="N4488" t="s">
        <v>1123</v>
      </c>
      <c r="O4488">
        <f>Table1[[#This Row],[Unit_Price]]*Table1[[#This Row],[Quantity]]</f>
        <v>150</v>
      </c>
    </row>
    <row r="4489" spans="1:15" x14ac:dyDescent="0.3">
      <c r="A4489" t="s">
        <v>6313</v>
      </c>
      <c r="B4489" t="s">
        <v>2202</v>
      </c>
      <c r="C4489" t="s">
        <v>79</v>
      </c>
      <c r="D4489" t="s">
        <v>1078</v>
      </c>
      <c r="E4489">
        <v>2</v>
      </c>
      <c r="F4489">
        <f>_xlfn.XLOOKUP(Table1[[#This Row],[ProductID]],Products!A:A,Products!D:D,,0)</f>
        <v>80</v>
      </c>
      <c r="I4489">
        <v>499</v>
      </c>
      <c r="J4489">
        <v>449</v>
      </c>
      <c r="K4489" t="s">
        <v>1107</v>
      </c>
      <c r="L4489">
        <v>898</v>
      </c>
      <c r="M4489" t="s">
        <v>1093</v>
      </c>
      <c r="N4489" t="s">
        <v>1099</v>
      </c>
      <c r="O4489">
        <f>Table1[[#This Row],[Unit_Price]]*Table1[[#This Row],[Quantity]]</f>
        <v>160</v>
      </c>
    </row>
    <row r="4490" spans="1:15" x14ac:dyDescent="0.3">
      <c r="A4490" t="s">
        <v>6314</v>
      </c>
      <c r="B4490" t="s">
        <v>1144</v>
      </c>
      <c r="C4490" t="s">
        <v>1019</v>
      </c>
      <c r="D4490" t="s">
        <v>1080</v>
      </c>
      <c r="E4490">
        <v>1</v>
      </c>
      <c r="F4490">
        <f>_xlfn.XLOOKUP(Table1[[#This Row],[ProductID]],Products!A:A,Products!D:D,,0)</f>
        <v>45</v>
      </c>
      <c r="I4490">
        <v>249</v>
      </c>
      <c r="J4490">
        <v>212</v>
      </c>
      <c r="K4490" t="s">
        <v>1092</v>
      </c>
      <c r="L4490">
        <v>212</v>
      </c>
      <c r="M4490" t="s">
        <v>1093</v>
      </c>
      <c r="N4490" t="s">
        <v>1099</v>
      </c>
      <c r="O4490">
        <f>Table1[[#This Row],[Unit_Price]]*Table1[[#This Row],[Quantity]]</f>
        <v>45</v>
      </c>
    </row>
    <row r="4491" spans="1:15" x14ac:dyDescent="0.3">
      <c r="A4491" t="s">
        <v>6315</v>
      </c>
      <c r="B4491" t="s">
        <v>1597</v>
      </c>
      <c r="C4491" t="s">
        <v>605</v>
      </c>
      <c r="D4491" t="s">
        <v>1064</v>
      </c>
      <c r="E4491">
        <v>2</v>
      </c>
      <c r="F4491">
        <f>_xlfn.XLOOKUP(Table1[[#This Row],[ProductID]],Products!A:A,Products!D:D,,0)</f>
        <v>160</v>
      </c>
      <c r="I4491">
        <v>699</v>
      </c>
      <c r="J4491">
        <v>559</v>
      </c>
      <c r="K4491" t="s">
        <v>1097</v>
      </c>
      <c r="L4491">
        <v>1118</v>
      </c>
      <c r="M4491" t="s">
        <v>1093</v>
      </c>
      <c r="N4491" t="s">
        <v>1099</v>
      </c>
      <c r="O4491">
        <f>Table1[[#This Row],[Unit_Price]]*Table1[[#This Row],[Quantity]]</f>
        <v>320</v>
      </c>
    </row>
    <row r="4492" spans="1:15" x14ac:dyDescent="0.3">
      <c r="A4492" t="s">
        <v>6316</v>
      </c>
      <c r="B4492" t="s">
        <v>1768</v>
      </c>
      <c r="C4492" t="s">
        <v>245</v>
      </c>
      <c r="D4492" t="s">
        <v>1078</v>
      </c>
      <c r="E4492">
        <v>2</v>
      </c>
      <c r="F4492">
        <f>_xlfn.XLOOKUP(Table1[[#This Row],[ProductID]],Products!A:A,Products!D:D,,0)</f>
        <v>80</v>
      </c>
      <c r="I4492">
        <v>499</v>
      </c>
      <c r="J4492">
        <v>449</v>
      </c>
      <c r="K4492" t="s">
        <v>1107</v>
      </c>
      <c r="L4492">
        <v>898</v>
      </c>
      <c r="M4492" t="s">
        <v>1098</v>
      </c>
      <c r="N4492" t="s">
        <v>1123</v>
      </c>
      <c r="O4492">
        <f>Table1[[#This Row],[Unit_Price]]*Table1[[#This Row],[Quantity]]</f>
        <v>160</v>
      </c>
    </row>
    <row r="4493" spans="1:15" x14ac:dyDescent="0.3">
      <c r="A4493" t="s">
        <v>6317</v>
      </c>
      <c r="B4493" t="s">
        <v>3213</v>
      </c>
      <c r="C4493" t="s">
        <v>279</v>
      </c>
      <c r="D4493" t="s">
        <v>1057</v>
      </c>
      <c r="E4493">
        <v>2</v>
      </c>
      <c r="F4493">
        <f>_xlfn.XLOOKUP(Table1[[#This Row],[ProductID]],Products!A:A,Products!D:D,,0)</f>
        <v>130</v>
      </c>
      <c r="I4493">
        <v>549</v>
      </c>
      <c r="J4493">
        <v>439</v>
      </c>
      <c r="K4493" t="s">
        <v>1097</v>
      </c>
      <c r="L4493">
        <v>878</v>
      </c>
      <c r="M4493" t="s">
        <v>1093</v>
      </c>
      <c r="N4493" t="s">
        <v>1099</v>
      </c>
      <c r="O4493">
        <f>Table1[[#This Row],[Unit_Price]]*Table1[[#This Row],[Quantity]]</f>
        <v>260</v>
      </c>
    </row>
    <row r="4494" spans="1:15" x14ac:dyDescent="0.3">
      <c r="A4494" t="s">
        <v>6318</v>
      </c>
      <c r="B4494" t="s">
        <v>1392</v>
      </c>
      <c r="C4494" t="s">
        <v>1035</v>
      </c>
      <c r="D4494" t="s">
        <v>1073</v>
      </c>
      <c r="E4494">
        <v>1</v>
      </c>
      <c r="F4494">
        <f>_xlfn.XLOOKUP(Table1[[#This Row],[ProductID]],Products!A:A,Products!D:D,,0)</f>
        <v>100</v>
      </c>
      <c r="I4494">
        <v>349</v>
      </c>
      <c r="J4494">
        <v>297</v>
      </c>
      <c r="K4494" t="s">
        <v>1092</v>
      </c>
      <c r="L4494">
        <v>297</v>
      </c>
      <c r="M4494" t="s">
        <v>1118</v>
      </c>
      <c r="N4494" t="s">
        <v>1099</v>
      </c>
      <c r="O4494">
        <f>Table1[[#This Row],[Unit_Price]]*Table1[[#This Row],[Quantity]]</f>
        <v>100</v>
      </c>
    </row>
    <row r="4495" spans="1:15" x14ac:dyDescent="0.3">
      <c r="A4495" t="s">
        <v>6319</v>
      </c>
      <c r="B4495" t="s">
        <v>3562</v>
      </c>
      <c r="C4495" t="s">
        <v>867</v>
      </c>
      <c r="D4495" t="s">
        <v>1064</v>
      </c>
      <c r="E4495">
        <v>1</v>
      </c>
      <c r="F4495">
        <f>_xlfn.XLOOKUP(Table1[[#This Row],[ProductID]],Products!A:A,Products!D:D,,0)</f>
        <v>160</v>
      </c>
      <c r="I4495">
        <v>699</v>
      </c>
      <c r="J4495">
        <v>629</v>
      </c>
      <c r="K4495" t="s">
        <v>1107</v>
      </c>
      <c r="L4495">
        <v>629</v>
      </c>
      <c r="M4495" t="s">
        <v>1098</v>
      </c>
      <c r="N4495" t="s">
        <v>1099</v>
      </c>
      <c r="O4495">
        <f>Table1[[#This Row],[Unit_Price]]*Table1[[#This Row],[Quantity]]</f>
        <v>160</v>
      </c>
    </row>
    <row r="4496" spans="1:15" x14ac:dyDescent="0.3">
      <c r="A4496" t="s">
        <v>6320</v>
      </c>
      <c r="B4496" t="s">
        <v>1160</v>
      </c>
      <c r="C4496" t="s">
        <v>627</v>
      </c>
      <c r="D4496" t="s">
        <v>1078</v>
      </c>
      <c r="E4496">
        <v>1</v>
      </c>
      <c r="F4496">
        <f>_xlfn.XLOOKUP(Table1[[#This Row],[ProductID]],Products!A:A,Products!D:D,,0)</f>
        <v>80</v>
      </c>
      <c r="I4496">
        <v>499</v>
      </c>
      <c r="J4496">
        <v>399</v>
      </c>
      <c r="K4496" t="s">
        <v>1097</v>
      </c>
      <c r="L4496">
        <v>399</v>
      </c>
      <c r="M4496" t="s">
        <v>1118</v>
      </c>
      <c r="N4496" t="s">
        <v>1099</v>
      </c>
      <c r="O4496">
        <f>Table1[[#This Row],[Unit_Price]]*Table1[[#This Row],[Quantity]]</f>
        <v>80</v>
      </c>
    </row>
    <row r="4497" spans="1:15" x14ac:dyDescent="0.3">
      <c r="A4497" t="s">
        <v>6321</v>
      </c>
      <c r="B4497" t="s">
        <v>1862</v>
      </c>
      <c r="C4497" t="s">
        <v>411</v>
      </c>
      <c r="D4497" t="s">
        <v>1071</v>
      </c>
      <c r="E4497">
        <v>1</v>
      </c>
      <c r="F4497">
        <f>_xlfn.XLOOKUP(Table1[[#This Row],[ProductID]],Products!A:A,Products!D:D,,0)</f>
        <v>125</v>
      </c>
      <c r="I4497">
        <v>399</v>
      </c>
      <c r="J4497">
        <v>399</v>
      </c>
      <c r="K4497" t="s">
        <v>1102</v>
      </c>
      <c r="L4497">
        <v>399</v>
      </c>
      <c r="M4497" t="s">
        <v>1098</v>
      </c>
      <c r="N4497" t="s">
        <v>1099</v>
      </c>
      <c r="O4497">
        <f>Table1[[#This Row],[Unit_Price]]*Table1[[#This Row],[Quantity]]</f>
        <v>125</v>
      </c>
    </row>
    <row r="4498" spans="1:15" x14ac:dyDescent="0.3">
      <c r="A4498" t="s">
        <v>6322</v>
      </c>
      <c r="B4498" t="s">
        <v>1370</v>
      </c>
      <c r="C4498" t="s">
        <v>583</v>
      </c>
      <c r="D4498" t="s">
        <v>1073</v>
      </c>
      <c r="E4498">
        <v>1</v>
      </c>
      <c r="F4498">
        <f>_xlfn.XLOOKUP(Table1[[#This Row],[ProductID]],Products!A:A,Products!D:D,,0)</f>
        <v>100</v>
      </c>
      <c r="I4498">
        <v>349</v>
      </c>
      <c r="J4498">
        <v>279</v>
      </c>
      <c r="K4498" t="s">
        <v>1097</v>
      </c>
      <c r="L4498">
        <v>279</v>
      </c>
      <c r="M4498" t="s">
        <v>1098</v>
      </c>
      <c r="N4498" t="s">
        <v>1099</v>
      </c>
      <c r="O4498">
        <f>Table1[[#This Row],[Unit_Price]]*Table1[[#This Row],[Quantity]]</f>
        <v>100</v>
      </c>
    </row>
    <row r="4499" spans="1:15" x14ac:dyDescent="0.3">
      <c r="A4499" t="s">
        <v>6323</v>
      </c>
      <c r="B4499" t="s">
        <v>1808</v>
      </c>
      <c r="C4499" t="s">
        <v>29</v>
      </c>
      <c r="D4499" t="s">
        <v>1071</v>
      </c>
      <c r="E4499">
        <v>1</v>
      </c>
      <c r="F4499">
        <f>_xlfn.XLOOKUP(Table1[[#This Row],[ProductID]],Products!A:A,Products!D:D,,0)</f>
        <v>125</v>
      </c>
      <c r="I4499">
        <v>399</v>
      </c>
      <c r="J4499">
        <v>399</v>
      </c>
      <c r="K4499" t="s">
        <v>1102</v>
      </c>
      <c r="L4499">
        <v>399</v>
      </c>
      <c r="M4499" t="s">
        <v>1098</v>
      </c>
      <c r="N4499" t="s">
        <v>1099</v>
      </c>
      <c r="O4499">
        <f>Table1[[#This Row],[Unit_Price]]*Table1[[#This Row],[Quantity]]</f>
        <v>125</v>
      </c>
    </row>
    <row r="4500" spans="1:15" x14ac:dyDescent="0.3">
      <c r="A4500" t="s">
        <v>6324</v>
      </c>
      <c r="B4500" t="s">
        <v>2152</v>
      </c>
      <c r="C4500" t="s">
        <v>611</v>
      </c>
      <c r="D4500" t="s">
        <v>1048</v>
      </c>
      <c r="E4500">
        <v>2</v>
      </c>
      <c r="F4500">
        <f>_xlfn.XLOOKUP(Table1[[#This Row],[ProductID]],Products!A:A,Products!D:D,,0)</f>
        <v>120</v>
      </c>
      <c r="I4500">
        <v>599</v>
      </c>
      <c r="J4500">
        <v>479</v>
      </c>
      <c r="K4500" t="s">
        <v>1097</v>
      </c>
      <c r="L4500">
        <v>958</v>
      </c>
      <c r="M4500" t="s">
        <v>1093</v>
      </c>
      <c r="N4500" t="s">
        <v>1099</v>
      </c>
      <c r="O4500">
        <f>Table1[[#This Row],[Unit_Price]]*Table1[[#This Row],[Quantity]]</f>
        <v>240</v>
      </c>
    </row>
    <row r="4501" spans="1:15" x14ac:dyDescent="0.3">
      <c r="A4501" t="s">
        <v>6325</v>
      </c>
      <c r="B4501" t="s">
        <v>2565</v>
      </c>
      <c r="C4501" t="s">
        <v>955</v>
      </c>
      <c r="D4501" t="s">
        <v>1051</v>
      </c>
      <c r="E4501">
        <v>1</v>
      </c>
      <c r="F4501">
        <f>_xlfn.XLOOKUP(Table1[[#This Row],[ProductID]],Products!A:A,Products!D:D,,0)</f>
        <v>150</v>
      </c>
      <c r="I4501">
        <v>499</v>
      </c>
      <c r="J4501">
        <v>499</v>
      </c>
      <c r="K4501" t="s">
        <v>1102</v>
      </c>
      <c r="L4501">
        <v>499</v>
      </c>
      <c r="M4501" t="s">
        <v>1098</v>
      </c>
      <c r="N4501" t="s">
        <v>1099</v>
      </c>
      <c r="O4501">
        <f>Table1[[#This Row],[Unit_Price]]*Table1[[#This Row],[Quantity]]</f>
        <v>150</v>
      </c>
    </row>
  </sheetData>
  <phoneticPr fontId="3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4FEE5-C74C-42B9-8EBB-F086EE6FA6BC}">
  <dimension ref="B2:G11"/>
  <sheetViews>
    <sheetView workbookViewId="0">
      <selection activeCell="D8" sqref="D8"/>
    </sheetView>
  </sheetViews>
  <sheetFormatPr defaultRowHeight="14.4" x14ac:dyDescent="0.3"/>
  <cols>
    <col min="2" max="2" width="14.5546875" customWidth="1"/>
    <col min="3" max="3" width="11.6640625" customWidth="1"/>
    <col min="4" max="4" width="9.5546875" bestFit="1" customWidth="1"/>
  </cols>
  <sheetData>
    <row r="2" spans="2:7" x14ac:dyDescent="0.3">
      <c r="B2" t="s">
        <v>6326</v>
      </c>
      <c r="C2" t="s">
        <v>6327</v>
      </c>
      <c r="D2" t="s">
        <v>6329</v>
      </c>
    </row>
    <row r="3" spans="2:7" x14ac:dyDescent="0.3">
      <c r="B3" t="str" cm="1">
        <f t="array" ref="B3:B5">_xlfn.UNIQUE(Orders!N4477:N4501)</f>
        <v>Delivered</v>
      </c>
      <c r="C3">
        <f>COUNTIF(Orders!N:N,Sheet1!B3)</f>
        <v>3570</v>
      </c>
      <c r="D3" s="2">
        <f>C3/C6*100</f>
        <v>79.333333333333329</v>
      </c>
    </row>
    <row r="4" spans="2:7" x14ac:dyDescent="0.3">
      <c r="B4" t="str">
        <v>RTO</v>
      </c>
      <c r="C4">
        <f>COUNTIF(Orders!N:N,Sheet1!B4)</f>
        <v>625</v>
      </c>
      <c r="D4" s="2">
        <f>C4/C6*100</f>
        <v>13.888888888888889</v>
      </c>
    </row>
    <row r="5" spans="2:7" x14ac:dyDescent="0.3">
      <c r="B5" t="str">
        <v>Cancelled</v>
      </c>
      <c r="C5">
        <f>COUNTIF(Orders!N:N,Sheet1!B5)</f>
        <v>305</v>
      </c>
      <c r="D5" s="2">
        <f>C5/C6*100</f>
        <v>6.7777777777777786</v>
      </c>
    </row>
    <row r="6" spans="2:7" x14ac:dyDescent="0.3">
      <c r="B6" t="s">
        <v>6328</v>
      </c>
      <c r="C6">
        <f>SUM(C3:C5)</f>
        <v>4500</v>
      </c>
    </row>
    <row r="10" spans="2:7" x14ac:dyDescent="0.3">
      <c r="G10">
        <v>110</v>
      </c>
    </row>
    <row r="11" spans="2:7" x14ac:dyDescent="0.3">
      <c r="G11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Customers</vt:lpstr>
      <vt:lpstr>Products</vt:lpstr>
      <vt:lpstr>Orders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Syed Masoom</cp:lastModifiedBy>
  <dcterms:created xsi:type="dcterms:W3CDTF">2026-04-10T18:23:25Z</dcterms:created>
  <dcterms:modified xsi:type="dcterms:W3CDTF">2026-04-15T17:52:56Z</dcterms:modified>
</cp:coreProperties>
</file>